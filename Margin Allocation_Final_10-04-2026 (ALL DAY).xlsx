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Sagar\TradeFilesForMailGenerator\"/>
    </mc:Choice>
  </mc:AlternateContent>
  <xr:revisionPtr revIDLastSave="0" documentId="13_ncr:1_{9A2821A9-6187-4D59-A031-1266789CB0A2}" xr6:coauthVersionLast="47" xr6:coauthVersionMax="47" xr10:uidLastSave="{00000000-0000-0000-0000-000000000000}"/>
  <bookViews>
    <workbookView xWindow="-120" yWindow="-13620" windowWidth="24240" windowHeight="13140" xr2:uid="{C12AB212-8B60-43BA-9988-383B7D1935D8}"/>
  </bookViews>
  <sheets>
    <sheet name="Margin" sheetId="1" r:id="rId1"/>
    <sheet name="Mon" sheetId="27" r:id="rId2"/>
    <sheet name="Tue(NF)" sheetId="23" r:id="rId3"/>
    <sheet name="Wed" sheetId="26" r:id="rId4"/>
    <sheet name="Thu (SNX)" sheetId="21" r:id="rId5"/>
    <sheet name="Sheet1" sheetId="28" r:id="rId6"/>
    <sheet name="Fri" sheetId="24" r:id="rId7"/>
    <sheet name="OI QTY" sheetId="22" r:id="rId8"/>
    <sheet name="Sheet2" sheetId="14" state="hidden" r:id="rId9"/>
    <sheet name="Sheet3" sheetId="15" state="hidden" r:id="rId10"/>
  </sheets>
  <definedNames>
    <definedName name="_xlnm._FilterDatabase" localSheetId="6" hidden="1">Fri!$A$5:$O$43</definedName>
    <definedName name="_xlnm._FilterDatabase" localSheetId="1" hidden="1">Mon!$A$5:$M$43</definedName>
    <definedName name="_xlnm._FilterDatabase" localSheetId="4" hidden="1">'Thu (SNX)'!$A$5:$Q$43</definedName>
    <definedName name="_xlnm._FilterDatabase" localSheetId="2" hidden="1">'Tue(NF)'!$A$5:$O$43</definedName>
    <definedName name="_xlnm._FilterDatabase" localSheetId="3" hidden="1">Wed!$A$5:$O$43</definedName>
    <definedName name="Alloted" localSheetId="1">_xlfn.LAMBDA(_xlpm.hedge_flag,_xlpm.index_name,_xlpm.strategy_name,     _xlfn.LET(         _xlpm.col_with,  Margin[Strategy allotment % with hedge],         _xlpm.col_without, Margin[Strategy allotment % without hedge],         _xlpm.filter_cond, (Margin[Index] = _xlpm.index_name) * (Margin[Strategy] = _xlpm.strategy_name),         _xlpm.result,         IF(_xlpm.hedge_flag = "W.H",             _xlfn._xlws.FILTER(_xlpm.col_with, _xlpm.filter_cond),             _xlfn._xlws.FILTER(_xlpm.col_without, _xlpm.filter_cond)         ),         IFERROR(_xlpm.result, 0)     ) )</definedName>
    <definedName name="Alloted">_xlfn.LAMBDA(_xlpm.hedge_flag,_xlpm.index_name,_xlpm.strategy_name,     _xlfn.LET(         _xlpm.col_with,  Margin[Strategy allotment % with hedge],         _xlpm.col_without, Margin[Strategy allotment % without hedge],         _xlpm.filter_cond, (Margin[Index] = _xlpm.index_name) * (Margin[Strategy] = _xlpm.strategy_name),         _xlpm.result,         IF(_xlpm.hedge_flag = "W.H",             _xlfn._xlws.FILTER(_xlpm.col_with, _xlpm.filter_cond),             _xlfn._xlws.FILTER(_xlpm.col_without, _xlpm.filter_cond)         ),         IFERROR(_xlpm.result, 0)     ) )</definedName>
    <definedName name="Client_Margin" localSheetId="1">_xlfn.LAMBDA(_xlpm.ClientID,_xlfn._xlws.FILTER(Fund[Margin],Fund[Client Id]=_xlpm.ClientID))</definedName>
    <definedName name="Client_Margin">_xlfn.LAMBDA(_xlpm.ClientID,_xlfn._xlws.FILTER(Fund[Margin],Fund[Client Id]=_xlpm.ClientID))</definedName>
    <definedName name="Get_Margin" localSheetId="1">_xlfn.LAMBDA(_xlpm.hedge_flag,_xlpm.index_val,_xlpm.strategy_val,_xlpm.Day_Type,_xlfn._xlws.FILTER(INDEX(Margin[],0,MATCH(_xlpm.Day_Type&amp;"_"&amp;_xlpm.hedge_flag,Margin[#Headers],0)),(Margin[Index]=_xlpm.index_val)*(Margin[Strategy]=_xlpm.strategy_val)))</definedName>
    <definedName name="Get_Margin">_xlfn.LAMBDA(_xlpm.hedge_flag,_xlpm.index_val,_xlpm.strategy_val,_xlpm.Day_Type,_xlfn._xlws.FILTER(INDEX(Margin[],0,MATCH(_xlpm.Day_Type&amp;"_"&amp;_xlpm.hedge_flag,Margin[#Headers],0)),(Margin[Index]=_xlpm.index_val)*(Margin[Strategy]=_xlpm.strategy_val)))</definedName>
    <definedName name="MG" localSheetId="6">Fri!$R$22=_xlfn.LAMBDA(_xlpm.SY,_xlpm.HD,_xlpm.ST,IF(_xlpm.HD="W.H",_xlfn._xlws.FILTER(Margin[N.Expiry_W.H],(Margin[Index]=_xlpm.SY)*(Margin[Strategy]=_xlpm.ST)),_xlfn._xlws.FILTER(Margin[N.Expiry_W.O.H],(Margin[Index]=_xlpm.SY)*(Margin[Strategy]=_xlpm.ST))))</definedName>
    <definedName name="MG" localSheetId="1">Mon!$P$22=_xlfn.LAMBDA(_xlpm.SY,_xlpm.HD,_xlpm.ST,IF(_xlpm.HD="W.H",_xlfn._xlws.FILTER(Margin[N.Expiry_W.H],(Margin[Index]=_xlpm.SY)*(Margin[Strategy]=_xlpm.ST)),_xlfn._xlws.FILTER(Margin[N.Expiry_W.O.H],(Margin[Index]=_xlpm.SY)*(Margin[Strategy]=_xlpm.ST))))</definedName>
    <definedName name="MG" localSheetId="2">'Tue(NF)'!$R$22=_xlfn.LAMBDA(_xlpm.SY,_xlpm.HD,_xlpm.ST,IF(_xlpm.HD="W.H",_xlfn._xlws.FILTER(Margin[N.Expiry_W.H],(Margin[Index]=_xlpm.SY)*(Margin[Strategy]=_xlpm.ST)),_xlfn._xlws.FILTER(Margin[N.Expiry_W.O.H],(Margin[Index]=_xlpm.SY)*(Margin[Strategy]=_xlpm.ST))))</definedName>
    <definedName name="MG" localSheetId="3">Wed!$R$22=_xlfn.LAMBDA(_xlpm.SY,_xlpm.HD,_xlpm.ST,IF(_xlpm.HD="W.H",_xlfn._xlws.FILTER(Margin[N.Expiry_W.H],(Margin[Index]=_xlpm.SY)*(Margin[Strategy]=_xlpm.ST)),_xlfn._xlws.FILTER(Margin[N.Expiry_W.O.H],(Margin[Index]=_xlpm.SY)*(Margin[Strategy]=_xlpm.ST))))</definedName>
    <definedName name="MG">'Thu (SNX)'!$T$22=_xlfn.LAMBDA(_xlpm.SY,_xlpm.HD,_xlpm.ST,IF(_xlpm.HD="W.H",_xlfn._xlws.FILTER(Margin[N.Expiry_W.H],(Margin[Index]=_xlpm.SY)*(Margin[Strategy]=_xlpm.ST)),_xlfn._xlws.FILTER(Margin[N.Expiry_W.O.H],(Margin[Index]=_xlpm.SY)*(Margin[Strategy]=_xlpm.ST))))</definedName>
    <definedName name="solver_adj" localSheetId="6" hidden="1">Fri!$I$6</definedName>
    <definedName name="solver_adj" localSheetId="1" hidden="1">Mon!$I$6</definedName>
    <definedName name="solver_adj" localSheetId="4" hidden="1">'Thu (SNX)'!$I$6</definedName>
    <definedName name="solver_adj" localSheetId="2" hidden="1">'Tue(NF)'!$I$6</definedName>
    <definedName name="solver_adj" localSheetId="3" hidden="1">Wed!$I$6</definedName>
    <definedName name="solver_eng" localSheetId="6" hidden="1">1</definedName>
    <definedName name="solver_eng" localSheetId="1" hidden="1">1</definedName>
    <definedName name="solver_eng" localSheetId="4" hidden="1">1</definedName>
    <definedName name="solver_eng" localSheetId="2" hidden="1">1</definedName>
    <definedName name="solver_eng" localSheetId="3" hidden="1">1</definedName>
    <definedName name="solver_neg" localSheetId="6" hidden="1">1</definedName>
    <definedName name="solver_neg" localSheetId="1" hidden="1">1</definedName>
    <definedName name="solver_neg" localSheetId="4" hidden="1">1</definedName>
    <definedName name="solver_neg" localSheetId="2" hidden="1">1</definedName>
    <definedName name="solver_neg" localSheetId="3" hidden="1">1</definedName>
    <definedName name="solver_num" localSheetId="6" hidden="1">0</definedName>
    <definedName name="solver_num" localSheetId="1" hidden="1">0</definedName>
    <definedName name="solver_num" localSheetId="4" hidden="1">0</definedName>
    <definedName name="solver_num" localSheetId="2" hidden="1">0</definedName>
    <definedName name="solver_num" localSheetId="3" hidden="1">0</definedName>
    <definedName name="solver_opt" localSheetId="6" hidden="1">Fri!$I$4</definedName>
    <definedName name="solver_opt" localSheetId="1" hidden="1">Mon!$I$4</definedName>
    <definedName name="solver_opt" localSheetId="4" hidden="1">'Thu (SNX)'!$I$4</definedName>
    <definedName name="solver_opt" localSheetId="2" hidden="1">'Tue(NF)'!$I$4</definedName>
    <definedName name="solver_opt" localSheetId="3" hidden="1">Wed!$I$4</definedName>
    <definedName name="solver_typ" localSheetId="6" hidden="1">1</definedName>
    <definedName name="solver_typ" localSheetId="1" hidden="1">1</definedName>
    <definedName name="solver_typ" localSheetId="4" hidden="1">1</definedName>
    <definedName name="solver_typ" localSheetId="2" hidden="1">1</definedName>
    <definedName name="solver_typ" localSheetId="3" hidden="1">1</definedName>
    <definedName name="solver_val" localSheetId="6" hidden="1">0</definedName>
    <definedName name="solver_val" localSheetId="1" hidden="1">0</definedName>
    <definedName name="solver_val" localSheetId="4" hidden="1">0</definedName>
    <definedName name="solver_val" localSheetId="2" hidden="1">0</definedName>
    <definedName name="solver_val" localSheetId="3" hidden="1">0</definedName>
    <definedName name="solver_ver" localSheetId="6" hidden="1">3</definedName>
    <definedName name="solver_ver" localSheetId="1" hidden="1">3</definedName>
    <definedName name="solver_ver" localSheetId="4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3" l="1" a="1"/>
  <c r="H6" i="23" s="1"/>
  <c r="G7" i="23" a="1"/>
  <c r="G7" i="23" s="1"/>
  <c r="H4" i="27" a="1"/>
  <c r="H4" i="27" s="1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6" i="24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6" i="21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6" i="26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6" i="23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6" i="27"/>
  <c r="B38" i="23"/>
  <c r="B38" i="24"/>
  <c r="B39" i="24"/>
  <c r="M39" i="24" a="1"/>
  <c r="M39" i="24" s="1"/>
  <c r="L38" i="24" a="1"/>
  <c r="L38" i="24" s="1"/>
  <c r="L39" i="24" s="1" a="1"/>
  <c r="L39" i="24" s="1"/>
  <c r="K38" i="24" a="1"/>
  <c r="K38" i="24" s="1"/>
  <c r="K39" i="24" s="1" a="1"/>
  <c r="K39" i="24" s="1"/>
  <c r="G38" i="24" a="1"/>
  <c r="G38" i="24" s="1"/>
  <c r="G39" i="24" s="1" a="1"/>
  <c r="G39" i="24" s="1"/>
  <c r="F38" i="24" a="1"/>
  <c r="F38" i="24" s="1"/>
  <c r="F39" i="24" s="1" a="1"/>
  <c r="F39" i="24" s="1"/>
  <c r="D38" i="24" a="1"/>
  <c r="D38" i="24" s="1"/>
  <c r="M14" i="24" a="1"/>
  <c r="M14" i="24" s="1"/>
  <c r="M15" i="24" s="1" a="1"/>
  <c r="M15" i="24" s="1"/>
  <c r="L14" i="24" a="1"/>
  <c r="L14" i="24" s="1"/>
  <c r="L15" i="24" s="1" a="1"/>
  <c r="L15" i="24" s="1"/>
  <c r="K14" i="24" a="1"/>
  <c r="K14" i="24" s="1"/>
  <c r="K15" i="24" s="1" a="1"/>
  <c r="K15" i="24" s="1"/>
  <c r="G14" i="24" a="1"/>
  <c r="G14" i="24" s="1"/>
  <c r="G15" i="24" s="1" a="1"/>
  <c r="G15" i="24" s="1"/>
  <c r="F14" i="24" a="1"/>
  <c r="F14" i="24" s="1"/>
  <c r="F15" i="24" s="1" a="1"/>
  <c r="F15" i="24" s="1"/>
  <c r="D14" i="24" a="1"/>
  <c r="D14" i="24" s="1"/>
  <c r="B14" i="24"/>
  <c r="B15" i="24"/>
  <c r="O39" i="21" a="1"/>
  <c r="O39" i="21" s="1"/>
  <c r="N38" i="21" a="1"/>
  <c r="N38" i="21" s="1"/>
  <c r="N39" i="21" s="1" a="1"/>
  <c r="N39" i="21" s="1"/>
  <c r="M38" i="21" a="1"/>
  <c r="M38" i="21" s="1"/>
  <c r="M39" i="21" s="1" a="1"/>
  <c r="M39" i="21" s="1"/>
  <c r="G38" i="21" a="1"/>
  <c r="G38" i="21" s="1"/>
  <c r="G39" i="21" s="1" a="1"/>
  <c r="G39" i="21" s="1"/>
  <c r="F38" i="21" a="1"/>
  <c r="F38" i="21" s="1"/>
  <c r="F39" i="21" s="1" a="1"/>
  <c r="F39" i="21" s="1"/>
  <c r="D38" i="21" a="1"/>
  <c r="D38" i="21" s="1"/>
  <c r="B38" i="21"/>
  <c r="B39" i="21"/>
  <c r="O14" i="21" a="1"/>
  <c r="O14" i="21" s="1"/>
  <c r="O15" i="21" s="1" a="1"/>
  <c r="O15" i="21" s="1"/>
  <c r="N14" i="21" a="1"/>
  <c r="N14" i="21" s="1"/>
  <c r="N15" i="21" s="1" a="1"/>
  <c r="N15" i="21" s="1"/>
  <c r="M14" i="21" a="1"/>
  <c r="M14" i="21" s="1"/>
  <c r="M15" i="21" s="1" a="1"/>
  <c r="M15" i="21" s="1"/>
  <c r="G14" i="21" a="1"/>
  <c r="G14" i="21" s="1"/>
  <c r="G15" i="21" s="1" a="1"/>
  <c r="G15" i="21" s="1"/>
  <c r="F14" i="21" a="1"/>
  <c r="F14" i="21" s="1"/>
  <c r="F15" i="21" s="1" a="1"/>
  <c r="F15" i="21" s="1"/>
  <c r="D14" i="21" a="1"/>
  <c r="D14" i="21" s="1"/>
  <c r="B14" i="21"/>
  <c r="B15" i="21"/>
  <c r="M39" i="26" a="1"/>
  <c r="M39" i="26" s="1"/>
  <c r="L38" i="26" a="1"/>
  <c r="L38" i="26" s="1"/>
  <c r="L39" i="26" s="1" a="1"/>
  <c r="L39" i="26" s="1"/>
  <c r="K38" i="26" a="1"/>
  <c r="K38" i="26" s="1"/>
  <c r="K39" i="26" s="1" a="1"/>
  <c r="K39" i="26" s="1"/>
  <c r="G38" i="26" a="1"/>
  <c r="G38" i="26" s="1"/>
  <c r="G39" i="26" s="1" a="1"/>
  <c r="G39" i="26" s="1"/>
  <c r="F38" i="26" a="1"/>
  <c r="F38" i="26" s="1"/>
  <c r="F39" i="26" s="1" a="1"/>
  <c r="F39" i="26" s="1"/>
  <c r="D38" i="26" a="1"/>
  <c r="D38" i="26" s="1"/>
  <c r="B38" i="26"/>
  <c r="B39" i="26"/>
  <c r="M24" i="26" a="1"/>
  <c r="M24" i="26" s="1"/>
  <c r="M25" i="26" s="1" a="1"/>
  <c r="M25" i="26" s="1"/>
  <c r="L24" i="26" a="1"/>
  <c r="L24" i="26" s="1"/>
  <c r="L25" i="26" s="1" a="1"/>
  <c r="L25" i="26" s="1"/>
  <c r="K24" i="26" a="1"/>
  <c r="K24" i="26" s="1"/>
  <c r="K25" i="26" s="1" a="1"/>
  <c r="K25" i="26" s="1"/>
  <c r="G24" i="26" a="1"/>
  <c r="G24" i="26" s="1"/>
  <c r="G25" i="26" s="1" a="1"/>
  <c r="G25" i="26" s="1"/>
  <c r="F24" i="26" a="1"/>
  <c r="F24" i="26" s="1"/>
  <c r="F25" i="26" s="1" a="1"/>
  <c r="F25" i="26" s="1"/>
  <c r="D24" i="26" a="1"/>
  <c r="D24" i="26" s="1"/>
  <c r="B24" i="26"/>
  <c r="B25" i="26"/>
  <c r="M14" i="26" a="1"/>
  <c r="M14" i="26" s="1"/>
  <c r="M15" i="26" s="1" a="1"/>
  <c r="M15" i="26" s="1"/>
  <c r="L14" i="26" a="1"/>
  <c r="L14" i="26" s="1"/>
  <c r="L15" i="26" s="1" a="1"/>
  <c r="L15" i="26" s="1"/>
  <c r="K14" i="26" a="1"/>
  <c r="K14" i="26" s="1"/>
  <c r="K15" i="26" s="1" a="1"/>
  <c r="K15" i="26" s="1"/>
  <c r="G14" i="26" a="1"/>
  <c r="G14" i="26" s="1"/>
  <c r="G15" i="26" s="1" a="1"/>
  <c r="G15" i="26" s="1"/>
  <c r="F14" i="26" a="1"/>
  <c r="F14" i="26" s="1"/>
  <c r="F15" i="26" s="1" a="1"/>
  <c r="F15" i="26" s="1"/>
  <c r="D14" i="26" a="1"/>
  <c r="D14" i="26" s="1"/>
  <c r="B14" i="26"/>
  <c r="B15" i="26"/>
  <c r="M39" i="27" a="1"/>
  <c r="M39" i="27" s="1"/>
  <c r="L38" i="27" a="1"/>
  <c r="L38" i="27" s="1"/>
  <c r="L39" i="27" s="1" a="1"/>
  <c r="L39" i="27" s="1"/>
  <c r="K38" i="27" a="1"/>
  <c r="K38" i="27" s="1"/>
  <c r="K39" i="27" s="1" a="1"/>
  <c r="K39" i="27" s="1"/>
  <c r="G38" i="27" a="1"/>
  <c r="G38" i="27" s="1"/>
  <c r="G39" i="27" s="1" a="1"/>
  <c r="G39" i="27" s="1"/>
  <c r="F38" i="27" a="1"/>
  <c r="F38" i="27" s="1"/>
  <c r="F39" i="27" s="1" a="1"/>
  <c r="F39" i="27" s="1"/>
  <c r="D38" i="27" a="1"/>
  <c r="D38" i="27" s="1"/>
  <c r="B38" i="27"/>
  <c r="B39" i="27"/>
  <c r="M14" i="27" a="1"/>
  <c r="M14" i="27" s="1"/>
  <c r="M15" i="27" s="1" a="1"/>
  <c r="M15" i="27" s="1"/>
  <c r="L14" i="27" a="1"/>
  <c r="L14" i="27" s="1"/>
  <c r="L15" i="27" s="1" a="1"/>
  <c r="L15" i="27" s="1"/>
  <c r="K14" i="27" a="1"/>
  <c r="K14" i="27" s="1"/>
  <c r="K15" i="27" s="1" a="1"/>
  <c r="K15" i="27" s="1"/>
  <c r="G14" i="27" a="1"/>
  <c r="G14" i="27" s="1"/>
  <c r="G15" i="27" s="1" a="1"/>
  <c r="G15" i="27" s="1"/>
  <c r="F14" i="27" a="1"/>
  <c r="F14" i="27" s="1"/>
  <c r="F15" i="27" s="1" a="1"/>
  <c r="F15" i="27" s="1"/>
  <c r="D14" i="27" a="1"/>
  <c r="D14" i="27" s="1"/>
  <c r="B15" i="27"/>
  <c r="B14" i="27"/>
  <c r="O39" i="23" a="1"/>
  <c r="O39" i="23" s="1"/>
  <c r="N38" i="23" a="1"/>
  <c r="N38" i="23" s="1"/>
  <c r="N39" i="23" s="1" a="1"/>
  <c r="N39" i="23" s="1"/>
  <c r="M38" i="23" a="1"/>
  <c r="M38" i="23" s="1"/>
  <c r="M39" i="23" s="1" a="1"/>
  <c r="M39" i="23" s="1"/>
  <c r="G38" i="23" a="1"/>
  <c r="G38" i="23" s="1"/>
  <c r="G39" i="23" s="1" a="1"/>
  <c r="G39" i="23" s="1"/>
  <c r="F38" i="23" a="1"/>
  <c r="F38" i="23" s="1"/>
  <c r="F39" i="23" s="1" a="1"/>
  <c r="F39" i="23" s="1"/>
  <c r="D38" i="23" a="1"/>
  <c r="D38" i="23" s="1"/>
  <c r="O14" i="23" a="1"/>
  <c r="O14" i="23" s="1"/>
  <c r="O15" i="23" s="1" a="1"/>
  <c r="O15" i="23" s="1"/>
  <c r="N14" i="23" a="1"/>
  <c r="N14" i="23" s="1"/>
  <c r="N15" i="23" s="1" a="1"/>
  <c r="N15" i="23" s="1"/>
  <c r="M14" i="23" a="1"/>
  <c r="M14" i="23" s="1"/>
  <c r="M15" i="23" s="1" a="1"/>
  <c r="M15" i="23" s="1"/>
  <c r="G14" i="23" a="1"/>
  <c r="G14" i="23" s="1"/>
  <c r="G15" i="23" s="1" a="1"/>
  <c r="G15" i="23" s="1"/>
  <c r="F14" i="23" a="1"/>
  <c r="F14" i="23" s="1"/>
  <c r="F15" i="23" s="1" a="1"/>
  <c r="F15" i="23" s="1"/>
  <c r="D14" i="23" a="1"/>
  <c r="D14" i="23" s="1"/>
  <c r="M41" i="24" l="1" a="1"/>
  <c r="M41" i="24" s="1"/>
  <c r="L40" i="24" a="1"/>
  <c r="L40" i="24" s="1"/>
  <c r="L41" i="24" s="1" a="1"/>
  <c r="L41" i="24" s="1"/>
  <c r="K40" i="24" a="1"/>
  <c r="K40" i="24" s="1"/>
  <c r="K41" i="24" s="1" a="1"/>
  <c r="K41" i="24" s="1"/>
  <c r="G40" i="24" a="1"/>
  <c r="G40" i="24" s="1"/>
  <c r="G41" i="24" s="1" a="1"/>
  <c r="G41" i="24" s="1"/>
  <c r="F40" i="24" a="1"/>
  <c r="F40" i="24" s="1"/>
  <c r="F41" i="24" s="1" a="1"/>
  <c r="F41" i="24" s="1"/>
  <c r="D40" i="24" a="1"/>
  <c r="D40" i="24" s="1"/>
  <c r="M20" i="24" a="1"/>
  <c r="M20" i="24" s="1"/>
  <c r="M21" i="24" s="1" a="1"/>
  <c r="M21" i="24" s="1"/>
  <c r="L20" i="24" a="1"/>
  <c r="L20" i="24" s="1"/>
  <c r="L21" i="24" s="1" a="1"/>
  <c r="L21" i="24" s="1"/>
  <c r="K20" i="24" a="1"/>
  <c r="K20" i="24" s="1"/>
  <c r="K21" i="24" s="1" a="1"/>
  <c r="K21" i="24" s="1"/>
  <c r="G20" i="24" a="1"/>
  <c r="G20" i="24" s="1"/>
  <c r="G21" i="24" s="1" a="1"/>
  <c r="G21" i="24" s="1"/>
  <c r="F20" i="24" a="1"/>
  <c r="F20" i="24" s="1"/>
  <c r="F21" i="24" s="1" a="1"/>
  <c r="F21" i="24" s="1"/>
  <c r="D20" i="24" a="1"/>
  <c r="D20" i="24" s="1"/>
  <c r="O41" i="21" a="1"/>
  <c r="O41" i="21" s="1"/>
  <c r="N40" i="21" a="1"/>
  <c r="N40" i="21" s="1"/>
  <c r="N41" i="21" s="1" a="1"/>
  <c r="N41" i="21" s="1"/>
  <c r="M40" i="21" a="1"/>
  <c r="M40" i="21" s="1"/>
  <c r="M41" i="21" s="1" a="1"/>
  <c r="M41" i="21" s="1"/>
  <c r="G40" i="21" a="1"/>
  <c r="G40" i="21" s="1"/>
  <c r="G41" i="21" s="1" a="1"/>
  <c r="G41" i="21" s="1"/>
  <c r="F40" i="21" a="1"/>
  <c r="F40" i="21" s="1"/>
  <c r="F41" i="21" s="1" a="1"/>
  <c r="F41" i="21" s="1"/>
  <c r="D40" i="21" a="1"/>
  <c r="D40" i="21" s="1"/>
  <c r="O20" i="21" a="1"/>
  <c r="O20" i="21" s="1"/>
  <c r="O21" i="21" s="1" a="1"/>
  <c r="O21" i="21" s="1"/>
  <c r="N20" i="21" a="1"/>
  <c r="N20" i="21" s="1"/>
  <c r="N21" i="21" s="1" a="1"/>
  <c r="N21" i="21" s="1"/>
  <c r="M20" i="21" a="1"/>
  <c r="M20" i="21" s="1"/>
  <c r="M21" i="21" s="1" a="1"/>
  <c r="M21" i="21" s="1"/>
  <c r="G20" i="21" a="1"/>
  <c r="G20" i="21" s="1"/>
  <c r="G21" i="21" s="1" a="1"/>
  <c r="G21" i="21" s="1"/>
  <c r="F20" i="21" a="1"/>
  <c r="F20" i="21" s="1"/>
  <c r="F21" i="21" s="1" a="1"/>
  <c r="F21" i="21" s="1"/>
  <c r="D20" i="21" a="1"/>
  <c r="D20" i="21" s="1"/>
  <c r="M41" i="26" a="1"/>
  <c r="M41" i="26" s="1"/>
  <c r="L40" i="26" a="1"/>
  <c r="L40" i="26" s="1"/>
  <c r="L41" i="26" s="1" a="1"/>
  <c r="L41" i="26" s="1"/>
  <c r="K40" i="26" a="1"/>
  <c r="K40" i="26" s="1"/>
  <c r="K41" i="26" s="1" a="1"/>
  <c r="K41" i="26" s="1"/>
  <c r="G40" i="26" a="1"/>
  <c r="G40" i="26" s="1"/>
  <c r="G41" i="26" s="1" a="1"/>
  <c r="G41" i="26" s="1"/>
  <c r="F40" i="26" a="1"/>
  <c r="F40" i="26" s="1"/>
  <c r="F41" i="26" s="1" a="1"/>
  <c r="F41" i="26" s="1"/>
  <c r="D40" i="26" a="1"/>
  <c r="D40" i="26" s="1"/>
  <c r="M20" i="26" a="1"/>
  <c r="M20" i="26" s="1"/>
  <c r="M21" i="26" s="1" a="1"/>
  <c r="M21" i="26" s="1"/>
  <c r="L20" i="26" a="1"/>
  <c r="L20" i="26" s="1"/>
  <c r="L21" i="26" s="1" a="1"/>
  <c r="L21" i="26" s="1"/>
  <c r="K20" i="26" a="1"/>
  <c r="K20" i="26" s="1"/>
  <c r="K21" i="26" s="1" a="1"/>
  <c r="K21" i="26" s="1"/>
  <c r="G20" i="26" a="1"/>
  <c r="G20" i="26" s="1"/>
  <c r="G21" i="26" s="1" a="1"/>
  <c r="G21" i="26" s="1"/>
  <c r="F20" i="26" a="1"/>
  <c r="F20" i="26" s="1"/>
  <c r="F21" i="26" s="1" a="1"/>
  <c r="F21" i="26" s="1"/>
  <c r="D20" i="26" a="1"/>
  <c r="D20" i="26" s="1"/>
  <c r="O41" i="23" a="1"/>
  <c r="O41" i="23" s="1"/>
  <c r="N40" i="23" a="1"/>
  <c r="N40" i="23" s="1"/>
  <c r="N41" i="23" s="1" a="1"/>
  <c r="N41" i="23" s="1"/>
  <c r="M40" i="23" a="1"/>
  <c r="M40" i="23" s="1"/>
  <c r="M41" i="23" s="1" a="1"/>
  <c r="M41" i="23" s="1"/>
  <c r="G40" i="23" a="1"/>
  <c r="G40" i="23" s="1"/>
  <c r="G41" i="23" s="1" a="1"/>
  <c r="G41" i="23" s="1"/>
  <c r="F40" i="23" a="1"/>
  <c r="F40" i="23" s="1"/>
  <c r="F41" i="23" s="1" a="1"/>
  <c r="F41" i="23" s="1"/>
  <c r="D40" i="23" a="1"/>
  <c r="D40" i="23" s="1"/>
  <c r="O20" i="23" a="1"/>
  <c r="O20" i="23" s="1"/>
  <c r="O21" i="23" s="1" a="1"/>
  <c r="O21" i="23" s="1"/>
  <c r="N20" i="23" a="1"/>
  <c r="N20" i="23" s="1"/>
  <c r="N21" i="23" s="1" a="1"/>
  <c r="N21" i="23" s="1"/>
  <c r="M20" i="23" a="1"/>
  <c r="M20" i="23" s="1"/>
  <c r="M21" i="23" s="1" a="1"/>
  <c r="M21" i="23" s="1"/>
  <c r="G20" i="23" a="1"/>
  <c r="G20" i="23" s="1"/>
  <c r="G21" i="23" s="1" a="1"/>
  <c r="G21" i="23" s="1"/>
  <c r="F20" i="23" a="1"/>
  <c r="F20" i="23" s="1"/>
  <c r="F21" i="23" s="1" a="1"/>
  <c r="F21" i="23" s="1"/>
  <c r="D20" i="23" a="1"/>
  <c r="D20" i="23" s="1"/>
  <c r="M41" i="27" a="1"/>
  <c r="M41" i="27" s="1"/>
  <c r="L40" i="27" a="1"/>
  <c r="L40" i="27" s="1"/>
  <c r="L41" i="27" s="1" a="1"/>
  <c r="L41" i="27" s="1"/>
  <c r="K40" i="27" a="1"/>
  <c r="K40" i="27" s="1"/>
  <c r="K41" i="27" s="1" a="1"/>
  <c r="K41" i="27" s="1"/>
  <c r="G40" i="27" a="1"/>
  <c r="G40" i="27" s="1"/>
  <c r="G41" i="27" s="1" a="1"/>
  <c r="G41" i="27" s="1"/>
  <c r="F40" i="27" a="1"/>
  <c r="F40" i="27" s="1"/>
  <c r="F41" i="27" s="1" a="1"/>
  <c r="F41" i="27" s="1"/>
  <c r="D40" i="27" a="1"/>
  <c r="D40" i="27" s="1"/>
  <c r="M20" i="27" a="1"/>
  <c r="M20" i="27" s="1"/>
  <c r="M21" i="27" s="1" a="1"/>
  <c r="M21" i="27" s="1"/>
  <c r="L20" i="27" a="1"/>
  <c r="L20" i="27" s="1"/>
  <c r="L21" i="27" s="1" a="1"/>
  <c r="L21" i="27" s="1"/>
  <c r="K20" i="27" a="1"/>
  <c r="K20" i="27" s="1"/>
  <c r="K21" i="27" s="1" a="1"/>
  <c r="K21" i="27" s="1"/>
  <c r="G20" i="27" a="1"/>
  <c r="G20" i="27" s="1"/>
  <c r="G21" i="27" s="1" a="1"/>
  <c r="G21" i="27" s="1"/>
  <c r="F20" i="27" a="1"/>
  <c r="F20" i="27" s="1"/>
  <c r="F21" i="27" s="1" a="1"/>
  <c r="F21" i="27" s="1"/>
  <c r="D20" i="27" a="1"/>
  <c r="D20" i="27" s="1"/>
  <c r="G4" i="21" a="1"/>
  <c r="G4" i="21" s="1"/>
  <c r="G36" i="23" a="1"/>
  <c r="G36" i="23" s="1"/>
  <c r="G37" i="23" s="1" a="1"/>
  <c r="G37" i="23" s="1"/>
  <c r="G42" i="23" a="1"/>
  <c r="G42" i="23" s="1"/>
  <c r="D8" i="24" a="1"/>
  <c r="D8" i="24" s="1"/>
  <c r="D8" i="21" a="1"/>
  <c r="D8" i="21" s="1"/>
  <c r="D8" i="26" a="1"/>
  <c r="D8" i="26" s="1"/>
  <c r="D8" i="23" a="1"/>
  <c r="D8" i="23" s="1"/>
  <c r="D22" i="27" a="1"/>
  <c r="D22" i="27" s="1"/>
  <c r="D18" i="27" a="1"/>
  <c r="D18" i="27" s="1"/>
  <c r="D16" i="27" a="1"/>
  <c r="D16" i="27" s="1"/>
  <c r="D12" i="27" a="1"/>
  <c r="D12" i="27" s="1"/>
  <c r="D10" i="27" a="1"/>
  <c r="D10" i="27" s="1"/>
  <c r="D8" i="27" a="1"/>
  <c r="D8" i="27" s="1"/>
  <c r="B43" i="27" l="1"/>
  <c r="M43" i="27" a="1"/>
  <c r="M43" i="27" s="1"/>
  <c r="L42" i="27" a="1"/>
  <c r="L42" i="27" s="1"/>
  <c r="L43" i="27" s="1" a="1"/>
  <c r="L43" i="27" s="1"/>
  <c r="K42" i="27" a="1"/>
  <c r="K42" i="27" s="1"/>
  <c r="K43" i="27" s="1" a="1"/>
  <c r="K43" i="27" s="1"/>
  <c r="G42" i="27" a="1"/>
  <c r="G42" i="27" s="1"/>
  <c r="G43" i="27" s="1" a="1"/>
  <c r="G43" i="27" s="1"/>
  <c r="F42" i="27" a="1"/>
  <c r="F42" i="27" s="1"/>
  <c r="F43" i="27" s="1" a="1"/>
  <c r="F43" i="27" s="1"/>
  <c r="D42" i="27" a="1"/>
  <c r="D42" i="27" s="1"/>
  <c r="B42" i="27"/>
  <c r="B37" i="27"/>
  <c r="M37" i="27" a="1"/>
  <c r="M37" i="27" s="1"/>
  <c r="L36" i="27" a="1"/>
  <c r="L36" i="27" s="1"/>
  <c r="L37" i="27" s="1" a="1"/>
  <c r="L37" i="27" s="1"/>
  <c r="K36" i="27" a="1"/>
  <c r="K36" i="27" s="1"/>
  <c r="K37" i="27" s="1" a="1"/>
  <c r="K37" i="27" s="1"/>
  <c r="G36" i="27" a="1"/>
  <c r="G36" i="27" s="1"/>
  <c r="G37" i="27" s="1" a="1"/>
  <c r="G37" i="27" s="1"/>
  <c r="F36" i="27" a="1"/>
  <c r="F36" i="27" s="1"/>
  <c r="F37" i="27" s="1" a="1"/>
  <c r="F37" i="27" s="1"/>
  <c r="D36" i="27" a="1"/>
  <c r="D36" i="27" s="1"/>
  <c r="B36" i="27"/>
  <c r="B35" i="27"/>
  <c r="M35" i="27" a="1"/>
  <c r="M35" i="27" s="1"/>
  <c r="L34" i="27" a="1"/>
  <c r="L34" i="27" s="1"/>
  <c r="L35" i="27" s="1" a="1"/>
  <c r="L35" i="27" s="1"/>
  <c r="K34" i="27" a="1"/>
  <c r="K34" i="27" s="1"/>
  <c r="K35" i="27" s="1" a="1"/>
  <c r="K35" i="27" s="1"/>
  <c r="G34" i="27" a="1"/>
  <c r="G34" i="27" s="1"/>
  <c r="G35" i="27" s="1" a="1"/>
  <c r="G35" i="27" s="1"/>
  <c r="F34" i="27" a="1"/>
  <c r="F34" i="27" s="1"/>
  <c r="F35" i="27" s="1" a="1"/>
  <c r="F35" i="27" s="1"/>
  <c r="D34" i="27" a="1"/>
  <c r="D34" i="27" s="1"/>
  <c r="B34" i="27"/>
  <c r="B33" i="27"/>
  <c r="M33" i="27" a="1"/>
  <c r="M33" i="27" s="1"/>
  <c r="L32" i="27" a="1"/>
  <c r="L32" i="27" s="1"/>
  <c r="L33" i="27" s="1" a="1"/>
  <c r="L33" i="27" s="1"/>
  <c r="K32" i="27" a="1"/>
  <c r="K32" i="27" s="1"/>
  <c r="K33" i="27" s="1" a="1"/>
  <c r="K33" i="27" s="1"/>
  <c r="G32" i="27" a="1"/>
  <c r="G32" i="27" s="1"/>
  <c r="G33" i="27" s="1" a="1"/>
  <c r="G33" i="27" s="1"/>
  <c r="F32" i="27" a="1"/>
  <c r="F32" i="27" s="1"/>
  <c r="F33" i="27" s="1" a="1"/>
  <c r="F33" i="27" s="1"/>
  <c r="D32" i="27" a="1"/>
  <c r="D32" i="27" s="1"/>
  <c r="B32" i="27"/>
  <c r="B31" i="27"/>
  <c r="M31" i="27" a="1"/>
  <c r="M31" i="27" s="1"/>
  <c r="L30" i="27" a="1"/>
  <c r="L30" i="27" s="1"/>
  <c r="L31" i="27" s="1" a="1"/>
  <c r="L31" i="27" s="1"/>
  <c r="K30" i="27" a="1"/>
  <c r="K30" i="27" s="1"/>
  <c r="K31" i="27" s="1" a="1"/>
  <c r="K31" i="27" s="1"/>
  <c r="G30" i="27" a="1"/>
  <c r="G30" i="27" s="1"/>
  <c r="G31" i="27" s="1" a="1"/>
  <c r="G31" i="27" s="1"/>
  <c r="F30" i="27" a="1"/>
  <c r="F30" i="27" s="1"/>
  <c r="F31" i="27" s="1" a="1"/>
  <c r="F31" i="27" s="1"/>
  <c r="D30" i="27" a="1"/>
  <c r="D30" i="27" s="1"/>
  <c r="B30" i="27"/>
  <c r="B29" i="27"/>
  <c r="M28" i="27" a="1"/>
  <c r="M28" i="27" s="1"/>
  <c r="M29" i="27" s="1" a="1"/>
  <c r="M29" i="27" s="1"/>
  <c r="L28" i="27" a="1"/>
  <c r="L28" i="27" s="1"/>
  <c r="L29" i="27" s="1" a="1"/>
  <c r="L29" i="27" s="1"/>
  <c r="K28" i="27" a="1"/>
  <c r="K28" i="27" s="1"/>
  <c r="K29" i="27" s="1" a="1"/>
  <c r="K29" i="27" s="1"/>
  <c r="G28" i="27" a="1"/>
  <c r="G28" i="27" s="1"/>
  <c r="G29" i="27" s="1" a="1"/>
  <c r="G29" i="27" s="1"/>
  <c r="F28" i="27" a="1"/>
  <c r="F28" i="27" s="1"/>
  <c r="F29" i="27" s="1" a="1"/>
  <c r="F29" i="27" s="1"/>
  <c r="D28" i="27" a="1"/>
  <c r="D28" i="27" s="1"/>
  <c r="B28" i="27"/>
  <c r="B27" i="27"/>
  <c r="M26" i="27" a="1"/>
  <c r="M26" i="27" s="1"/>
  <c r="M27" i="27" s="1" a="1"/>
  <c r="M27" i="27" s="1"/>
  <c r="L26" i="27" a="1"/>
  <c r="L26" i="27" s="1"/>
  <c r="L27" i="27" s="1" a="1"/>
  <c r="L27" i="27" s="1"/>
  <c r="K26" i="27" a="1"/>
  <c r="K26" i="27" s="1"/>
  <c r="K27" i="27" s="1" a="1"/>
  <c r="K27" i="27" s="1"/>
  <c r="G26" i="27" a="1"/>
  <c r="G26" i="27" s="1"/>
  <c r="G27" i="27" s="1" a="1"/>
  <c r="G27" i="27" s="1"/>
  <c r="F26" i="27" a="1"/>
  <c r="F26" i="27" s="1"/>
  <c r="F27" i="27" s="1" a="1"/>
  <c r="F27" i="27" s="1"/>
  <c r="D26" i="27" a="1"/>
  <c r="D26" i="27" s="1"/>
  <c r="B26" i="27"/>
  <c r="B25" i="27"/>
  <c r="M24" i="27" a="1"/>
  <c r="M24" i="27" s="1"/>
  <c r="M25" i="27" s="1" a="1"/>
  <c r="M25" i="27" s="1"/>
  <c r="L24" i="27" a="1"/>
  <c r="L24" i="27" s="1"/>
  <c r="L25" i="27" s="1" a="1"/>
  <c r="L25" i="27" s="1"/>
  <c r="K24" i="27" a="1"/>
  <c r="K24" i="27" s="1"/>
  <c r="K25" i="27" s="1" a="1"/>
  <c r="K25" i="27" s="1"/>
  <c r="G24" i="27" a="1"/>
  <c r="G24" i="27" s="1"/>
  <c r="G25" i="27" s="1" a="1"/>
  <c r="G25" i="27" s="1"/>
  <c r="F24" i="27" a="1"/>
  <c r="F24" i="27" s="1"/>
  <c r="F25" i="27" s="1" a="1"/>
  <c r="F25" i="27" s="1"/>
  <c r="D24" i="27" a="1"/>
  <c r="D24" i="27" s="1"/>
  <c r="B24" i="27"/>
  <c r="B23" i="27"/>
  <c r="M22" i="27" a="1"/>
  <c r="M22" i="27" s="1"/>
  <c r="M23" i="27" s="1" a="1"/>
  <c r="M23" i="27" s="1"/>
  <c r="L22" i="27" a="1"/>
  <c r="L22" i="27" s="1"/>
  <c r="L23" i="27" s="1" a="1"/>
  <c r="L23" i="27" s="1"/>
  <c r="K22" i="27" a="1"/>
  <c r="K22" i="27" s="1"/>
  <c r="K23" i="27" s="1" a="1"/>
  <c r="K23" i="27" s="1"/>
  <c r="G22" i="27" a="1"/>
  <c r="G22" i="27" s="1"/>
  <c r="G23" i="27" s="1" a="1"/>
  <c r="G23" i="27" s="1"/>
  <c r="F22" i="27" a="1"/>
  <c r="F22" i="27" s="1"/>
  <c r="F23" i="27" s="1" a="1"/>
  <c r="F23" i="27" s="1"/>
  <c r="B22" i="27"/>
  <c r="B19" i="27"/>
  <c r="M18" i="27" a="1"/>
  <c r="M18" i="27" s="1"/>
  <c r="M19" i="27" s="1" a="1"/>
  <c r="M19" i="27" s="1"/>
  <c r="L18" i="27" a="1"/>
  <c r="L18" i="27" s="1"/>
  <c r="L19" i="27" s="1" a="1"/>
  <c r="L19" i="27" s="1"/>
  <c r="K18" i="27" a="1"/>
  <c r="K18" i="27" s="1"/>
  <c r="K19" i="27" s="1" a="1"/>
  <c r="K19" i="27" s="1"/>
  <c r="G18" i="27" a="1"/>
  <c r="G18" i="27" s="1"/>
  <c r="G19" i="27" s="1" a="1"/>
  <c r="G19" i="27" s="1"/>
  <c r="F18" i="27" a="1"/>
  <c r="F18" i="27" s="1"/>
  <c r="F19" i="27" s="1" a="1"/>
  <c r="F19" i="27" s="1"/>
  <c r="B18" i="27"/>
  <c r="B17" i="27"/>
  <c r="M16" i="27" a="1"/>
  <c r="M16" i="27" s="1"/>
  <c r="M17" i="27" s="1" a="1"/>
  <c r="M17" i="27" s="1"/>
  <c r="L16" i="27" a="1"/>
  <c r="L16" i="27" s="1"/>
  <c r="L17" i="27" s="1" a="1"/>
  <c r="L17" i="27" s="1"/>
  <c r="K16" i="27" a="1"/>
  <c r="K16" i="27" s="1"/>
  <c r="K17" i="27" s="1" a="1"/>
  <c r="K17" i="27" s="1"/>
  <c r="G16" i="27" a="1"/>
  <c r="G16" i="27" s="1"/>
  <c r="G17" i="27" s="1" a="1"/>
  <c r="G17" i="27" s="1"/>
  <c r="F16" i="27" a="1"/>
  <c r="F16" i="27" s="1"/>
  <c r="F17" i="27" s="1" a="1"/>
  <c r="F17" i="27" s="1"/>
  <c r="B16" i="27"/>
  <c r="B13" i="27"/>
  <c r="M12" i="27" a="1"/>
  <c r="M12" i="27" s="1"/>
  <c r="M13" i="27" s="1" a="1"/>
  <c r="M13" i="27" s="1"/>
  <c r="L12" i="27" a="1"/>
  <c r="L12" i="27" s="1"/>
  <c r="L13" i="27" s="1" a="1"/>
  <c r="L13" i="27" s="1"/>
  <c r="K12" i="27" a="1"/>
  <c r="K12" i="27" s="1"/>
  <c r="K13" i="27" s="1" a="1"/>
  <c r="K13" i="27" s="1"/>
  <c r="G12" i="27" a="1"/>
  <c r="G12" i="27" s="1"/>
  <c r="G13" i="27" s="1" a="1"/>
  <c r="G13" i="27" s="1"/>
  <c r="F12" i="27" a="1"/>
  <c r="F12" i="27" s="1"/>
  <c r="F13" i="27" s="1" a="1"/>
  <c r="F13" i="27" s="1"/>
  <c r="B12" i="27"/>
  <c r="B11" i="27"/>
  <c r="M10" i="27" a="1"/>
  <c r="M10" i="27" s="1"/>
  <c r="M11" i="27" s="1" a="1"/>
  <c r="M11" i="27" s="1"/>
  <c r="L10" i="27" a="1"/>
  <c r="L10" i="27" s="1"/>
  <c r="L11" i="27" s="1" a="1"/>
  <c r="L11" i="27" s="1"/>
  <c r="K10" i="27" a="1"/>
  <c r="K10" i="27" s="1"/>
  <c r="K11" i="27" s="1" a="1"/>
  <c r="K11" i="27" s="1"/>
  <c r="G10" i="27" a="1"/>
  <c r="G10" i="27" s="1"/>
  <c r="G11" i="27" s="1" a="1"/>
  <c r="G11" i="27" s="1"/>
  <c r="F10" i="27" a="1"/>
  <c r="F10" i="27" s="1"/>
  <c r="F11" i="27" s="1" a="1"/>
  <c r="F11" i="27" s="1"/>
  <c r="B10" i="27"/>
  <c r="B9" i="27"/>
  <c r="M8" i="27" a="1"/>
  <c r="M8" i="27" s="1"/>
  <c r="M9" i="27" s="1" a="1"/>
  <c r="M9" i="27" s="1"/>
  <c r="L8" i="27" a="1"/>
  <c r="L8" i="27" s="1"/>
  <c r="L9" i="27" s="1" a="1"/>
  <c r="L9" i="27" s="1"/>
  <c r="K8" i="27" a="1"/>
  <c r="K8" i="27" s="1"/>
  <c r="K9" i="27" s="1" a="1"/>
  <c r="K9" i="27" s="1"/>
  <c r="G8" i="27" a="1"/>
  <c r="G8" i="27" s="1"/>
  <c r="G9" i="27" s="1" a="1"/>
  <c r="G9" i="27" s="1"/>
  <c r="F8" i="27" a="1"/>
  <c r="F8" i="27" s="1"/>
  <c r="F9" i="27" s="1" a="1"/>
  <c r="F9" i="27" s="1"/>
  <c r="B8" i="27"/>
  <c r="B7" i="27"/>
  <c r="M6" i="27" a="1"/>
  <c r="M6" i="27" s="1"/>
  <c r="M7" i="27" s="1" a="1"/>
  <c r="M7" i="27" s="1"/>
  <c r="L6" i="27" a="1"/>
  <c r="L6" i="27" s="1"/>
  <c r="L7" i="27" s="1" a="1"/>
  <c r="L7" i="27" s="1"/>
  <c r="K6" i="27" a="1"/>
  <c r="K6" i="27" s="1"/>
  <c r="K7" i="27" s="1" a="1"/>
  <c r="K7" i="27" s="1"/>
  <c r="G6" i="27" a="1"/>
  <c r="G6" i="27" s="1"/>
  <c r="G7" i="27" s="1" a="1"/>
  <c r="G7" i="27" s="1"/>
  <c r="F6" i="27" a="1"/>
  <c r="F6" i="27" s="1"/>
  <c r="F7" i="27" s="1" a="1"/>
  <c r="F7" i="27" s="1"/>
  <c r="D6" i="27" a="1"/>
  <c r="D6" i="27" s="1"/>
  <c r="B6" i="27"/>
  <c r="M4" i="27" a="1"/>
  <c r="M4" i="27" s="1"/>
  <c r="L4" i="27" a="1"/>
  <c r="L4" i="27" s="1"/>
  <c r="K4" i="27" a="1"/>
  <c r="K4" i="27" s="1"/>
  <c r="J4" i="27" a="1"/>
  <c r="J4" i="27" s="1"/>
  <c r="I4" i="27" a="1"/>
  <c r="I4" i="27" s="1"/>
  <c r="G4" i="27" a="1"/>
  <c r="G4" i="27" s="1"/>
  <c r="F4" i="27" a="1"/>
  <c r="F4" i="27" s="1"/>
  <c r="B43" i="26"/>
  <c r="M43" i="26" a="1"/>
  <c r="M43" i="26" s="1"/>
  <c r="L42" i="26" a="1"/>
  <c r="L42" i="26" s="1"/>
  <c r="L43" i="26" s="1" a="1"/>
  <c r="L43" i="26" s="1"/>
  <c r="K42" i="26" a="1"/>
  <c r="K42" i="26" s="1"/>
  <c r="K43" i="26" s="1" a="1"/>
  <c r="K43" i="26" s="1"/>
  <c r="G42" i="26" a="1"/>
  <c r="G42" i="26" s="1"/>
  <c r="G43" i="26" s="1" a="1"/>
  <c r="G43" i="26" s="1"/>
  <c r="F42" i="26" a="1"/>
  <c r="F42" i="26" s="1"/>
  <c r="F43" i="26" s="1" a="1"/>
  <c r="F43" i="26" s="1"/>
  <c r="D42" i="26" a="1"/>
  <c r="D42" i="26" s="1"/>
  <c r="B42" i="26"/>
  <c r="B37" i="26"/>
  <c r="M37" i="26" a="1"/>
  <c r="M37" i="26" s="1"/>
  <c r="L36" i="26" a="1"/>
  <c r="L36" i="26" s="1"/>
  <c r="L37" i="26" s="1" a="1"/>
  <c r="L37" i="26" s="1"/>
  <c r="K36" i="26" a="1"/>
  <c r="K36" i="26" s="1"/>
  <c r="K37" i="26" s="1" a="1"/>
  <c r="K37" i="26" s="1"/>
  <c r="G36" i="26" a="1"/>
  <c r="G36" i="26" s="1"/>
  <c r="G37" i="26" s="1" a="1"/>
  <c r="G37" i="26" s="1"/>
  <c r="F36" i="26" a="1"/>
  <c r="F36" i="26" s="1"/>
  <c r="F37" i="26" s="1" a="1"/>
  <c r="F37" i="26" s="1"/>
  <c r="D36" i="26" a="1"/>
  <c r="D36" i="26" s="1"/>
  <c r="B36" i="26"/>
  <c r="B35" i="26"/>
  <c r="M35" i="26" a="1"/>
  <c r="M35" i="26" s="1"/>
  <c r="L34" i="26" a="1"/>
  <c r="L34" i="26" s="1"/>
  <c r="L35" i="26" s="1" a="1"/>
  <c r="L35" i="26" s="1"/>
  <c r="K34" i="26" a="1"/>
  <c r="K34" i="26" s="1"/>
  <c r="K35" i="26" s="1" a="1"/>
  <c r="K35" i="26" s="1"/>
  <c r="G34" i="26" a="1"/>
  <c r="G34" i="26" s="1"/>
  <c r="G35" i="26" s="1" a="1"/>
  <c r="G35" i="26" s="1"/>
  <c r="F34" i="26" a="1"/>
  <c r="F34" i="26" s="1"/>
  <c r="F35" i="26" s="1" a="1"/>
  <c r="F35" i="26" s="1"/>
  <c r="D34" i="26" a="1"/>
  <c r="D34" i="26" s="1"/>
  <c r="B34" i="26"/>
  <c r="B33" i="26"/>
  <c r="M33" i="26" a="1"/>
  <c r="M33" i="26" s="1"/>
  <c r="L32" i="26" a="1"/>
  <c r="L32" i="26" s="1"/>
  <c r="L33" i="26" s="1" a="1"/>
  <c r="L33" i="26" s="1"/>
  <c r="K32" i="26" a="1"/>
  <c r="K32" i="26" s="1"/>
  <c r="K33" i="26" s="1" a="1"/>
  <c r="K33" i="26" s="1"/>
  <c r="G32" i="26" a="1"/>
  <c r="G32" i="26" s="1"/>
  <c r="G33" i="26" s="1" a="1"/>
  <c r="G33" i="26" s="1"/>
  <c r="F32" i="26" a="1"/>
  <c r="F32" i="26" s="1"/>
  <c r="F33" i="26" s="1" a="1"/>
  <c r="F33" i="26" s="1"/>
  <c r="D32" i="26" a="1"/>
  <c r="D32" i="26" s="1"/>
  <c r="B32" i="26"/>
  <c r="B31" i="26"/>
  <c r="M31" i="26" a="1"/>
  <c r="M31" i="26" s="1"/>
  <c r="L30" i="26" a="1"/>
  <c r="L30" i="26" s="1"/>
  <c r="L31" i="26" s="1" a="1"/>
  <c r="L31" i="26" s="1"/>
  <c r="K30" i="26" a="1"/>
  <c r="K30" i="26" s="1"/>
  <c r="K31" i="26" s="1" a="1"/>
  <c r="K31" i="26" s="1"/>
  <c r="G30" i="26" a="1"/>
  <c r="G30" i="26" s="1"/>
  <c r="G31" i="26" s="1" a="1"/>
  <c r="G31" i="26" s="1"/>
  <c r="F30" i="26" a="1"/>
  <c r="F30" i="26" s="1"/>
  <c r="F31" i="26" s="1" a="1"/>
  <c r="F31" i="26" s="1"/>
  <c r="D30" i="26" a="1"/>
  <c r="D30" i="26" s="1"/>
  <c r="B30" i="26"/>
  <c r="B29" i="26"/>
  <c r="M28" i="26" a="1"/>
  <c r="M28" i="26" s="1"/>
  <c r="M29" i="26" s="1" a="1"/>
  <c r="M29" i="26" s="1"/>
  <c r="L28" i="26" a="1"/>
  <c r="L28" i="26" s="1"/>
  <c r="L29" i="26" s="1" a="1"/>
  <c r="L29" i="26" s="1"/>
  <c r="K28" i="26" a="1"/>
  <c r="K28" i="26" s="1"/>
  <c r="K29" i="26" s="1" a="1"/>
  <c r="K29" i="26" s="1"/>
  <c r="G28" i="26" a="1"/>
  <c r="G28" i="26" s="1"/>
  <c r="G29" i="26" s="1" a="1"/>
  <c r="G29" i="26" s="1"/>
  <c r="F28" i="26" a="1"/>
  <c r="F28" i="26" s="1"/>
  <c r="F29" i="26" s="1" a="1"/>
  <c r="F29" i="26" s="1"/>
  <c r="D28" i="26" a="1"/>
  <c r="D28" i="26" s="1"/>
  <c r="B28" i="26"/>
  <c r="B27" i="26"/>
  <c r="M26" i="26" a="1"/>
  <c r="M26" i="26" s="1"/>
  <c r="M27" i="26" s="1" a="1"/>
  <c r="M27" i="26" s="1"/>
  <c r="L26" i="26" a="1"/>
  <c r="L26" i="26" s="1"/>
  <c r="L27" i="26" s="1" a="1"/>
  <c r="L27" i="26" s="1"/>
  <c r="K26" i="26" a="1"/>
  <c r="K26" i="26" s="1"/>
  <c r="K27" i="26" s="1" a="1"/>
  <c r="K27" i="26" s="1"/>
  <c r="G26" i="26" a="1"/>
  <c r="G26" i="26" s="1"/>
  <c r="G27" i="26" s="1" a="1"/>
  <c r="G27" i="26" s="1"/>
  <c r="F26" i="26" a="1"/>
  <c r="F26" i="26" s="1"/>
  <c r="F27" i="26" s="1" a="1"/>
  <c r="F27" i="26" s="1"/>
  <c r="D26" i="26" a="1"/>
  <c r="D26" i="26" s="1"/>
  <c r="B26" i="26"/>
  <c r="B23" i="26"/>
  <c r="M22" i="26" a="1"/>
  <c r="M22" i="26" s="1"/>
  <c r="M23" i="26" s="1" a="1"/>
  <c r="M23" i="26" s="1"/>
  <c r="L22" i="26" a="1"/>
  <c r="L22" i="26" s="1"/>
  <c r="L23" i="26" s="1" a="1"/>
  <c r="L23" i="26" s="1"/>
  <c r="K22" i="26" a="1"/>
  <c r="K22" i="26" s="1"/>
  <c r="K23" i="26" s="1" a="1"/>
  <c r="K23" i="26" s="1"/>
  <c r="G22" i="26" a="1"/>
  <c r="G22" i="26" s="1"/>
  <c r="G23" i="26" s="1" a="1"/>
  <c r="G23" i="26" s="1"/>
  <c r="F22" i="26" a="1"/>
  <c r="F22" i="26" s="1"/>
  <c r="F23" i="26" s="1" a="1"/>
  <c r="F23" i="26" s="1"/>
  <c r="D22" i="26" a="1"/>
  <c r="D22" i="26" s="1"/>
  <c r="B22" i="26"/>
  <c r="B19" i="26"/>
  <c r="M18" i="26" a="1"/>
  <c r="M18" i="26" s="1"/>
  <c r="M19" i="26" s="1" a="1"/>
  <c r="M19" i="26" s="1"/>
  <c r="L18" i="26" a="1"/>
  <c r="L18" i="26" s="1"/>
  <c r="L19" i="26" s="1" a="1"/>
  <c r="L19" i="26" s="1"/>
  <c r="K18" i="26" a="1"/>
  <c r="K18" i="26" s="1"/>
  <c r="K19" i="26" s="1" a="1"/>
  <c r="K19" i="26" s="1"/>
  <c r="G18" i="26" a="1"/>
  <c r="G18" i="26" s="1"/>
  <c r="G19" i="26" s="1" a="1"/>
  <c r="G19" i="26" s="1"/>
  <c r="F18" i="26" a="1"/>
  <c r="F18" i="26" s="1"/>
  <c r="F19" i="26" s="1" a="1"/>
  <c r="F19" i="26" s="1"/>
  <c r="D18" i="26" a="1"/>
  <c r="D18" i="26" s="1"/>
  <c r="B18" i="26"/>
  <c r="B17" i="26"/>
  <c r="M16" i="26" a="1"/>
  <c r="M16" i="26" s="1"/>
  <c r="M17" i="26" s="1" a="1"/>
  <c r="M17" i="26" s="1"/>
  <c r="L16" i="26" a="1"/>
  <c r="L16" i="26" s="1"/>
  <c r="L17" i="26" s="1" a="1"/>
  <c r="L17" i="26" s="1"/>
  <c r="K16" i="26" a="1"/>
  <c r="K16" i="26" s="1"/>
  <c r="K17" i="26" s="1" a="1"/>
  <c r="K17" i="26" s="1"/>
  <c r="G16" i="26" a="1"/>
  <c r="G16" i="26" s="1"/>
  <c r="G17" i="26" s="1" a="1"/>
  <c r="G17" i="26" s="1"/>
  <c r="F16" i="26" a="1"/>
  <c r="F16" i="26" s="1"/>
  <c r="F17" i="26" s="1" a="1"/>
  <c r="F17" i="26" s="1"/>
  <c r="D16" i="26" a="1"/>
  <c r="D16" i="26" s="1"/>
  <c r="B16" i="26"/>
  <c r="B13" i="26"/>
  <c r="M12" i="26" a="1"/>
  <c r="M12" i="26" s="1"/>
  <c r="M13" i="26" s="1" a="1"/>
  <c r="M13" i="26" s="1"/>
  <c r="L12" i="26" a="1"/>
  <c r="L12" i="26" s="1"/>
  <c r="L13" i="26" s="1" a="1"/>
  <c r="L13" i="26" s="1"/>
  <c r="K12" i="26" a="1"/>
  <c r="K12" i="26" s="1"/>
  <c r="K13" i="26" s="1" a="1"/>
  <c r="K13" i="26" s="1"/>
  <c r="G12" i="26" a="1"/>
  <c r="G12" i="26" s="1"/>
  <c r="G13" i="26" s="1" a="1"/>
  <c r="G13" i="26" s="1"/>
  <c r="F12" i="26" a="1"/>
  <c r="F12" i="26" s="1"/>
  <c r="F13" i="26" s="1" a="1"/>
  <c r="F13" i="26" s="1"/>
  <c r="D12" i="26" a="1"/>
  <c r="D12" i="26" s="1"/>
  <c r="B12" i="26"/>
  <c r="B11" i="26"/>
  <c r="M10" i="26" a="1"/>
  <c r="M10" i="26" s="1"/>
  <c r="M11" i="26" s="1" a="1"/>
  <c r="M11" i="26" s="1"/>
  <c r="L10" i="26" a="1"/>
  <c r="L10" i="26" s="1"/>
  <c r="L11" i="26" s="1" a="1"/>
  <c r="L11" i="26" s="1"/>
  <c r="K10" i="26" a="1"/>
  <c r="K10" i="26" s="1"/>
  <c r="K11" i="26" s="1" a="1"/>
  <c r="K11" i="26" s="1"/>
  <c r="G10" i="26" a="1"/>
  <c r="G10" i="26" s="1"/>
  <c r="G11" i="26" s="1" a="1"/>
  <c r="G11" i="26" s="1"/>
  <c r="F10" i="26" a="1"/>
  <c r="F10" i="26" s="1"/>
  <c r="F11" i="26" s="1" a="1"/>
  <c r="F11" i="26" s="1"/>
  <c r="D10" i="26" a="1"/>
  <c r="D10" i="26" s="1"/>
  <c r="B10" i="26"/>
  <c r="B9" i="26"/>
  <c r="M8" i="26" a="1"/>
  <c r="M8" i="26" s="1"/>
  <c r="M9" i="26" s="1" a="1"/>
  <c r="M9" i="26" s="1"/>
  <c r="L8" i="26" a="1"/>
  <c r="L8" i="26" s="1"/>
  <c r="L9" i="26" s="1" a="1"/>
  <c r="L9" i="26" s="1"/>
  <c r="K8" i="26" a="1"/>
  <c r="K8" i="26" s="1"/>
  <c r="K9" i="26" s="1" a="1"/>
  <c r="K9" i="26" s="1"/>
  <c r="G8" i="26" a="1"/>
  <c r="G8" i="26" s="1"/>
  <c r="G9" i="26" s="1" a="1"/>
  <c r="G9" i="26" s="1"/>
  <c r="F8" i="26" a="1"/>
  <c r="F8" i="26" s="1"/>
  <c r="F9" i="26" s="1" a="1"/>
  <c r="F9" i="26" s="1"/>
  <c r="B8" i="26"/>
  <c r="B7" i="26"/>
  <c r="M6" i="26" a="1"/>
  <c r="M6" i="26" s="1"/>
  <c r="M7" i="26" s="1" a="1"/>
  <c r="M7" i="26" s="1"/>
  <c r="L6" i="26" a="1"/>
  <c r="L6" i="26" s="1"/>
  <c r="L7" i="26" s="1" a="1"/>
  <c r="L7" i="26" s="1"/>
  <c r="K6" i="26" a="1"/>
  <c r="K6" i="26" s="1"/>
  <c r="K7" i="26" s="1" a="1"/>
  <c r="K7" i="26" s="1"/>
  <c r="G6" i="26" a="1"/>
  <c r="G6" i="26" s="1"/>
  <c r="G7" i="26" s="1" a="1"/>
  <c r="G7" i="26" s="1"/>
  <c r="F6" i="26" a="1"/>
  <c r="F6" i="26" s="1"/>
  <c r="F7" i="26" s="1" a="1"/>
  <c r="F7" i="26" s="1"/>
  <c r="D6" i="26" a="1"/>
  <c r="D6" i="26" s="1"/>
  <c r="B6" i="26"/>
  <c r="O4" i="26" a="1"/>
  <c r="O4" i="26" s="1"/>
  <c r="N4" i="26" a="1"/>
  <c r="N4" i="26" s="1"/>
  <c r="M4" i="26" a="1"/>
  <c r="M4" i="26" s="1"/>
  <c r="L4" i="26" a="1"/>
  <c r="L4" i="26" s="1"/>
  <c r="K4" i="26" a="1"/>
  <c r="K4" i="26" s="1"/>
  <c r="J4" i="26" a="1"/>
  <c r="J4" i="26" s="1"/>
  <c r="I4" i="26" a="1"/>
  <c r="I4" i="26" s="1"/>
  <c r="H4" i="26" a="1"/>
  <c r="H4" i="26" s="1"/>
  <c r="G4" i="26" a="1"/>
  <c r="G4" i="26" s="1"/>
  <c r="F4" i="26" a="1"/>
  <c r="F4" i="26" s="1"/>
  <c r="B43" i="24"/>
  <c r="M43" i="24" a="1"/>
  <c r="M43" i="24" s="1"/>
  <c r="L42" i="24" a="1"/>
  <c r="L42" i="24" s="1"/>
  <c r="L43" i="24" s="1" a="1"/>
  <c r="L43" i="24" s="1"/>
  <c r="K42" i="24" a="1"/>
  <c r="K42" i="24" s="1"/>
  <c r="K43" i="24" s="1" a="1"/>
  <c r="K43" i="24" s="1"/>
  <c r="G42" i="24" a="1"/>
  <c r="G42" i="24" s="1"/>
  <c r="G43" i="24" s="1" a="1"/>
  <c r="G43" i="24" s="1"/>
  <c r="F42" i="24" a="1"/>
  <c r="F42" i="24" s="1"/>
  <c r="F43" i="24" s="1" a="1"/>
  <c r="F43" i="24" s="1"/>
  <c r="D42" i="24" a="1"/>
  <c r="D42" i="24" s="1"/>
  <c r="B42" i="24"/>
  <c r="B37" i="24"/>
  <c r="M37" i="24" a="1"/>
  <c r="M37" i="24" s="1"/>
  <c r="L36" i="24" a="1"/>
  <c r="L36" i="24" s="1"/>
  <c r="L37" i="24" s="1" a="1"/>
  <c r="L37" i="24" s="1"/>
  <c r="K36" i="24" a="1"/>
  <c r="K36" i="24" s="1"/>
  <c r="K37" i="24" s="1" a="1"/>
  <c r="K37" i="24" s="1"/>
  <c r="G36" i="24" a="1"/>
  <c r="G36" i="24" s="1"/>
  <c r="G37" i="24" s="1" a="1"/>
  <c r="G37" i="24" s="1"/>
  <c r="F36" i="24" a="1"/>
  <c r="F36" i="24" s="1"/>
  <c r="F37" i="24" s="1" a="1"/>
  <c r="F37" i="24" s="1"/>
  <c r="D36" i="24" a="1"/>
  <c r="D36" i="24" s="1"/>
  <c r="B36" i="24"/>
  <c r="B35" i="24"/>
  <c r="M35" i="24" a="1"/>
  <c r="M35" i="24" s="1"/>
  <c r="L34" i="24" a="1"/>
  <c r="L34" i="24" s="1"/>
  <c r="L35" i="24" s="1" a="1"/>
  <c r="L35" i="24" s="1"/>
  <c r="K34" i="24" a="1"/>
  <c r="K34" i="24" s="1"/>
  <c r="K35" i="24" s="1" a="1"/>
  <c r="K35" i="24" s="1"/>
  <c r="G34" i="24" a="1"/>
  <c r="G34" i="24" s="1"/>
  <c r="G35" i="24" s="1" a="1"/>
  <c r="G35" i="24" s="1"/>
  <c r="F34" i="24" a="1"/>
  <c r="F34" i="24" s="1"/>
  <c r="F35" i="24" s="1" a="1"/>
  <c r="F35" i="24" s="1"/>
  <c r="D34" i="24" a="1"/>
  <c r="D34" i="24" s="1"/>
  <c r="B34" i="24"/>
  <c r="B33" i="24"/>
  <c r="M33" i="24" a="1"/>
  <c r="M33" i="24" s="1"/>
  <c r="L32" i="24" a="1"/>
  <c r="L32" i="24" s="1"/>
  <c r="L33" i="24" s="1" a="1"/>
  <c r="L33" i="24" s="1"/>
  <c r="K32" i="24" a="1"/>
  <c r="K32" i="24" s="1"/>
  <c r="K33" i="24" s="1" a="1"/>
  <c r="K33" i="24" s="1"/>
  <c r="G32" i="24" a="1"/>
  <c r="G32" i="24" s="1"/>
  <c r="G33" i="24" s="1" a="1"/>
  <c r="G33" i="24" s="1"/>
  <c r="F32" i="24" a="1"/>
  <c r="F32" i="24" s="1"/>
  <c r="F33" i="24" s="1" a="1"/>
  <c r="F33" i="24" s="1"/>
  <c r="D32" i="24" a="1"/>
  <c r="D32" i="24" s="1"/>
  <c r="B32" i="24"/>
  <c r="B31" i="24"/>
  <c r="M31" i="24" a="1"/>
  <c r="M31" i="24" s="1"/>
  <c r="L30" i="24" a="1"/>
  <c r="L30" i="24" s="1"/>
  <c r="L31" i="24" s="1" a="1"/>
  <c r="L31" i="24" s="1"/>
  <c r="K30" i="24" a="1"/>
  <c r="K30" i="24" s="1"/>
  <c r="K31" i="24" s="1" a="1"/>
  <c r="K31" i="24" s="1"/>
  <c r="G30" i="24" a="1"/>
  <c r="G30" i="24" s="1"/>
  <c r="G31" i="24" s="1" a="1"/>
  <c r="G31" i="24" s="1"/>
  <c r="F30" i="24" a="1"/>
  <c r="F30" i="24" s="1"/>
  <c r="F31" i="24" s="1" a="1"/>
  <c r="F31" i="24" s="1"/>
  <c r="D30" i="24" a="1"/>
  <c r="D30" i="24" s="1"/>
  <c r="B30" i="24"/>
  <c r="B29" i="24"/>
  <c r="M28" i="24" a="1"/>
  <c r="M28" i="24" s="1"/>
  <c r="M29" i="24" s="1" a="1"/>
  <c r="M29" i="24" s="1"/>
  <c r="L28" i="24" a="1"/>
  <c r="L28" i="24" s="1"/>
  <c r="L29" i="24" s="1" a="1"/>
  <c r="L29" i="24" s="1"/>
  <c r="K28" i="24" a="1"/>
  <c r="K28" i="24" s="1"/>
  <c r="K29" i="24" s="1" a="1"/>
  <c r="K29" i="24" s="1"/>
  <c r="G28" i="24" a="1"/>
  <c r="G28" i="24" s="1"/>
  <c r="G29" i="24" s="1" a="1"/>
  <c r="G29" i="24" s="1"/>
  <c r="F28" i="24" a="1"/>
  <c r="F28" i="24" s="1"/>
  <c r="F29" i="24" s="1" a="1"/>
  <c r="F29" i="24" s="1"/>
  <c r="D28" i="24" a="1"/>
  <c r="D28" i="24" s="1"/>
  <c r="B28" i="24"/>
  <c r="B27" i="24"/>
  <c r="M26" i="24" a="1"/>
  <c r="M26" i="24" s="1"/>
  <c r="M27" i="24" s="1" a="1"/>
  <c r="M27" i="24" s="1"/>
  <c r="L26" i="24" a="1"/>
  <c r="L26" i="24" s="1"/>
  <c r="L27" i="24" s="1" a="1"/>
  <c r="L27" i="24" s="1"/>
  <c r="K26" i="24" a="1"/>
  <c r="K26" i="24" s="1"/>
  <c r="K27" i="24" s="1" a="1"/>
  <c r="K27" i="24" s="1"/>
  <c r="G26" i="24" a="1"/>
  <c r="G26" i="24" s="1"/>
  <c r="G27" i="24" s="1" a="1"/>
  <c r="G27" i="24" s="1"/>
  <c r="F26" i="24" a="1"/>
  <c r="F26" i="24" s="1"/>
  <c r="F27" i="24" s="1" a="1"/>
  <c r="F27" i="24" s="1"/>
  <c r="D26" i="24" a="1"/>
  <c r="D26" i="24" s="1"/>
  <c r="B26" i="24"/>
  <c r="B25" i="24"/>
  <c r="M24" i="24" a="1"/>
  <c r="M24" i="24" s="1"/>
  <c r="M25" i="24" s="1" a="1"/>
  <c r="M25" i="24" s="1"/>
  <c r="L24" i="24" a="1"/>
  <c r="L24" i="24" s="1"/>
  <c r="L25" i="24" s="1" a="1"/>
  <c r="L25" i="24" s="1"/>
  <c r="K24" i="24" a="1"/>
  <c r="K24" i="24" s="1"/>
  <c r="K25" i="24" s="1" a="1"/>
  <c r="K25" i="24" s="1"/>
  <c r="G24" i="24" a="1"/>
  <c r="G24" i="24" s="1"/>
  <c r="G25" i="24" s="1" a="1"/>
  <c r="G25" i="24" s="1"/>
  <c r="F24" i="24" a="1"/>
  <c r="F24" i="24" s="1"/>
  <c r="F25" i="24" s="1" a="1"/>
  <c r="F25" i="24" s="1"/>
  <c r="D24" i="24" a="1"/>
  <c r="D24" i="24" s="1"/>
  <c r="B24" i="24"/>
  <c r="B23" i="24"/>
  <c r="M22" i="24" a="1"/>
  <c r="M22" i="24" s="1"/>
  <c r="M23" i="24" s="1" a="1"/>
  <c r="M23" i="24" s="1"/>
  <c r="L22" i="24" a="1"/>
  <c r="L22" i="24" s="1"/>
  <c r="L23" i="24" s="1" a="1"/>
  <c r="L23" i="24" s="1"/>
  <c r="K22" i="24" a="1"/>
  <c r="K22" i="24" s="1"/>
  <c r="K23" i="24" s="1" a="1"/>
  <c r="K23" i="24" s="1"/>
  <c r="G22" i="24" a="1"/>
  <c r="G22" i="24" s="1"/>
  <c r="G23" i="24" s="1" a="1"/>
  <c r="G23" i="24" s="1"/>
  <c r="F22" i="24" a="1"/>
  <c r="F22" i="24" s="1"/>
  <c r="F23" i="24" s="1" a="1"/>
  <c r="F23" i="24" s="1"/>
  <c r="D22" i="24" a="1"/>
  <c r="D22" i="24" s="1"/>
  <c r="B22" i="24"/>
  <c r="B19" i="24"/>
  <c r="M18" i="24" a="1"/>
  <c r="M18" i="24" s="1"/>
  <c r="M19" i="24" s="1" a="1"/>
  <c r="M19" i="24" s="1"/>
  <c r="L18" i="24" a="1"/>
  <c r="L18" i="24" s="1"/>
  <c r="L19" i="24" s="1" a="1"/>
  <c r="L19" i="24" s="1"/>
  <c r="K18" i="24" a="1"/>
  <c r="K18" i="24" s="1"/>
  <c r="K19" i="24" s="1" a="1"/>
  <c r="K19" i="24" s="1"/>
  <c r="G18" i="24" a="1"/>
  <c r="G18" i="24" s="1"/>
  <c r="G19" i="24" s="1" a="1"/>
  <c r="G19" i="24" s="1"/>
  <c r="F18" i="24" a="1"/>
  <c r="F18" i="24" s="1"/>
  <c r="F19" i="24" s="1" a="1"/>
  <c r="F19" i="24" s="1"/>
  <c r="D18" i="24" a="1"/>
  <c r="D18" i="24" s="1"/>
  <c r="B18" i="24"/>
  <c r="B17" i="24"/>
  <c r="M16" i="24" a="1"/>
  <c r="M16" i="24" s="1"/>
  <c r="M17" i="24" s="1" a="1"/>
  <c r="M17" i="24" s="1"/>
  <c r="L16" i="24" a="1"/>
  <c r="L16" i="24" s="1"/>
  <c r="L17" i="24" s="1" a="1"/>
  <c r="L17" i="24" s="1"/>
  <c r="K16" i="24" a="1"/>
  <c r="K16" i="24" s="1"/>
  <c r="K17" i="24" s="1" a="1"/>
  <c r="K17" i="24" s="1"/>
  <c r="G16" i="24" a="1"/>
  <c r="G16" i="24" s="1"/>
  <c r="G17" i="24" s="1" a="1"/>
  <c r="G17" i="24" s="1"/>
  <c r="F16" i="24" a="1"/>
  <c r="F16" i="24" s="1"/>
  <c r="F17" i="24" s="1" a="1"/>
  <c r="F17" i="24" s="1"/>
  <c r="D16" i="24" a="1"/>
  <c r="D16" i="24" s="1"/>
  <c r="B16" i="24"/>
  <c r="B13" i="24"/>
  <c r="M12" i="24" a="1"/>
  <c r="M12" i="24" s="1"/>
  <c r="M13" i="24" s="1" a="1"/>
  <c r="M13" i="24" s="1"/>
  <c r="L12" i="24" a="1"/>
  <c r="L12" i="24" s="1"/>
  <c r="L13" i="24" s="1" a="1"/>
  <c r="L13" i="24" s="1"/>
  <c r="K12" i="24" a="1"/>
  <c r="K12" i="24" s="1"/>
  <c r="K13" i="24" s="1" a="1"/>
  <c r="K13" i="24" s="1"/>
  <c r="G12" i="24" a="1"/>
  <c r="G12" i="24" s="1"/>
  <c r="G13" i="24" s="1" a="1"/>
  <c r="G13" i="24" s="1"/>
  <c r="F12" i="24" a="1"/>
  <c r="F12" i="24" s="1"/>
  <c r="F13" i="24" s="1" a="1"/>
  <c r="F13" i="24" s="1"/>
  <c r="D12" i="24" a="1"/>
  <c r="D12" i="24" s="1"/>
  <c r="B12" i="24"/>
  <c r="B11" i="24"/>
  <c r="M10" i="24" a="1"/>
  <c r="M10" i="24" s="1"/>
  <c r="M11" i="24" s="1" a="1"/>
  <c r="M11" i="24" s="1"/>
  <c r="L10" i="24" a="1"/>
  <c r="L10" i="24" s="1"/>
  <c r="L11" i="24" s="1" a="1"/>
  <c r="L11" i="24" s="1"/>
  <c r="K10" i="24" a="1"/>
  <c r="K10" i="24" s="1"/>
  <c r="K11" i="24" s="1" a="1"/>
  <c r="K11" i="24" s="1"/>
  <c r="G10" i="24" a="1"/>
  <c r="G10" i="24" s="1"/>
  <c r="G11" i="24" s="1" a="1"/>
  <c r="G11" i="24" s="1"/>
  <c r="F10" i="24" a="1"/>
  <c r="F10" i="24" s="1"/>
  <c r="F11" i="24" s="1" a="1"/>
  <c r="F11" i="24" s="1"/>
  <c r="D10" i="24" a="1"/>
  <c r="D10" i="24" s="1"/>
  <c r="B10" i="24"/>
  <c r="B9" i="24"/>
  <c r="M8" i="24" a="1"/>
  <c r="M8" i="24" s="1"/>
  <c r="M9" i="24" s="1" a="1"/>
  <c r="M9" i="24" s="1"/>
  <c r="L8" i="24" a="1"/>
  <c r="L8" i="24" s="1"/>
  <c r="L9" i="24" s="1" a="1"/>
  <c r="L9" i="24" s="1"/>
  <c r="K8" i="24" a="1"/>
  <c r="K8" i="24" s="1"/>
  <c r="K9" i="24" s="1" a="1"/>
  <c r="K9" i="24" s="1"/>
  <c r="G8" i="24" a="1"/>
  <c r="G8" i="24" s="1"/>
  <c r="G9" i="24" s="1" a="1"/>
  <c r="G9" i="24" s="1"/>
  <c r="F8" i="24" a="1"/>
  <c r="F8" i="24" s="1"/>
  <c r="F9" i="24" s="1" a="1"/>
  <c r="F9" i="24" s="1"/>
  <c r="B8" i="24"/>
  <c r="B7" i="24"/>
  <c r="M6" i="24" a="1"/>
  <c r="M6" i="24" s="1"/>
  <c r="M7" i="24" s="1" a="1"/>
  <c r="M7" i="24" s="1"/>
  <c r="L6" i="24" a="1"/>
  <c r="L6" i="24" s="1"/>
  <c r="L7" i="24" s="1" a="1"/>
  <c r="L7" i="24" s="1"/>
  <c r="K6" i="24" a="1"/>
  <c r="K6" i="24" s="1"/>
  <c r="K7" i="24" s="1" a="1"/>
  <c r="K7" i="24" s="1"/>
  <c r="G6" i="24" a="1"/>
  <c r="G6" i="24" s="1"/>
  <c r="G7" i="24" s="1" a="1"/>
  <c r="G7" i="24" s="1"/>
  <c r="F6" i="24" a="1"/>
  <c r="F6" i="24" s="1"/>
  <c r="F7" i="24" s="1" a="1"/>
  <c r="F7" i="24" s="1"/>
  <c r="D6" i="24" a="1"/>
  <c r="D6" i="24" s="1"/>
  <c r="B6" i="24"/>
  <c r="O4" i="24" a="1"/>
  <c r="O4" i="24" s="1"/>
  <c r="N4" i="24" a="1"/>
  <c r="N4" i="24" s="1"/>
  <c r="M4" i="24" a="1"/>
  <c r="M4" i="24" s="1"/>
  <c r="L4" i="24" a="1"/>
  <c r="L4" i="24" s="1"/>
  <c r="K4" i="24" a="1"/>
  <c r="K4" i="24" s="1"/>
  <c r="J4" i="24" a="1"/>
  <c r="J4" i="24" s="1"/>
  <c r="I4" i="24" a="1"/>
  <c r="I4" i="24" s="1"/>
  <c r="H4" i="24" a="1"/>
  <c r="H4" i="24" s="1"/>
  <c r="G4" i="24" a="1"/>
  <c r="G4" i="24" s="1"/>
  <c r="F4" i="24" a="1"/>
  <c r="F4" i="24" s="1"/>
  <c r="L4" i="23" a="1"/>
  <c r="L4" i="23" s="1"/>
  <c r="B43" i="23"/>
  <c r="O43" i="23" a="1"/>
  <c r="O43" i="23" s="1"/>
  <c r="N42" i="23" a="1"/>
  <c r="N42" i="23" s="1"/>
  <c r="N43" i="23" s="1" a="1"/>
  <c r="N43" i="23" s="1"/>
  <c r="M42" i="23" a="1"/>
  <c r="M42" i="23" s="1"/>
  <c r="M43" i="23" s="1" a="1"/>
  <c r="M43" i="23" s="1"/>
  <c r="F42" i="23" a="1"/>
  <c r="F42" i="23" s="1"/>
  <c r="F43" i="23" s="1" a="1"/>
  <c r="F43" i="23" s="1"/>
  <c r="D42" i="23" a="1"/>
  <c r="D42" i="23" s="1"/>
  <c r="B42" i="23"/>
  <c r="B37" i="23"/>
  <c r="O37" i="23" a="1"/>
  <c r="O37" i="23" s="1"/>
  <c r="N36" i="23" a="1"/>
  <c r="N36" i="23" s="1"/>
  <c r="N37" i="23" s="1" a="1"/>
  <c r="N37" i="23" s="1"/>
  <c r="M36" i="23" a="1"/>
  <c r="M36" i="23" s="1"/>
  <c r="M37" i="23" s="1" a="1"/>
  <c r="M37" i="23" s="1"/>
  <c r="F36" i="23" a="1"/>
  <c r="F36" i="23" s="1"/>
  <c r="F37" i="23" s="1" a="1"/>
  <c r="F37" i="23" s="1"/>
  <c r="D36" i="23" a="1"/>
  <c r="D36" i="23" s="1"/>
  <c r="B36" i="23"/>
  <c r="B35" i="23"/>
  <c r="O35" i="23" a="1"/>
  <c r="O35" i="23" s="1"/>
  <c r="N34" i="23" a="1"/>
  <c r="N34" i="23" s="1"/>
  <c r="N35" i="23" s="1" a="1"/>
  <c r="N35" i="23" s="1"/>
  <c r="M34" i="23" a="1"/>
  <c r="M34" i="23" s="1"/>
  <c r="M35" i="23" s="1" a="1"/>
  <c r="M35" i="23" s="1"/>
  <c r="F34" i="23" a="1"/>
  <c r="F34" i="23" s="1"/>
  <c r="F35" i="23" s="1" a="1"/>
  <c r="F35" i="23" s="1"/>
  <c r="D34" i="23" a="1"/>
  <c r="D34" i="23" s="1"/>
  <c r="B34" i="23"/>
  <c r="B33" i="23"/>
  <c r="O33" i="23" a="1"/>
  <c r="O33" i="23" s="1"/>
  <c r="N32" i="23" a="1"/>
  <c r="N32" i="23" s="1"/>
  <c r="N33" i="23" s="1" a="1"/>
  <c r="N33" i="23" s="1"/>
  <c r="M32" i="23" a="1"/>
  <c r="M32" i="23" s="1"/>
  <c r="M33" i="23" s="1" a="1"/>
  <c r="M33" i="23" s="1"/>
  <c r="F32" i="23" a="1"/>
  <c r="F32" i="23" s="1"/>
  <c r="F33" i="23" s="1" a="1"/>
  <c r="F33" i="23" s="1"/>
  <c r="D32" i="23" a="1"/>
  <c r="D32" i="23" s="1"/>
  <c r="B32" i="23"/>
  <c r="B31" i="23"/>
  <c r="O31" i="23" a="1"/>
  <c r="O31" i="23" s="1"/>
  <c r="N30" i="23" a="1"/>
  <c r="N30" i="23" s="1"/>
  <c r="N31" i="23" s="1" a="1"/>
  <c r="N31" i="23" s="1"/>
  <c r="M30" i="23" a="1"/>
  <c r="M30" i="23" s="1"/>
  <c r="M31" i="23" s="1" a="1"/>
  <c r="M31" i="23" s="1"/>
  <c r="F30" i="23" a="1"/>
  <c r="F30" i="23" s="1"/>
  <c r="F31" i="23" s="1" a="1"/>
  <c r="F31" i="23" s="1"/>
  <c r="D30" i="23" a="1"/>
  <c r="D30" i="23" s="1"/>
  <c r="B30" i="23"/>
  <c r="B29" i="23"/>
  <c r="O28" i="23" a="1"/>
  <c r="O28" i="23" s="1"/>
  <c r="O29" i="23" s="1" a="1"/>
  <c r="O29" i="23" s="1"/>
  <c r="N28" i="23" a="1"/>
  <c r="N28" i="23" s="1"/>
  <c r="N29" i="23" s="1" a="1"/>
  <c r="N29" i="23" s="1"/>
  <c r="M28" i="23" a="1"/>
  <c r="M28" i="23" s="1"/>
  <c r="M29" i="23" s="1" a="1"/>
  <c r="M29" i="23" s="1"/>
  <c r="F28" i="23" a="1"/>
  <c r="F28" i="23" s="1"/>
  <c r="F29" i="23" s="1" a="1"/>
  <c r="F29" i="23" s="1"/>
  <c r="D28" i="23" a="1"/>
  <c r="D28" i="23" s="1"/>
  <c r="B28" i="23"/>
  <c r="B27" i="23"/>
  <c r="O26" i="23" a="1"/>
  <c r="O26" i="23" s="1"/>
  <c r="O27" i="23" s="1" a="1"/>
  <c r="O27" i="23" s="1"/>
  <c r="N26" i="23" a="1"/>
  <c r="N26" i="23" s="1"/>
  <c r="N27" i="23" s="1" a="1"/>
  <c r="N27" i="23" s="1"/>
  <c r="M26" i="23" a="1"/>
  <c r="M26" i="23" s="1"/>
  <c r="M27" i="23" s="1" a="1"/>
  <c r="M27" i="23" s="1"/>
  <c r="F26" i="23" a="1"/>
  <c r="F26" i="23" s="1"/>
  <c r="F27" i="23" s="1" a="1"/>
  <c r="F27" i="23" s="1"/>
  <c r="D26" i="23" a="1"/>
  <c r="D26" i="23" s="1"/>
  <c r="B26" i="23"/>
  <c r="B25" i="23"/>
  <c r="O24" i="23" a="1"/>
  <c r="O24" i="23" s="1"/>
  <c r="O25" i="23" s="1" a="1"/>
  <c r="O25" i="23" s="1"/>
  <c r="N24" i="23" a="1"/>
  <c r="N24" i="23" s="1"/>
  <c r="N25" i="23" s="1" a="1"/>
  <c r="N25" i="23" s="1"/>
  <c r="M24" i="23" a="1"/>
  <c r="M24" i="23" s="1"/>
  <c r="M25" i="23" s="1" a="1"/>
  <c r="M25" i="23" s="1"/>
  <c r="F24" i="23" a="1"/>
  <c r="F24" i="23" s="1"/>
  <c r="F25" i="23" s="1" a="1"/>
  <c r="F25" i="23" s="1"/>
  <c r="D24" i="23" a="1"/>
  <c r="D24" i="23" s="1"/>
  <c r="B24" i="23"/>
  <c r="B23" i="23"/>
  <c r="O22" i="23" a="1"/>
  <c r="O22" i="23" s="1"/>
  <c r="O23" i="23" s="1" a="1"/>
  <c r="O23" i="23" s="1"/>
  <c r="N22" i="23" a="1"/>
  <c r="N22" i="23" s="1"/>
  <c r="N23" i="23" s="1" a="1"/>
  <c r="N23" i="23" s="1"/>
  <c r="M22" i="23" a="1"/>
  <c r="M22" i="23" s="1"/>
  <c r="M23" i="23" s="1" a="1"/>
  <c r="M23" i="23" s="1"/>
  <c r="F22" i="23" a="1"/>
  <c r="F22" i="23" s="1"/>
  <c r="F23" i="23" s="1" a="1"/>
  <c r="F23" i="23" s="1"/>
  <c r="D22" i="23" a="1"/>
  <c r="D22" i="23" s="1"/>
  <c r="B22" i="23"/>
  <c r="B19" i="23"/>
  <c r="O18" i="23" a="1"/>
  <c r="O18" i="23" s="1"/>
  <c r="O19" i="23" s="1" a="1"/>
  <c r="O19" i="23" s="1"/>
  <c r="N18" i="23" a="1"/>
  <c r="N18" i="23" s="1"/>
  <c r="N19" i="23" s="1" a="1"/>
  <c r="N19" i="23" s="1"/>
  <c r="M18" i="23" a="1"/>
  <c r="M18" i="23" s="1"/>
  <c r="M19" i="23" s="1" a="1"/>
  <c r="M19" i="23" s="1"/>
  <c r="F18" i="23" a="1"/>
  <c r="F18" i="23" s="1"/>
  <c r="F19" i="23" s="1" a="1"/>
  <c r="F19" i="23" s="1"/>
  <c r="D18" i="23" a="1"/>
  <c r="D18" i="23" s="1"/>
  <c r="B18" i="23"/>
  <c r="B17" i="23"/>
  <c r="O16" i="23" a="1"/>
  <c r="O16" i="23" s="1"/>
  <c r="O17" i="23" s="1" a="1"/>
  <c r="O17" i="23" s="1"/>
  <c r="N16" i="23" a="1"/>
  <c r="N16" i="23" s="1"/>
  <c r="N17" i="23" s="1" a="1"/>
  <c r="N17" i="23" s="1"/>
  <c r="M16" i="23" a="1"/>
  <c r="M16" i="23" s="1"/>
  <c r="M17" i="23" s="1" a="1"/>
  <c r="M17" i="23" s="1"/>
  <c r="F16" i="23" a="1"/>
  <c r="F16" i="23" s="1"/>
  <c r="F17" i="23" s="1" a="1"/>
  <c r="F17" i="23" s="1"/>
  <c r="D16" i="23" a="1"/>
  <c r="D16" i="23" s="1"/>
  <c r="B16" i="23"/>
  <c r="B13" i="23"/>
  <c r="O12" i="23" a="1"/>
  <c r="O12" i="23" s="1"/>
  <c r="O13" i="23" s="1" a="1"/>
  <c r="O13" i="23" s="1"/>
  <c r="N12" i="23" a="1"/>
  <c r="N12" i="23" s="1"/>
  <c r="N13" i="23" s="1" a="1"/>
  <c r="N13" i="23" s="1"/>
  <c r="M12" i="23" a="1"/>
  <c r="M12" i="23" s="1"/>
  <c r="M13" i="23" s="1" a="1"/>
  <c r="M13" i="23" s="1"/>
  <c r="F12" i="23" a="1"/>
  <c r="F12" i="23" s="1"/>
  <c r="F13" i="23" s="1" a="1"/>
  <c r="F13" i="23" s="1"/>
  <c r="D12" i="23" a="1"/>
  <c r="D12" i="23" s="1"/>
  <c r="B12" i="23"/>
  <c r="B11" i="23"/>
  <c r="O10" i="23" a="1"/>
  <c r="O10" i="23" s="1"/>
  <c r="O11" i="23" s="1" a="1"/>
  <c r="O11" i="23" s="1"/>
  <c r="N10" i="23" a="1"/>
  <c r="N10" i="23" s="1"/>
  <c r="N11" i="23" s="1" a="1"/>
  <c r="N11" i="23" s="1"/>
  <c r="M10" i="23" a="1"/>
  <c r="M10" i="23" s="1"/>
  <c r="M11" i="23" s="1" a="1"/>
  <c r="M11" i="23" s="1"/>
  <c r="F10" i="23" a="1"/>
  <c r="F10" i="23" s="1"/>
  <c r="F11" i="23" s="1" a="1"/>
  <c r="F11" i="23" s="1"/>
  <c r="D10" i="23" a="1"/>
  <c r="D10" i="23" s="1"/>
  <c r="B10" i="23"/>
  <c r="B9" i="23"/>
  <c r="O8" i="23" a="1"/>
  <c r="O8" i="23" s="1"/>
  <c r="O9" i="23" s="1" a="1"/>
  <c r="O9" i="23" s="1"/>
  <c r="N8" i="23" a="1"/>
  <c r="N8" i="23" s="1"/>
  <c r="N9" i="23" s="1" a="1"/>
  <c r="N9" i="23" s="1"/>
  <c r="M8" i="23" a="1"/>
  <c r="M8" i="23" s="1"/>
  <c r="M9" i="23" s="1" a="1"/>
  <c r="M9" i="23" s="1"/>
  <c r="F8" i="23" a="1"/>
  <c r="F8" i="23" s="1"/>
  <c r="F9" i="23" s="1" a="1"/>
  <c r="F9" i="23" s="1"/>
  <c r="B8" i="23"/>
  <c r="B7" i="23"/>
  <c r="O6" i="23" a="1"/>
  <c r="O6" i="23" s="1"/>
  <c r="O7" i="23" s="1" a="1"/>
  <c r="O7" i="23" s="1"/>
  <c r="N6" i="23" a="1"/>
  <c r="N6" i="23" s="1"/>
  <c r="N7" i="23" s="1" a="1"/>
  <c r="N7" i="23" s="1"/>
  <c r="M6" i="23" a="1"/>
  <c r="M6" i="23" s="1"/>
  <c r="M7" i="23" s="1" a="1"/>
  <c r="M7" i="23" s="1"/>
  <c r="F6" i="23" a="1"/>
  <c r="F6" i="23" s="1"/>
  <c r="F7" i="23" s="1" a="1"/>
  <c r="F7" i="23" s="1"/>
  <c r="D6" i="23" a="1"/>
  <c r="D6" i="23" s="1"/>
  <c r="B6" i="23"/>
  <c r="O4" i="23" a="1"/>
  <c r="O4" i="23" s="1"/>
  <c r="N4" i="23" a="1"/>
  <c r="N4" i="23" s="1"/>
  <c r="M4" i="23" a="1"/>
  <c r="M4" i="23" s="1"/>
  <c r="K4" i="23" a="1"/>
  <c r="K4" i="23" s="1"/>
  <c r="J4" i="23" a="1"/>
  <c r="J4" i="23" s="1"/>
  <c r="I4" i="23" a="1"/>
  <c r="I4" i="23" s="1"/>
  <c r="H4" i="23" a="1"/>
  <c r="H4" i="23" s="1"/>
  <c r="G4" i="23" a="1"/>
  <c r="G4" i="23" s="1"/>
  <c r="F4" i="23" a="1"/>
  <c r="F4" i="23" s="1"/>
  <c r="O43" i="21" a="1"/>
  <c r="O43" i="21" s="1"/>
  <c r="N42" i="21" a="1"/>
  <c r="N42" i="21" s="1"/>
  <c r="N43" i="21" s="1" a="1"/>
  <c r="N43" i="21" s="1"/>
  <c r="M42" i="21" a="1"/>
  <c r="M42" i="21" s="1"/>
  <c r="M43" i="21" s="1" a="1"/>
  <c r="M43" i="21" s="1"/>
  <c r="G42" i="21" a="1"/>
  <c r="G42" i="21" s="1"/>
  <c r="G43" i="21" s="1" a="1"/>
  <c r="G43" i="21" s="1"/>
  <c r="F42" i="21" a="1"/>
  <c r="F42" i="21" s="1"/>
  <c r="F43" i="21" s="1" a="1"/>
  <c r="F43" i="21" s="1"/>
  <c r="O37" i="21" a="1"/>
  <c r="O37" i="21" s="1"/>
  <c r="N36" i="21" a="1"/>
  <c r="N36" i="21" s="1"/>
  <c r="N37" i="21" s="1" a="1"/>
  <c r="N37" i="21" s="1"/>
  <c r="M36" i="21" a="1"/>
  <c r="M36" i="21" s="1"/>
  <c r="M37" i="21" s="1" a="1"/>
  <c r="M37" i="21" s="1"/>
  <c r="G36" i="21" a="1"/>
  <c r="G36" i="21" s="1"/>
  <c r="G37" i="21" s="1" a="1"/>
  <c r="G37" i="21" s="1"/>
  <c r="F36" i="21" a="1"/>
  <c r="F36" i="21" s="1"/>
  <c r="F37" i="21" s="1" a="1"/>
  <c r="F37" i="21" s="1"/>
  <c r="O35" i="21" a="1"/>
  <c r="O35" i="21" s="1"/>
  <c r="N34" i="21" a="1"/>
  <c r="N34" i="21" s="1"/>
  <c r="N35" i="21" s="1" a="1"/>
  <c r="N35" i="21" s="1"/>
  <c r="M34" i="21" a="1"/>
  <c r="M34" i="21" s="1"/>
  <c r="M35" i="21" s="1" a="1"/>
  <c r="M35" i="21" s="1"/>
  <c r="G34" i="21" a="1"/>
  <c r="G34" i="21" s="1"/>
  <c r="G35" i="21" s="1" a="1"/>
  <c r="G35" i="21" s="1"/>
  <c r="F34" i="21" a="1"/>
  <c r="F34" i="21" s="1"/>
  <c r="F35" i="21" s="1" a="1"/>
  <c r="F35" i="21" s="1"/>
  <c r="O33" i="21" a="1"/>
  <c r="O33" i="21" s="1"/>
  <c r="N32" i="21" a="1"/>
  <c r="N32" i="21" s="1"/>
  <c r="N33" i="21" s="1" a="1"/>
  <c r="N33" i="21" s="1"/>
  <c r="M32" i="21" a="1"/>
  <c r="M32" i="21" s="1"/>
  <c r="M33" i="21" s="1" a="1"/>
  <c r="M33" i="21" s="1"/>
  <c r="G32" i="21" a="1"/>
  <c r="G32" i="21" s="1"/>
  <c r="G33" i="21" s="1" a="1"/>
  <c r="G33" i="21" s="1"/>
  <c r="F32" i="21" a="1"/>
  <c r="F32" i="21" s="1"/>
  <c r="F33" i="21" s="1" a="1"/>
  <c r="F33" i="21" s="1"/>
  <c r="O31" i="21" a="1"/>
  <c r="O31" i="21" s="1"/>
  <c r="N30" i="21" a="1"/>
  <c r="N30" i="21" s="1"/>
  <c r="N31" i="21" s="1" a="1"/>
  <c r="N31" i="21" s="1"/>
  <c r="M30" i="21" a="1"/>
  <c r="M30" i="21" s="1"/>
  <c r="M31" i="21" s="1" a="1"/>
  <c r="M31" i="21" s="1"/>
  <c r="G30" i="21" a="1"/>
  <c r="G30" i="21" s="1"/>
  <c r="G31" i="21" s="1" a="1"/>
  <c r="G31" i="21" s="1"/>
  <c r="F30" i="21" a="1"/>
  <c r="F30" i="21" s="1"/>
  <c r="F31" i="21" s="1" a="1"/>
  <c r="F31" i="21" s="1"/>
  <c r="O28" i="21" a="1"/>
  <c r="O28" i="21" s="1"/>
  <c r="O29" i="21" s="1" a="1"/>
  <c r="O29" i="21" s="1"/>
  <c r="N28" i="21" a="1"/>
  <c r="N28" i="21" s="1"/>
  <c r="N29" i="21" s="1" a="1"/>
  <c r="N29" i="21" s="1"/>
  <c r="M28" i="21" a="1"/>
  <c r="M28" i="21" s="1"/>
  <c r="M29" i="21" s="1" a="1"/>
  <c r="M29" i="21" s="1"/>
  <c r="G28" i="21" a="1"/>
  <c r="G28" i="21" s="1"/>
  <c r="G29" i="21" s="1" a="1"/>
  <c r="G29" i="21" s="1"/>
  <c r="F28" i="21" a="1"/>
  <c r="F28" i="21" s="1"/>
  <c r="F29" i="21" s="1" a="1"/>
  <c r="F29" i="21" s="1"/>
  <c r="O26" i="21" a="1"/>
  <c r="O26" i="21" s="1"/>
  <c r="O27" i="21" s="1" a="1"/>
  <c r="O27" i="21" s="1"/>
  <c r="N26" i="21" a="1"/>
  <c r="N26" i="21" s="1"/>
  <c r="N27" i="21" s="1" a="1"/>
  <c r="N27" i="21" s="1"/>
  <c r="M26" i="21" a="1"/>
  <c r="M26" i="21" s="1"/>
  <c r="M27" i="21" s="1" a="1"/>
  <c r="M27" i="21" s="1"/>
  <c r="G26" i="21" a="1"/>
  <c r="G26" i="21" s="1"/>
  <c r="G27" i="21" s="1" a="1"/>
  <c r="G27" i="21" s="1"/>
  <c r="F26" i="21" a="1"/>
  <c r="F26" i="21" s="1"/>
  <c r="F27" i="21" s="1" a="1"/>
  <c r="F27" i="21" s="1"/>
  <c r="O24" i="21" a="1"/>
  <c r="O24" i="21" s="1"/>
  <c r="O25" i="21" s="1" a="1"/>
  <c r="O25" i="21" s="1"/>
  <c r="N24" i="21" a="1"/>
  <c r="N24" i="21" s="1"/>
  <c r="N25" i="21" s="1" a="1"/>
  <c r="N25" i="21" s="1"/>
  <c r="M24" i="21" a="1"/>
  <c r="M24" i="21" s="1"/>
  <c r="M25" i="21" s="1" a="1"/>
  <c r="M25" i="21" s="1"/>
  <c r="G24" i="21" a="1"/>
  <c r="G24" i="21" s="1"/>
  <c r="G25" i="21" s="1" a="1"/>
  <c r="G25" i="21" s="1"/>
  <c r="F24" i="21" a="1"/>
  <c r="F24" i="21" s="1"/>
  <c r="F25" i="21" s="1" a="1"/>
  <c r="F25" i="21" s="1"/>
  <c r="O22" i="21" a="1"/>
  <c r="O22" i="21" s="1"/>
  <c r="O23" i="21" s="1" a="1"/>
  <c r="O23" i="21" s="1"/>
  <c r="N22" i="21" a="1"/>
  <c r="N22" i="21" s="1"/>
  <c r="N23" i="21" s="1" a="1"/>
  <c r="N23" i="21" s="1"/>
  <c r="M22" i="21" a="1"/>
  <c r="M22" i="21" s="1"/>
  <c r="M23" i="21" s="1" a="1"/>
  <c r="M23" i="21" s="1"/>
  <c r="G22" i="21" a="1"/>
  <c r="G22" i="21" s="1"/>
  <c r="G23" i="21" s="1" a="1"/>
  <c r="G23" i="21" s="1"/>
  <c r="F22" i="21" a="1"/>
  <c r="F22" i="21" s="1"/>
  <c r="F23" i="21" s="1" a="1"/>
  <c r="F23" i="21" s="1"/>
  <c r="O18" i="21" a="1"/>
  <c r="O18" i="21" s="1"/>
  <c r="O19" i="21" s="1" a="1"/>
  <c r="O19" i="21" s="1"/>
  <c r="N18" i="21" a="1"/>
  <c r="N18" i="21" s="1"/>
  <c r="N19" i="21" s="1" a="1"/>
  <c r="N19" i="21" s="1"/>
  <c r="M18" i="21" a="1"/>
  <c r="M18" i="21" s="1"/>
  <c r="M19" i="21" s="1" a="1"/>
  <c r="M19" i="21" s="1"/>
  <c r="G18" i="21" a="1"/>
  <c r="G18" i="21" s="1"/>
  <c r="G19" i="21" s="1" a="1"/>
  <c r="G19" i="21" s="1"/>
  <c r="F18" i="21" a="1"/>
  <c r="F18" i="21" s="1"/>
  <c r="F19" i="21" s="1" a="1"/>
  <c r="F19" i="21" s="1"/>
  <c r="O16" i="21" a="1"/>
  <c r="O16" i="21" s="1"/>
  <c r="O17" i="21" s="1" a="1"/>
  <c r="O17" i="21" s="1"/>
  <c r="N16" i="21" a="1"/>
  <c r="N16" i="21" s="1"/>
  <c r="N17" i="21" s="1" a="1"/>
  <c r="N17" i="21" s="1"/>
  <c r="M16" i="21" a="1"/>
  <c r="M16" i="21" s="1"/>
  <c r="M17" i="21" s="1" a="1"/>
  <c r="M17" i="21" s="1"/>
  <c r="G16" i="21" a="1"/>
  <c r="G16" i="21" s="1"/>
  <c r="G17" i="21" s="1" a="1"/>
  <c r="G17" i="21" s="1"/>
  <c r="F16" i="21" a="1"/>
  <c r="F16" i="21" s="1"/>
  <c r="F17" i="21" s="1" a="1"/>
  <c r="F17" i="21" s="1"/>
  <c r="O12" i="21" a="1"/>
  <c r="O12" i="21" s="1"/>
  <c r="O13" i="21" s="1" a="1"/>
  <c r="O13" i="21" s="1"/>
  <c r="N12" i="21" a="1"/>
  <c r="N12" i="21" s="1"/>
  <c r="N13" i="21" s="1" a="1"/>
  <c r="N13" i="21" s="1"/>
  <c r="M12" i="21" a="1"/>
  <c r="M12" i="21" s="1"/>
  <c r="M13" i="21" s="1" a="1"/>
  <c r="M13" i="21" s="1"/>
  <c r="G12" i="21" a="1"/>
  <c r="G12" i="21" s="1"/>
  <c r="G13" i="21" s="1" a="1"/>
  <c r="G13" i="21" s="1"/>
  <c r="F12" i="21" a="1"/>
  <c r="F12" i="21" s="1"/>
  <c r="F13" i="21" s="1" a="1"/>
  <c r="F13" i="21" s="1"/>
  <c r="O10" i="21" a="1"/>
  <c r="O10" i="21" s="1"/>
  <c r="O11" i="21" s="1" a="1"/>
  <c r="O11" i="21" s="1"/>
  <c r="N10" i="21" a="1"/>
  <c r="N10" i="21" s="1"/>
  <c r="N11" i="21" s="1" a="1"/>
  <c r="N11" i="21" s="1"/>
  <c r="M10" i="21" a="1"/>
  <c r="M10" i="21" s="1"/>
  <c r="M11" i="21" s="1" a="1"/>
  <c r="M11" i="21" s="1"/>
  <c r="G10" i="21" a="1"/>
  <c r="G10" i="21" s="1"/>
  <c r="G11" i="21" s="1" a="1"/>
  <c r="G11" i="21" s="1"/>
  <c r="F10" i="21" a="1"/>
  <c r="F10" i="21" s="1"/>
  <c r="F11" i="21" s="1" a="1"/>
  <c r="F11" i="21" s="1"/>
  <c r="O8" i="21" a="1"/>
  <c r="O8" i="21" s="1"/>
  <c r="O9" i="21" s="1" a="1"/>
  <c r="O9" i="21" s="1"/>
  <c r="N8" i="21" a="1"/>
  <c r="N8" i="21" s="1"/>
  <c r="N9" i="21" s="1" a="1"/>
  <c r="N9" i="21" s="1"/>
  <c r="M8" i="21" a="1"/>
  <c r="M8" i="21" s="1"/>
  <c r="M9" i="21" s="1" a="1"/>
  <c r="M9" i="21" s="1"/>
  <c r="G8" i="21" a="1"/>
  <c r="G8" i="21" s="1"/>
  <c r="G9" i="21" s="1" a="1"/>
  <c r="G9" i="21" s="1"/>
  <c r="F8" i="21" a="1"/>
  <c r="F8" i="21" s="1"/>
  <c r="F9" i="21" s="1" a="1"/>
  <c r="F9" i="21" s="1"/>
  <c r="O6" i="21" a="1"/>
  <c r="O6" i="21" s="1"/>
  <c r="O7" i="21" s="1" a="1"/>
  <c r="O7" i="21" s="1"/>
  <c r="N6" i="21" a="1"/>
  <c r="N6" i="21" s="1"/>
  <c r="N7" i="21" s="1" a="1"/>
  <c r="N7" i="21" s="1"/>
  <c r="M6" i="21" a="1"/>
  <c r="M6" i="21" s="1"/>
  <c r="M7" i="21" s="1" a="1"/>
  <c r="M7" i="21" s="1"/>
  <c r="G6" i="21" a="1"/>
  <c r="G6" i="21" s="1"/>
  <c r="G7" i="21" s="1" a="1"/>
  <c r="G7" i="21" s="1"/>
  <c r="F6" i="21" a="1"/>
  <c r="F6" i="21" s="1"/>
  <c r="F7" i="21" s="1" a="1"/>
  <c r="F7" i="2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N4" i="1" a="1"/>
  <c r="N4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M4" i="1" a="1"/>
  <c r="M4" i="1" s="1"/>
  <c r="L19" i="1" a="1"/>
  <c r="L19" i="1" s="1"/>
  <c r="L20" i="1" a="1"/>
  <c r="L20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K15" i="1" a="1"/>
  <c r="K15" i="1" s="1"/>
  <c r="K14" i="1" a="1"/>
  <c r="K14" i="1" s="1"/>
  <c r="K13" i="1" a="1"/>
  <c r="K13" i="1" s="1"/>
  <c r="K12" i="1" a="1"/>
  <c r="K12" i="1" s="1"/>
  <c r="K11" i="1" a="1"/>
  <c r="K11" i="1" s="1"/>
  <c r="K10" i="1" a="1"/>
  <c r="K10" i="1" s="1"/>
  <c r="K9" i="1" a="1"/>
  <c r="K9" i="1" s="1"/>
  <c r="K8" i="1" a="1"/>
  <c r="K8" i="1" s="1"/>
  <c r="K7" i="1" a="1"/>
  <c r="K7" i="1" s="1"/>
  <c r="K6" i="1" a="1"/>
  <c r="K6" i="1" s="1"/>
  <c r="K5" i="1" a="1"/>
  <c r="K5" i="1" s="1"/>
  <c r="K4" i="1" a="1"/>
  <c r="K4" i="1" s="1"/>
  <c r="K19" i="1" a="1"/>
  <c r="K19" i="1" s="1"/>
  <c r="L26" i="1" a="1"/>
  <c r="L26" i="1" s="1"/>
  <c r="G10" i="23" s="1" a="1"/>
  <c r="G10" i="23" s="1"/>
  <c r="G11" i="23" s="1" a="1"/>
  <c r="G11" i="23" s="1"/>
  <c r="K26" i="1" a="1"/>
  <c r="K26" i="1" s="1"/>
  <c r="B43" i="21"/>
  <c r="D42" i="21" a="1"/>
  <c r="D42" i="21" s="1"/>
  <c r="B42" i="21"/>
  <c r="B37" i="21"/>
  <c r="D36" i="21" a="1"/>
  <c r="D36" i="21" s="1"/>
  <c r="B36" i="21"/>
  <c r="B35" i="21"/>
  <c r="D34" i="21" a="1"/>
  <c r="D34" i="21" s="1"/>
  <c r="B34" i="21"/>
  <c r="B33" i="21"/>
  <c r="D32" i="21" a="1"/>
  <c r="D32" i="21" s="1"/>
  <c r="B32" i="21"/>
  <c r="B31" i="21"/>
  <c r="D30" i="21" a="1"/>
  <c r="D30" i="21" s="1"/>
  <c r="B30" i="21"/>
  <c r="B29" i="21"/>
  <c r="D28" i="21" a="1"/>
  <c r="D28" i="21" s="1"/>
  <c r="B28" i="21"/>
  <c r="B27" i="21"/>
  <c r="D26" i="21" a="1"/>
  <c r="D26" i="21" s="1"/>
  <c r="B26" i="21"/>
  <c r="B25" i="21"/>
  <c r="D24" i="21" a="1"/>
  <c r="D24" i="21" s="1"/>
  <c r="B24" i="21"/>
  <c r="B23" i="21"/>
  <c r="D22" i="21" a="1"/>
  <c r="D22" i="21" s="1"/>
  <c r="B22" i="21"/>
  <c r="B19" i="21"/>
  <c r="D18" i="21" a="1"/>
  <c r="D18" i="21" s="1"/>
  <c r="B18" i="21"/>
  <c r="B17" i="21"/>
  <c r="D16" i="21" a="1"/>
  <c r="D16" i="21" s="1"/>
  <c r="B16" i="21"/>
  <c r="B13" i="21"/>
  <c r="D12" i="21" a="1"/>
  <c r="D12" i="21" s="1"/>
  <c r="B12" i="21"/>
  <c r="B11" i="21"/>
  <c r="D10" i="21" a="1"/>
  <c r="D10" i="21" s="1"/>
  <c r="B10" i="21"/>
  <c r="B9" i="21"/>
  <c r="B8" i="21"/>
  <c r="B7" i="21"/>
  <c r="D6" i="21" a="1"/>
  <c r="D6" i="21" s="1"/>
  <c r="B6" i="21"/>
  <c r="Q4" i="21" a="1"/>
  <c r="Q4" i="21" s="1"/>
  <c r="P4" i="21" a="1"/>
  <c r="P4" i="21" s="1"/>
  <c r="O4" i="21" a="1"/>
  <c r="O4" i="21" s="1"/>
  <c r="N4" i="21" a="1"/>
  <c r="N4" i="21" s="1"/>
  <c r="M4" i="21" a="1"/>
  <c r="M4" i="21" s="1"/>
  <c r="K4" i="21" a="1"/>
  <c r="K4" i="21" s="1"/>
  <c r="J4" i="21" a="1"/>
  <c r="J4" i="21" s="1"/>
  <c r="I4" i="21" a="1"/>
  <c r="I4" i="21" s="1"/>
  <c r="H4" i="21" a="1"/>
  <c r="H4" i="21" s="1"/>
  <c r="F4" i="21" a="1"/>
  <c r="F4" i="21" s="1"/>
  <c r="K20" i="1" a="1"/>
  <c r="K20" i="1" s="1"/>
  <c r="K20" i="14"/>
  <c r="I20" i="14"/>
  <c r="F20" i="14"/>
  <c r="G20" i="14" s="1"/>
  <c r="K19" i="14"/>
  <c r="I19" i="14"/>
  <c r="F19" i="14"/>
  <c r="G19" i="14" s="1"/>
  <c r="K18" i="14"/>
  <c r="I18" i="14"/>
  <c r="F18" i="14"/>
  <c r="G18" i="14" s="1"/>
  <c r="K17" i="14"/>
  <c r="I17" i="14"/>
  <c r="F17" i="14"/>
  <c r="G17" i="14" s="1"/>
  <c r="K16" i="14"/>
  <c r="I16" i="14"/>
  <c r="F16" i="14"/>
  <c r="G16" i="14" s="1"/>
  <c r="K15" i="14"/>
  <c r="I15" i="14"/>
  <c r="F15" i="14"/>
  <c r="G15" i="14" s="1"/>
  <c r="K14" i="14"/>
  <c r="I14" i="14"/>
  <c r="F14" i="14"/>
  <c r="G14" i="14" s="1"/>
  <c r="I5" i="14"/>
  <c r="I6" i="14"/>
  <c r="I7" i="14"/>
  <c r="I8" i="14"/>
  <c r="I9" i="14"/>
  <c r="I10" i="14"/>
  <c r="I4" i="14"/>
  <c r="K8" i="14"/>
  <c r="F8" i="14"/>
  <c r="G8" i="14" s="1"/>
  <c r="K9" i="14"/>
  <c r="K10" i="14"/>
  <c r="F10" i="14"/>
  <c r="G10" i="14" s="1"/>
  <c r="F9" i="14"/>
  <c r="G9" i="14"/>
  <c r="F5" i="14"/>
  <c r="G5" i="14" s="1"/>
  <c r="F6" i="14"/>
  <c r="G6" i="14" s="1"/>
  <c r="F7" i="14"/>
  <c r="G7" i="14" s="1"/>
  <c r="F4" i="14"/>
  <c r="G4" i="14" s="1"/>
  <c r="K5" i="14"/>
  <c r="K6" i="14"/>
  <c r="K7" i="14"/>
  <c r="K4" i="14"/>
  <c r="C31" i="1"/>
  <c r="C53" i="1"/>
  <c r="C52" i="1"/>
  <c r="C47" i="1"/>
  <c r="N42" i="26" l="1" a="1"/>
  <c r="N42" i="26" s="1"/>
  <c r="N43" i="26" s="1" a="1"/>
  <c r="N43" i="26" s="1"/>
  <c r="N32" i="24" a="1"/>
  <c r="N32" i="24" s="1"/>
  <c r="N33" i="24" s="1" a="1"/>
  <c r="N33" i="24" s="1"/>
  <c r="N16" i="24" a="1"/>
  <c r="N16" i="24" s="1"/>
  <c r="N17" i="24" s="1" a="1"/>
  <c r="N17" i="24" s="1"/>
  <c r="N12" i="24" a="1"/>
  <c r="N12" i="24" s="1"/>
  <c r="N13" i="24" s="1" a="1"/>
  <c r="N13" i="24" s="1"/>
  <c r="N32" i="26" a="1"/>
  <c r="N32" i="26" s="1"/>
  <c r="N33" i="26" s="1" a="1"/>
  <c r="N33" i="26" s="1"/>
  <c r="N18" i="24" a="1"/>
  <c r="N18" i="24" s="1"/>
  <c r="N19" i="24" s="1" a="1"/>
  <c r="N19" i="24" s="1"/>
  <c r="N16" i="26" a="1"/>
  <c r="N16" i="26" s="1"/>
  <c r="N17" i="26" s="1" a="1"/>
  <c r="N17" i="26" s="1"/>
  <c r="N36" i="26" a="1"/>
  <c r="N36" i="26" s="1"/>
  <c r="N37" i="26" s="1" a="1"/>
  <c r="N37" i="26" s="1"/>
  <c r="N30" i="26" a="1"/>
  <c r="N30" i="26" s="1"/>
  <c r="N31" i="26" s="1" a="1"/>
  <c r="N31" i="26" s="1"/>
  <c r="N34" i="26" a="1"/>
  <c r="N34" i="26" s="1"/>
  <c r="N35" i="26" s="1" a="1"/>
  <c r="N35" i="26" s="1"/>
  <c r="N26" i="26" a="1"/>
  <c r="N26" i="26" s="1"/>
  <c r="N27" i="26" s="1" a="1"/>
  <c r="N27" i="26" s="1"/>
  <c r="N28" i="26" a="1"/>
  <c r="N28" i="26" s="1"/>
  <c r="N29" i="26" s="1" a="1"/>
  <c r="N29" i="26" s="1"/>
  <c r="N22" i="26" a="1"/>
  <c r="N22" i="26" s="1"/>
  <c r="N23" i="26" s="1" a="1"/>
  <c r="N23" i="26" s="1"/>
  <c r="N18" i="26" a="1"/>
  <c r="N18" i="26" s="1"/>
  <c r="N19" i="26" s="1" a="1"/>
  <c r="N19" i="26" s="1"/>
  <c r="N12" i="26" a="1"/>
  <c r="N12" i="26" s="1"/>
  <c r="N13" i="26" s="1" a="1"/>
  <c r="N13" i="26" s="1"/>
  <c r="N34" i="24" a="1"/>
  <c r="N34" i="24" s="1"/>
  <c r="N35" i="24" s="1" a="1"/>
  <c r="N35" i="24" s="1"/>
  <c r="N10" i="24" a="1"/>
  <c r="N10" i="24" s="1"/>
  <c r="N11" i="24" s="1" a="1"/>
  <c r="N11" i="24" s="1"/>
  <c r="N8" i="24" a="1"/>
  <c r="N8" i="24" s="1"/>
  <c r="N9" i="24" s="1" a="1"/>
  <c r="N9" i="24" s="1"/>
  <c r="N6" i="24" a="1"/>
  <c r="N6" i="24" s="1"/>
  <c r="N7" i="24" s="1" a="1"/>
  <c r="N7" i="24" s="1"/>
  <c r="O26" i="26" a="1"/>
  <c r="O26" i="26" s="1"/>
  <c r="O27" i="26" s="1" a="1"/>
  <c r="O27" i="26" s="1"/>
  <c r="O16" i="26" a="1"/>
  <c r="O16" i="26" s="1"/>
  <c r="O17" i="26" s="1" a="1"/>
  <c r="O17" i="26" s="1"/>
  <c r="O32" i="24" a="1"/>
  <c r="O32" i="24" s="1"/>
  <c r="O33" i="24" s="1" a="1"/>
  <c r="O33" i="24" s="1"/>
  <c r="O12" i="24" a="1"/>
  <c r="O12" i="24" s="1"/>
  <c r="O13" i="24" s="1" a="1"/>
  <c r="O13" i="24" s="1"/>
  <c r="O22" i="26" a="1"/>
  <c r="O22" i="26" s="1"/>
  <c r="O23" i="26" s="1" a="1"/>
  <c r="O23" i="26" s="1"/>
  <c r="O42" i="26" a="1"/>
  <c r="O42" i="26" s="1"/>
  <c r="O43" i="26" s="1" a="1"/>
  <c r="O43" i="26" s="1"/>
  <c r="O18" i="26" a="1"/>
  <c r="O18" i="26" s="1"/>
  <c r="O19" i="26" s="1" a="1"/>
  <c r="O19" i="26" s="1"/>
  <c r="O36" i="26" a="1"/>
  <c r="O36" i="26" s="1"/>
  <c r="O37" i="26" s="1" a="1"/>
  <c r="O37" i="26" s="1"/>
  <c r="O12" i="26" a="1"/>
  <c r="O12" i="26" s="1"/>
  <c r="O13" i="26" s="1" a="1"/>
  <c r="O13" i="26" s="1"/>
  <c r="O34" i="26" a="1"/>
  <c r="O34" i="26" s="1"/>
  <c r="O35" i="26" s="1" a="1"/>
  <c r="O35" i="26" s="1"/>
  <c r="O16" i="24" a="1"/>
  <c r="O16" i="24" s="1"/>
  <c r="O17" i="24" s="1" a="1"/>
  <c r="O17" i="24" s="1"/>
  <c r="O18" i="24" a="1"/>
  <c r="O18" i="24" s="1"/>
  <c r="O19" i="24" s="1" a="1"/>
  <c r="O19" i="24" s="1"/>
  <c r="O10" i="24" a="1"/>
  <c r="O10" i="24" s="1"/>
  <c r="O11" i="24" s="1" a="1"/>
  <c r="O11" i="24" s="1"/>
  <c r="O32" i="26" a="1"/>
  <c r="O32" i="26" s="1"/>
  <c r="O33" i="26" s="1" a="1"/>
  <c r="O33" i="26" s="1"/>
  <c r="O8" i="24" a="1"/>
  <c r="O8" i="24" s="1"/>
  <c r="O9" i="24" s="1" a="1"/>
  <c r="O9" i="24" s="1"/>
  <c r="O30" i="26" a="1"/>
  <c r="O30" i="26" s="1"/>
  <c r="O31" i="26" s="1" a="1"/>
  <c r="O31" i="26" s="1"/>
  <c r="O6" i="24" a="1"/>
  <c r="O6" i="24" s="1"/>
  <c r="O7" i="24" s="1" a="1"/>
  <c r="O7" i="24" s="1"/>
  <c r="O28" i="26" a="1"/>
  <c r="O28" i="26" s="1"/>
  <c r="O29" i="26" s="1" a="1"/>
  <c r="O29" i="26" s="1"/>
  <c r="Q42" i="21" a="1"/>
  <c r="Q42" i="21" s="1"/>
  <c r="Q43" i="21" s="1" a="1"/>
  <c r="Q43" i="21" s="1"/>
  <c r="Q36" i="21" a="1"/>
  <c r="Q36" i="21" s="1"/>
  <c r="Q37" i="21" s="1" a="1"/>
  <c r="Q37" i="21" s="1"/>
  <c r="Q34" i="21" a="1"/>
  <c r="Q34" i="21" s="1"/>
  <c r="Q35" i="21" s="1" a="1"/>
  <c r="Q35" i="21" s="1"/>
  <c r="Q32" i="21" a="1"/>
  <c r="Q32" i="21" s="1"/>
  <c r="Q33" i="21" s="1" a="1"/>
  <c r="Q33" i="21" s="1"/>
  <c r="Q30" i="21" a="1"/>
  <c r="Q30" i="21" s="1"/>
  <c r="Q31" i="21" s="1" a="1"/>
  <c r="Q31" i="21" s="1"/>
  <c r="Q28" i="21" a="1"/>
  <c r="Q28" i="21" s="1"/>
  <c r="Q29" i="21" s="1" a="1"/>
  <c r="Q29" i="21" s="1"/>
  <c r="I22" i="23" a="1"/>
  <c r="I22" i="23" s="1"/>
  <c r="I23" i="23" s="1" a="1"/>
  <c r="I23" i="23" s="1"/>
  <c r="L32" i="21" a="1"/>
  <c r="L32" i="21" s="1"/>
  <c r="L33" i="21" s="1" a="1"/>
  <c r="L33" i="21" s="1"/>
  <c r="L34" i="21" a="1"/>
  <c r="L34" i="21" s="1"/>
  <c r="L35" i="21" s="1" a="1"/>
  <c r="L35" i="21" s="1"/>
  <c r="L14" i="21" a="1"/>
  <c r="L14" i="21" s="1"/>
  <c r="L15" i="21" s="1" a="1"/>
  <c r="L15" i="21" s="1"/>
  <c r="L38" i="21" a="1"/>
  <c r="L38" i="21" s="1"/>
  <c r="L39" i="21" s="1" a="1"/>
  <c r="L39" i="21" s="1"/>
  <c r="L28" i="21" a="1"/>
  <c r="L28" i="21" s="1"/>
  <c r="L29" i="21" s="1" a="1"/>
  <c r="L29" i="21" s="1"/>
  <c r="L26" i="21" a="1"/>
  <c r="L26" i="21" s="1"/>
  <c r="L27" i="21" s="1" a="1"/>
  <c r="L27" i="21" s="1"/>
  <c r="L38" i="23" a="1"/>
  <c r="L38" i="23" s="1"/>
  <c r="L39" i="23" s="1" a="1"/>
  <c r="L39" i="23" s="1"/>
  <c r="L14" i="23" a="1"/>
  <c r="L14" i="23" s="1"/>
  <c r="L15" i="23" s="1" a="1"/>
  <c r="L15" i="23" s="1"/>
  <c r="K14" i="21" a="1"/>
  <c r="K14" i="21" s="1"/>
  <c r="K15" i="21" s="1" a="1"/>
  <c r="K15" i="21" s="1"/>
  <c r="K38" i="21" a="1"/>
  <c r="K38" i="21" s="1"/>
  <c r="K39" i="21" s="1" a="1"/>
  <c r="K39" i="21" s="1"/>
  <c r="K39" i="23" a="1"/>
  <c r="K39" i="23" s="1"/>
  <c r="K14" i="23" a="1"/>
  <c r="K14" i="23" s="1"/>
  <c r="K15" i="23" s="1" a="1"/>
  <c r="K15" i="23" s="1"/>
  <c r="H24" i="26" a="1"/>
  <c r="H24" i="26" s="1"/>
  <c r="H25" i="26" s="1" a="1"/>
  <c r="H25" i="26" s="1"/>
  <c r="H38" i="27" a="1"/>
  <c r="H38" i="27" s="1"/>
  <c r="H39" i="27" s="1" a="1"/>
  <c r="H39" i="27" s="1"/>
  <c r="H14" i="24" a="1"/>
  <c r="H14" i="24" s="1"/>
  <c r="H15" i="24" s="1" a="1"/>
  <c r="H15" i="24" s="1"/>
  <c r="H14" i="21" a="1"/>
  <c r="H14" i="21" s="1"/>
  <c r="H15" i="21" s="1" a="1"/>
  <c r="H15" i="21" s="1"/>
  <c r="H14" i="26" a="1"/>
  <c r="H14" i="26" s="1"/>
  <c r="H15" i="26" s="1" a="1"/>
  <c r="H15" i="26" s="1"/>
  <c r="H38" i="26" a="1"/>
  <c r="H38" i="26" s="1"/>
  <c r="H39" i="26" s="1" a="1"/>
  <c r="H39" i="26" s="1"/>
  <c r="H14" i="27" a="1"/>
  <c r="H14" i="27" s="1"/>
  <c r="H15" i="27" s="1" a="1"/>
  <c r="H15" i="27" s="1"/>
  <c r="H14" i="23" a="1"/>
  <c r="H14" i="23" s="1"/>
  <c r="H15" i="23" s="1" a="1"/>
  <c r="H15" i="23" s="1"/>
  <c r="H38" i="23" a="1"/>
  <c r="H38" i="23" s="1"/>
  <c r="H39" i="23" s="1" a="1"/>
  <c r="H39" i="23" s="1"/>
  <c r="H38" i="21" a="1"/>
  <c r="H38" i="21" s="1"/>
  <c r="H39" i="21" s="1" a="1"/>
  <c r="H39" i="21" s="1"/>
  <c r="H38" i="24" a="1"/>
  <c r="H38" i="24" s="1"/>
  <c r="H39" i="24" s="1" a="1"/>
  <c r="H39" i="24" s="1"/>
  <c r="J38" i="24" a="1"/>
  <c r="J38" i="24" s="1"/>
  <c r="J39" i="24" s="1" a="1"/>
  <c r="J39" i="24" s="1"/>
  <c r="J14" i="26" a="1"/>
  <c r="J14" i="26" s="1"/>
  <c r="J15" i="26" s="1" a="1"/>
  <c r="J15" i="26" s="1"/>
  <c r="J14" i="27" a="1"/>
  <c r="J14" i="27" s="1"/>
  <c r="J15" i="27" s="1" a="1"/>
  <c r="J15" i="27" s="1"/>
  <c r="J14" i="21" a="1"/>
  <c r="J14" i="21" s="1"/>
  <c r="J15" i="21" s="1" a="1"/>
  <c r="J15" i="21" s="1"/>
  <c r="J38" i="26" a="1"/>
  <c r="J38" i="26" s="1"/>
  <c r="J39" i="26" s="1" a="1"/>
  <c r="J39" i="26" s="1"/>
  <c r="J14" i="24" a="1"/>
  <c r="J14" i="24" s="1"/>
  <c r="J15" i="24" s="1" a="1"/>
  <c r="J15" i="24" s="1"/>
  <c r="J24" i="26" a="1"/>
  <c r="J24" i="26" s="1"/>
  <c r="J25" i="26" s="1" a="1"/>
  <c r="J25" i="26" s="1"/>
  <c r="J14" i="23" a="1"/>
  <c r="J14" i="23" s="1"/>
  <c r="J15" i="23" s="1" a="1"/>
  <c r="J15" i="23" s="1"/>
  <c r="J38" i="21" a="1"/>
  <c r="J38" i="21" s="1"/>
  <c r="J39" i="21" s="1" a="1"/>
  <c r="J39" i="21" s="1"/>
  <c r="J39" i="23" a="1"/>
  <c r="J39" i="23" s="1"/>
  <c r="J38" i="27" a="1"/>
  <c r="J38" i="27" s="1"/>
  <c r="J39" i="27" s="1" a="1"/>
  <c r="J39" i="27" s="1"/>
  <c r="I14" i="23" a="1"/>
  <c r="I14" i="23" s="1"/>
  <c r="I15" i="23" s="1" a="1"/>
  <c r="I15" i="23" s="1"/>
  <c r="I24" i="26" a="1"/>
  <c r="I24" i="26" s="1"/>
  <c r="I25" i="26" s="1" a="1"/>
  <c r="I25" i="26" s="1"/>
  <c r="I14" i="26" a="1"/>
  <c r="I14" i="26" s="1"/>
  <c r="I15" i="26" s="1" a="1"/>
  <c r="I15" i="26" s="1"/>
  <c r="I14" i="24" a="1"/>
  <c r="I14" i="24" s="1"/>
  <c r="I15" i="24" s="1" a="1"/>
  <c r="I15" i="24" s="1"/>
  <c r="I39" i="21" a="1"/>
  <c r="I39" i="21" s="1"/>
  <c r="I39" i="23" a="1"/>
  <c r="I39" i="23" s="1"/>
  <c r="I14" i="27" a="1"/>
  <c r="I14" i="27" s="1"/>
  <c r="I15" i="27" s="1" a="1"/>
  <c r="I15" i="27" s="1"/>
  <c r="I39" i="27" a="1"/>
  <c r="I39" i="27" s="1"/>
  <c r="I24" i="23" a="1"/>
  <c r="I24" i="23" s="1"/>
  <c r="I25" i="23" s="1" a="1"/>
  <c r="I25" i="23" s="1"/>
  <c r="I39" i="26" a="1"/>
  <c r="I39" i="26" s="1"/>
  <c r="I39" i="24" a="1"/>
  <c r="I39" i="24" s="1"/>
  <c r="I14" i="21" a="1"/>
  <c r="I14" i="21" s="1"/>
  <c r="I15" i="21" s="1" a="1"/>
  <c r="I15" i="21" s="1"/>
  <c r="N14" i="24" a="1"/>
  <c r="N14" i="24" s="1"/>
  <c r="N15" i="24" s="1" a="1"/>
  <c r="N15" i="24" s="1"/>
  <c r="P14" i="21" a="1"/>
  <c r="P14" i="21" s="1"/>
  <c r="P15" i="21" s="1" a="1"/>
  <c r="P15" i="21" s="1"/>
  <c r="N38" i="26" a="1"/>
  <c r="N38" i="26" s="1"/>
  <c r="N39" i="26" s="1" a="1"/>
  <c r="N39" i="26" s="1"/>
  <c r="N24" i="26" a="1"/>
  <c r="N24" i="26" s="1"/>
  <c r="N25" i="26" s="1" a="1"/>
  <c r="N25" i="26" s="1"/>
  <c r="P38" i="21" a="1"/>
  <c r="P38" i="21" s="1"/>
  <c r="P39" i="21" s="1" a="1"/>
  <c r="P39" i="21" s="1"/>
  <c r="N14" i="26" a="1"/>
  <c r="N14" i="26" s="1"/>
  <c r="N15" i="26" s="1" a="1"/>
  <c r="N15" i="26" s="1"/>
  <c r="N30" i="24" a="1"/>
  <c r="N30" i="24" s="1"/>
  <c r="N31" i="24" s="1" a="1"/>
  <c r="N31" i="24" s="1"/>
  <c r="N10" i="26" a="1"/>
  <c r="N10" i="26" s="1"/>
  <c r="N11" i="26" s="1" a="1"/>
  <c r="N11" i="26" s="1"/>
  <c r="N8" i="26" a="1"/>
  <c r="N8" i="26" s="1"/>
  <c r="N9" i="26" s="1" a="1"/>
  <c r="N9" i="26" s="1"/>
  <c r="N6" i="26" a="1"/>
  <c r="N6" i="26" s="1"/>
  <c r="N7" i="26" s="1" a="1"/>
  <c r="N7" i="26" s="1"/>
  <c r="N42" i="24" a="1"/>
  <c r="N42" i="24" s="1"/>
  <c r="N43" i="24" s="1" a="1"/>
  <c r="N43" i="24" s="1"/>
  <c r="N36" i="24" a="1"/>
  <c r="N36" i="24" s="1"/>
  <c r="N37" i="24" s="1" a="1"/>
  <c r="N37" i="24" s="1"/>
  <c r="N28" i="24" a="1"/>
  <c r="N28" i="24" s="1"/>
  <c r="N29" i="24" s="1" a="1"/>
  <c r="N29" i="24" s="1"/>
  <c r="N26" i="24" a="1"/>
  <c r="N26" i="24" s="1"/>
  <c r="N27" i="24" s="1" a="1"/>
  <c r="N27" i="24" s="1"/>
  <c r="N24" i="24" a="1"/>
  <c r="N24" i="24" s="1"/>
  <c r="N25" i="24" s="1" a="1"/>
  <c r="N25" i="24" s="1"/>
  <c r="N38" i="24" a="1"/>
  <c r="N38" i="24" s="1"/>
  <c r="N39" i="24" s="1" a="1"/>
  <c r="N39" i="24" s="1"/>
  <c r="N22" i="24" a="1"/>
  <c r="N22" i="24" s="1"/>
  <c r="N23" i="24" s="1" a="1"/>
  <c r="N23" i="24" s="1"/>
  <c r="N20" i="24" a="1"/>
  <c r="N20" i="24" s="1"/>
  <c r="N21" i="24" s="1" a="1"/>
  <c r="N21" i="24" s="1"/>
  <c r="N40" i="26" a="1"/>
  <c r="N40" i="26" s="1"/>
  <c r="N41" i="26" s="1" a="1"/>
  <c r="N41" i="26" s="1"/>
  <c r="N40" i="24" a="1"/>
  <c r="N40" i="24" s="1"/>
  <c r="N41" i="24" s="1" a="1"/>
  <c r="N41" i="24" s="1"/>
  <c r="P20" i="21" a="1"/>
  <c r="P20" i="21" s="1"/>
  <c r="P21" i="21" s="1" a="1"/>
  <c r="P21" i="21" s="1"/>
  <c r="P40" i="21" a="1"/>
  <c r="P40" i="21" s="1"/>
  <c r="P41" i="21" s="1" a="1"/>
  <c r="P41" i="21" s="1"/>
  <c r="N20" i="26" a="1"/>
  <c r="N20" i="26" s="1"/>
  <c r="N21" i="26" s="1" a="1"/>
  <c r="N21" i="26" s="1"/>
  <c r="Q12" i="21" a="1"/>
  <c r="Q12" i="21" s="1"/>
  <c r="Q13" i="21" s="1" a="1"/>
  <c r="Q13" i="21" s="1"/>
  <c r="O34" i="24" a="1"/>
  <c r="O34" i="24" s="1"/>
  <c r="O35" i="24" s="1" a="1"/>
  <c r="O35" i="24" s="1"/>
  <c r="O14" i="24" a="1"/>
  <c r="O14" i="24" s="1"/>
  <c r="O15" i="24" s="1" a="1"/>
  <c r="O15" i="24" s="1"/>
  <c r="O36" i="24" a="1"/>
  <c r="O36" i="24" s="1"/>
  <c r="O37" i="24" s="1" a="1"/>
  <c r="O37" i="24" s="1"/>
  <c r="O42" i="24" a="1"/>
  <c r="O42" i="24" s="1"/>
  <c r="O43" i="24" s="1" a="1"/>
  <c r="O43" i="24" s="1"/>
  <c r="O6" i="26" a="1"/>
  <c r="O6" i="26" s="1"/>
  <c r="O7" i="26" s="1" a="1"/>
  <c r="O7" i="26" s="1"/>
  <c r="O8" i="26" a="1"/>
  <c r="O8" i="26" s="1"/>
  <c r="O9" i="26" s="1" a="1"/>
  <c r="O9" i="26" s="1"/>
  <c r="Q38" i="21" a="1"/>
  <c r="Q38" i="21" s="1"/>
  <c r="Q39" i="21" s="1" a="1"/>
  <c r="Q39" i="21" s="1"/>
  <c r="Q14" i="21" a="1"/>
  <c r="Q14" i="21" s="1"/>
  <c r="Q15" i="21" s="1" a="1"/>
  <c r="Q15" i="21" s="1"/>
  <c r="Q6" i="21" a="1"/>
  <c r="Q6" i="21" s="1"/>
  <c r="Q7" i="21" s="1" a="1"/>
  <c r="Q7" i="21" s="1"/>
  <c r="Q8" i="21" a="1"/>
  <c r="Q8" i="21" s="1"/>
  <c r="Q9" i="21" s="1" a="1"/>
  <c r="Q9" i="21" s="1"/>
  <c r="Q10" i="21" a="1"/>
  <c r="Q10" i="21" s="1"/>
  <c r="Q11" i="21" s="1" a="1"/>
  <c r="Q11" i="21" s="1"/>
  <c r="Q16" i="21" a="1"/>
  <c r="Q16" i="21" s="1"/>
  <c r="Q17" i="21" s="1" a="1"/>
  <c r="Q17" i="21" s="1"/>
  <c r="Q18" i="21" a="1"/>
  <c r="Q18" i="21" s="1"/>
  <c r="Q19" i="21" s="1" a="1"/>
  <c r="Q19" i="21" s="1"/>
  <c r="O14" i="26" a="1"/>
  <c r="O14" i="26" s="1"/>
  <c r="O15" i="26" s="1" a="1"/>
  <c r="O15" i="26" s="1"/>
  <c r="O38" i="24" a="1"/>
  <c r="O38" i="24" s="1"/>
  <c r="O39" i="24" s="1" a="1"/>
  <c r="O39" i="24" s="1"/>
  <c r="O24" i="26" a="1"/>
  <c r="O24" i="26" s="1"/>
  <c r="O25" i="26" s="1" a="1"/>
  <c r="O25" i="26" s="1"/>
  <c r="Q22" i="21" a="1"/>
  <c r="Q22" i="21" s="1"/>
  <c r="Q23" i="21" s="1" a="1"/>
  <c r="Q23" i="21" s="1"/>
  <c r="Q24" i="21" a="1"/>
  <c r="Q24" i="21" s="1"/>
  <c r="Q25" i="21" s="1" a="1"/>
  <c r="Q25" i="21" s="1"/>
  <c r="O38" i="26" a="1"/>
  <c r="O38" i="26" s="1"/>
  <c r="O39" i="26" s="1" a="1"/>
  <c r="O39" i="26" s="1"/>
  <c r="O10" i="26" a="1"/>
  <c r="O10" i="26" s="1"/>
  <c r="O11" i="26" s="1" a="1"/>
  <c r="O11" i="26" s="1"/>
  <c r="O20" i="24" a="1"/>
  <c r="O20" i="24" s="1"/>
  <c r="O21" i="24" s="1" a="1"/>
  <c r="O21" i="24" s="1"/>
  <c r="Q26" i="21" a="1"/>
  <c r="Q26" i="21" s="1"/>
  <c r="Q27" i="21" s="1" a="1"/>
  <c r="Q27" i="21" s="1"/>
  <c r="O40" i="26" a="1"/>
  <c r="O40" i="26" s="1"/>
  <c r="O41" i="26" s="1" a="1"/>
  <c r="O41" i="26" s="1"/>
  <c r="O22" i="24" a="1"/>
  <c r="O22" i="24" s="1"/>
  <c r="O23" i="24" s="1" a="1"/>
  <c r="O23" i="24" s="1"/>
  <c r="O24" i="24" a="1"/>
  <c r="O24" i="24" s="1"/>
  <c r="O25" i="24" s="1" a="1"/>
  <c r="O25" i="24" s="1"/>
  <c r="O26" i="24" a="1"/>
  <c r="O26" i="24" s="1"/>
  <c r="O27" i="24" s="1" a="1"/>
  <c r="O27" i="24" s="1"/>
  <c r="O20" i="26" a="1"/>
  <c r="O20" i="26" s="1"/>
  <c r="O21" i="26" s="1" a="1"/>
  <c r="O21" i="26" s="1"/>
  <c r="O40" i="24" a="1"/>
  <c r="O40" i="24" s="1"/>
  <c r="O41" i="24" s="1" a="1"/>
  <c r="O41" i="24" s="1"/>
  <c r="Q40" i="21" a="1"/>
  <c r="Q40" i="21" s="1"/>
  <c r="Q41" i="21" s="1" a="1"/>
  <c r="Q41" i="21" s="1"/>
  <c r="O28" i="24" a="1"/>
  <c r="O28" i="24" s="1"/>
  <c r="O29" i="24" s="1" a="1"/>
  <c r="O29" i="24" s="1"/>
  <c r="Q20" i="21" a="1"/>
  <c r="Q20" i="21" s="1"/>
  <c r="Q21" i="21" s="1" a="1"/>
  <c r="Q21" i="21" s="1"/>
  <c r="O30" i="24" a="1"/>
  <c r="O30" i="24" s="1"/>
  <c r="O31" i="24" s="1" a="1"/>
  <c r="O31" i="24" s="1"/>
  <c r="H12" i="27" a="1"/>
  <c r="H12" i="27" s="1"/>
  <c r="H13" i="27" s="1" a="1"/>
  <c r="H13" i="27" s="1"/>
  <c r="H40" i="21" a="1"/>
  <c r="H40" i="21" s="1"/>
  <c r="H41" i="21" s="1" a="1"/>
  <c r="H41" i="21" s="1"/>
  <c r="H40" i="26" a="1"/>
  <c r="H40" i="26" s="1"/>
  <c r="H41" i="26" s="1" a="1"/>
  <c r="H41" i="26" s="1"/>
  <c r="H40" i="23" a="1"/>
  <c r="H40" i="23" s="1"/>
  <c r="H41" i="23" s="1" a="1"/>
  <c r="H41" i="23" s="1"/>
  <c r="H40" i="27" a="1"/>
  <c r="H40" i="27" s="1"/>
  <c r="H41" i="27" s="1" a="1"/>
  <c r="H41" i="27" s="1"/>
  <c r="H20" i="24" a="1"/>
  <c r="H20" i="24" s="1"/>
  <c r="H21" i="24" s="1" a="1"/>
  <c r="H21" i="24" s="1"/>
  <c r="H20" i="21" a="1"/>
  <c r="H20" i="21" s="1"/>
  <c r="H21" i="21" s="1" a="1"/>
  <c r="H21" i="21" s="1"/>
  <c r="H20" i="26" a="1"/>
  <c r="H20" i="26" s="1"/>
  <c r="H21" i="26" s="1" a="1"/>
  <c r="H21" i="26" s="1"/>
  <c r="H20" i="27" a="1"/>
  <c r="H20" i="27" s="1"/>
  <c r="H21" i="27" s="1" a="1"/>
  <c r="H21" i="27" s="1"/>
  <c r="H40" i="24" a="1"/>
  <c r="H40" i="24" s="1"/>
  <c r="H41" i="24" s="1" a="1"/>
  <c r="H41" i="24" s="1"/>
  <c r="H20" i="23" a="1"/>
  <c r="H20" i="23" s="1"/>
  <c r="H21" i="23" s="1" a="1"/>
  <c r="H21" i="23" s="1"/>
  <c r="K41" i="23" a="1"/>
  <c r="K41" i="23" s="1"/>
  <c r="K20" i="23" a="1"/>
  <c r="K20" i="23" s="1"/>
  <c r="K21" i="23" s="1" a="1"/>
  <c r="K21" i="23" s="1"/>
  <c r="L40" i="23" a="1"/>
  <c r="L40" i="23" s="1"/>
  <c r="L41" i="23" s="1" a="1"/>
  <c r="L41" i="23" s="1"/>
  <c r="L20" i="23" a="1"/>
  <c r="L20" i="23" s="1"/>
  <c r="L21" i="23" s="1" a="1"/>
  <c r="L21" i="23" s="1"/>
  <c r="L20" i="21" a="1"/>
  <c r="L20" i="21" s="1"/>
  <c r="L21" i="21" s="1" a="1"/>
  <c r="L21" i="21" s="1"/>
  <c r="L40" i="21" a="1"/>
  <c r="L40" i="21" s="1"/>
  <c r="L41" i="21" s="1" a="1"/>
  <c r="L41" i="21" s="1"/>
  <c r="I41" i="23" a="1"/>
  <c r="I41" i="23" s="1"/>
  <c r="I20" i="24" a="1"/>
  <c r="I20" i="24" s="1"/>
  <c r="I21" i="24" s="1" a="1"/>
  <c r="I21" i="24" s="1"/>
  <c r="I41" i="24" a="1"/>
  <c r="I41" i="24" s="1"/>
  <c r="I41" i="21" a="1"/>
  <c r="I41" i="21" s="1"/>
  <c r="I20" i="21" a="1"/>
  <c r="I20" i="21" s="1"/>
  <c r="I21" i="21" s="1" a="1"/>
  <c r="I21" i="21" s="1"/>
  <c r="I20" i="26" a="1"/>
  <c r="I20" i="26" s="1"/>
  <c r="I21" i="26" s="1" a="1"/>
  <c r="I21" i="26" s="1"/>
  <c r="I20" i="27" a="1"/>
  <c r="I20" i="27" s="1"/>
  <c r="I21" i="27" s="1" a="1"/>
  <c r="I21" i="27" s="1"/>
  <c r="I41" i="27" a="1"/>
  <c r="I41" i="27" s="1"/>
  <c r="I20" i="23" a="1"/>
  <c r="I20" i="23" s="1"/>
  <c r="I21" i="23" s="1" a="1"/>
  <c r="I21" i="23" s="1"/>
  <c r="I41" i="26" a="1"/>
  <c r="I41" i="26" s="1"/>
  <c r="K20" i="21" a="1"/>
  <c r="K20" i="21" s="1"/>
  <c r="K21" i="21" s="1" a="1"/>
  <c r="K21" i="21" s="1"/>
  <c r="K40" i="21" a="1"/>
  <c r="K40" i="21" s="1"/>
  <c r="K41" i="21" s="1" a="1"/>
  <c r="K41" i="21" s="1"/>
  <c r="J40" i="21" a="1"/>
  <c r="J40" i="21" s="1"/>
  <c r="J41" i="21" s="1" a="1"/>
  <c r="J41" i="21" s="1"/>
  <c r="J41" i="23" a="1"/>
  <c r="J41" i="23" s="1"/>
  <c r="J40" i="26" a="1"/>
  <c r="J40" i="26" s="1"/>
  <c r="J41" i="26" s="1" a="1"/>
  <c r="J41" i="26" s="1"/>
  <c r="J20" i="24" a="1"/>
  <c r="J20" i="24" s="1"/>
  <c r="J21" i="24" s="1" a="1"/>
  <c r="J21" i="24" s="1"/>
  <c r="J40" i="27" a="1"/>
  <c r="J40" i="27" s="1"/>
  <c r="J41" i="27" s="1" a="1"/>
  <c r="J41" i="27" s="1"/>
  <c r="J20" i="21" a="1"/>
  <c r="J20" i="21" s="1"/>
  <c r="J21" i="21" s="1" a="1"/>
  <c r="J21" i="21" s="1"/>
  <c r="J20" i="26" a="1"/>
  <c r="J20" i="26" s="1"/>
  <c r="J21" i="26" s="1" a="1"/>
  <c r="J21" i="26" s="1"/>
  <c r="J20" i="27" a="1"/>
  <c r="J20" i="27" s="1"/>
  <c r="J21" i="27" s="1" a="1"/>
  <c r="J21" i="27" s="1"/>
  <c r="J20" i="23" a="1"/>
  <c r="J20" i="23" s="1"/>
  <c r="J21" i="23" s="1" a="1"/>
  <c r="J21" i="23" s="1"/>
  <c r="J40" i="24" a="1"/>
  <c r="J40" i="24" s="1"/>
  <c r="J41" i="24" s="1" a="1"/>
  <c r="J41" i="24" s="1"/>
  <c r="E4" i="26"/>
  <c r="J8" i="27" a="1"/>
  <c r="J8" i="27" s="1"/>
  <c r="J9" i="27" s="1" a="1"/>
  <c r="J9" i="27" s="1"/>
  <c r="J30" i="27" a="1"/>
  <c r="J30" i="27" s="1"/>
  <c r="J31" i="27" s="1" a="1"/>
  <c r="J31" i="27" s="1"/>
  <c r="I28" i="27" a="1"/>
  <c r="I28" i="27" s="1"/>
  <c r="I29" i="27" s="1" a="1"/>
  <c r="I29" i="27" s="1"/>
  <c r="I30" i="27" a="1"/>
  <c r="I30" i="27" s="1"/>
  <c r="I31" i="27" s="1" a="1"/>
  <c r="I31" i="27" s="1"/>
  <c r="E4" i="27"/>
  <c r="I30" i="24" a="1"/>
  <c r="I30" i="24" s="1"/>
  <c r="I31" i="24" s="1" a="1"/>
  <c r="I31" i="24" s="1"/>
  <c r="I43" i="26" a="1"/>
  <c r="I43" i="26" s="1"/>
  <c r="I8" i="24" a="1"/>
  <c r="I8" i="24" s="1"/>
  <c r="I9" i="24" s="1" a="1"/>
  <c r="I9" i="24" s="1"/>
  <c r="I22" i="26" a="1"/>
  <c r="I22" i="26" s="1"/>
  <c r="I23" i="26" s="1" a="1"/>
  <c r="I23" i="26" s="1"/>
  <c r="I24" i="27" a="1"/>
  <c r="I24" i="27" s="1"/>
  <c r="I25" i="27" s="1" a="1"/>
  <c r="I25" i="27" s="1"/>
  <c r="I32" i="24" a="1"/>
  <c r="I32" i="24" s="1"/>
  <c r="I33" i="24" s="1" a="1"/>
  <c r="I33" i="24" s="1"/>
  <c r="I12" i="24" a="1"/>
  <c r="I12" i="24" s="1"/>
  <c r="I13" i="24" s="1" a="1"/>
  <c r="I13" i="24" s="1"/>
  <c r="I26" i="26" a="1"/>
  <c r="I26" i="26" s="1"/>
  <c r="I27" i="26" s="1" a="1"/>
  <c r="I27" i="26" s="1"/>
  <c r="I18" i="27" a="1"/>
  <c r="I18" i="27" s="1"/>
  <c r="I19" i="27" s="1" a="1"/>
  <c r="I19" i="27" s="1"/>
  <c r="I37" i="24" a="1"/>
  <c r="I37" i="24" s="1"/>
  <c r="I37" i="27" a="1"/>
  <c r="I37" i="27" s="1"/>
  <c r="I18" i="24" a="1"/>
  <c r="I18" i="24" s="1"/>
  <c r="I19" i="24" s="1" a="1"/>
  <c r="I19" i="24" s="1"/>
  <c r="I30" i="26" a="1"/>
  <c r="I30" i="26" s="1"/>
  <c r="I31" i="26" s="1" a="1"/>
  <c r="I31" i="26" s="1"/>
  <c r="I12" i="27" a="1"/>
  <c r="I12" i="27" s="1"/>
  <c r="I13" i="27" s="1" a="1"/>
  <c r="I13" i="27" s="1"/>
  <c r="I8" i="26" a="1"/>
  <c r="I8" i="26" s="1"/>
  <c r="I9" i="26" s="1" a="1"/>
  <c r="I9" i="26" s="1"/>
  <c r="I32" i="27" a="1"/>
  <c r="I32" i="27" s="1"/>
  <c r="I33" i="27" s="1" a="1"/>
  <c r="I33" i="27" s="1"/>
  <c r="I24" i="24" a="1"/>
  <c r="I24" i="24" s="1"/>
  <c r="I25" i="24" s="1" a="1"/>
  <c r="I25" i="24" s="1"/>
  <c r="I32" i="26" a="1"/>
  <c r="I32" i="26" s="1"/>
  <c r="I33" i="26" s="1" a="1"/>
  <c r="I33" i="26" s="1"/>
  <c r="I8" i="27" a="1"/>
  <c r="I8" i="27" s="1"/>
  <c r="I9" i="27" s="1" a="1"/>
  <c r="I9" i="27" s="1"/>
  <c r="I12" i="26" a="1"/>
  <c r="I12" i="26" s="1"/>
  <c r="I13" i="26" s="1" a="1"/>
  <c r="I13" i="26" s="1"/>
  <c r="I28" i="24" a="1"/>
  <c r="I28" i="24" s="1"/>
  <c r="I29" i="24" s="1" a="1"/>
  <c r="I29" i="24" s="1"/>
  <c r="I37" i="26" a="1"/>
  <c r="I37" i="26" s="1"/>
  <c r="I18" i="26" a="1"/>
  <c r="I18" i="26" s="1"/>
  <c r="I19" i="26" s="1" a="1"/>
  <c r="I19" i="26" s="1"/>
  <c r="I26" i="27" a="1"/>
  <c r="I26" i="27" s="1"/>
  <c r="I27" i="27" s="1" a="1"/>
  <c r="I27" i="27" s="1"/>
  <c r="I6" i="24" a="1"/>
  <c r="I6" i="24" s="1"/>
  <c r="I7" i="24" s="1" a="1"/>
  <c r="I7" i="24" s="1"/>
  <c r="I10" i="24" a="1"/>
  <c r="I10" i="24" s="1"/>
  <c r="I11" i="24" s="1" a="1"/>
  <c r="I11" i="24" s="1"/>
  <c r="I22" i="27" a="1"/>
  <c r="I22" i="27" s="1"/>
  <c r="I23" i="27" s="1" a="1"/>
  <c r="I23" i="27" s="1"/>
  <c r="I35" i="24" a="1"/>
  <c r="I35" i="24" s="1"/>
  <c r="I43" i="27" a="1"/>
  <c r="I43" i="27" s="1"/>
  <c r="I16" i="24" a="1"/>
  <c r="I16" i="24" s="1"/>
  <c r="I17" i="24" s="1" a="1"/>
  <c r="I17" i="24" s="1"/>
  <c r="I28" i="26" a="1"/>
  <c r="I28" i="26" s="1"/>
  <c r="I29" i="26" s="1" a="1"/>
  <c r="I29" i="26" s="1"/>
  <c r="I16" i="27" a="1"/>
  <c r="I16" i="27" s="1"/>
  <c r="I17" i="27" s="1" a="1"/>
  <c r="I17" i="27" s="1"/>
  <c r="I43" i="24" a="1"/>
  <c r="I43" i="24" s="1"/>
  <c r="I35" i="27" a="1"/>
  <c r="I35" i="27" s="1"/>
  <c r="I22" i="24" a="1"/>
  <c r="I22" i="24" s="1"/>
  <c r="I23" i="24" s="1" a="1"/>
  <c r="I23" i="24" s="1"/>
  <c r="I6" i="26" a="1"/>
  <c r="I6" i="26" s="1"/>
  <c r="I7" i="26" s="1" a="1"/>
  <c r="I7" i="26" s="1"/>
  <c r="I10" i="27" a="1"/>
  <c r="I10" i="27" s="1"/>
  <c r="I11" i="27" s="1" a="1"/>
  <c r="I11" i="27" s="1"/>
  <c r="I10" i="26" a="1"/>
  <c r="I10" i="26" s="1"/>
  <c r="I11" i="26" s="1" a="1"/>
  <c r="I11" i="26" s="1"/>
  <c r="I26" i="24" a="1"/>
  <c r="I26" i="24" s="1"/>
  <c r="I27" i="24" s="1" a="1"/>
  <c r="I27" i="24" s="1"/>
  <c r="I35" i="26" a="1"/>
  <c r="I35" i="26" s="1"/>
  <c r="I16" i="26" a="1"/>
  <c r="I16" i="26" s="1"/>
  <c r="I17" i="26" s="1" a="1"/>
  <c r="I17" i="26" s="1"/>
  <c r="I6" i="27" a="1"/>
  <c r="I6" i="27" s="1"/>
  <c r="I7" i="27" s="1" a="1"/>
  <c r="I7" i="27" s="1"/>
  <c r="H10" i="24" a="1"/>
  <c r="H10" i="24" s="1"/>
  <c r="H11" i="24" s="1" a="1"/>
  <c r="H11" i="24" s="1"/>
  <c r="J26" i="24" a="1"/>
  <c r="J26" i="24" s="1"/>
  <c r="J27" i="24" s="1" a="1"/>
  <c r="J27" i="24" s="1"/>
  <c r="H34" i="26" a="1"/>
  <c r="H34" i="26" s="1"/>
  <c r="H35" i="26" s="1" a="1"/>
  <c r="H35" i="26" s="1"/>
  <c r="J32" i="27" a="1"/>
  <c r="J32" i="27" s="1"/>
  <c r="J33" i="27" s="1" a="1"/>
  <c r="J33" i="27" s="1"/>
  <c r="H36" i="27" a="1"/>
  <c r="H36" i="27" s="1"/>
  <c r="H37" i="27" s="1" a="1"/>
  <c r="H37" i="27" s="1"/>
  <c r="J18" i="24" a="1"/>
  <c r="J18" i="24" s="1"/>
  <c r="J19" i="24" s="1" a="1"/>
  <c r="J19" i="24" s="1"/>
  <c r="H30" i="26" a="1"/>
  <c r="H30" i="26" s="1"/>
  <c r="H31" i="26" s="1" a="1"/>
  <c r="H31" i="26" s="1"/>
  <c r="J12" i="27" a="1"/>
  <c r="J12" i="27" s="1"/>
  <c r="J13" i="27" s="1" a="1"/>
  <c r="J13" i="27" s="1"/>
  <c r="H18" i="27" a="1"/>
  <c r="H18" i="27" s="1"/>
  <c r="H19" i="27" s="1" a="1"/>
  <c r="H19" i="27" s="1"/>
  <c r="J10" i="24" a="1"/>
  <c r="J10" i="24" s="1"/>
  <c r="J11" i="24" s="1" a="1"/>
  <c r="J11" i="24" s="1"/>
  <c r="J34" i="26" a="1"/>
  <c r="J34" i="26" s="1"/>
  <c r="J35" i="26" s="1" a="1"/>
  <c r="J35" i="26" s="1"/>
  <c r="J36" i="27" a="1"/>
  <c r="J36" i="27" s="1"/>
  <c r="J37" i="27" s="1" a="1"/>
  <c r="J37" i="27" s="1"/>
  <c r="H34" i="24" a="1"/>
  <c r="H34" i="24" s="1"/>
  <c r="H35" i="24" s="1" a="1"/>
  <c r="H35" i="24" s="1"/>
  <c r="H16" i="26" a="1"/>
  <c r="H16" i="26" s="1"/>
  <c r="H17" i="26" s="1" a="1"/>
  <c r="H17" i="26" s="1"/>
  <c r="J30" i="26" a="1"/>
  <c r="J30" i="26" s="1"/>
  <c r="J31" i="26" s="1" a="1"/>
  <c r="J31" i="26" s="1"/>
  <c r="J18" i="27" a="1"/>
  <c r="J18" i="27" s="1"/>
  <c r="J19" i="27" s="1" a="1"/>
  <c r="J19" i="27" s="1"/>
  <c r="H24" i="27" a="1"/>
  <c r="H24" i="27" s="1"/>
  <c r="H25" i="27" s="1" a="1"/>
  <c r="H25" i="27" s="1"/>
  <c r="H30" i="24" a="1"/>
  <c r="H30" i="24" s="1"/>
  <c r="H31" i="24" s="1" a="1"/>
  <c r="H31" i="24" s="1"/>
  <c r="H8" i="26" a="1"/>
  <c r="H8" i="26" s="1"/>
  <c r="H9" i="26" s="1" a="1"/>
  <c r="H9" i="26" s="1"/>
  <c r="H24" i="24" a="1"/>
  <c r="H24" i="24" s="1"/>
  <c r="H25" i="24" s="1" a="1"/>
  <c r="H25" i="24" s="1"/>
  <c r="J34" i="24" a="1"/>
  <c r="J34" i="24" s="1"/>
  <c r="J35" i="24" s="1" a="1"/>
  <c r="J35" i="24" s="1"/>
  <c r="J16" i="26" a="1"/>
  <c r="J16" i="26" s="1"/>
  <c r="J17" i="26" s="1" a="1"/>
  <c r="J17" i="26" s="1"/>
  <c r="J24" i="27" a="1"/>
  <c r="J24" i="27" s="1"/>
  <c r="J25" i="27" s="1" a="1"/>
  <c r="J25" i="27" s="1"/>
  <c r="H28" i="27" a="1"/>
  <c r="H28" i="27" s="1"/>
  <c r="H29" i="27" s="1" a="1"/>
  <c r="H29" i="27" s="1"/>
  <c r="H16" i="24" a="1"/>
  <c r="H16" i="24" s="1"/>
  <c r="H17" i="24" s="1" a="1"/>
  <c r="H17" i="24" s="1"/>
  <c r="J30" i="24" a="1"/>
  <c r="J30" i="24" s="1"/>
  <c r="J31" i="24" s="1" a="1"/>
  <c r="J31" i="24" s="1"/>
  <c r="J8" i="26" a="1"/>
  <c r="J8" i="26" s="1"/>
  <c r="J9" i="26" s="1" a="1"/>
  <c r="J9" i="26" s="1"/>
  <c r="H42" i="26" a="1"/>
  <c r="H42" i="26" s="1"/>
  <c r="H43" i="26" s="1" a="1"/>
  <c r="H43" i="26" s="1"/>
  <c r="H8" i="24" a="1"/>
  <c r="H8" i="24" s="1"/>
  <c r="H9" i="24" s="1" a="1"/>
  <c r="H9" i="24" s="1"/>
  <c r="J24" i="24" a="1"/>
  <c r="J24" i="24" s="1"/>
  <c r="J25" i="24" s="1" a="1"/>
  <c r="J25" i="24" s="1"/>
  <c r="H32" i="26" a="1"/>
  <c r="H32" i="26" s="1"/>
  <c r="H33" i="26" s="1" a="1"/>
  <c r="H33" i="26" s="1"/>
  <c r="H6" i="27" a="1"/>
  <c r="H6" i="27" s="1"/>
  <c r="H7" i="27" s="1" a="1"/>
  <c r="H7" i="27" s="1"/>
  <c r="J28" i="27" a="1"/>
  <c r="J28" i="27" s="1"/>
  <c r="J29" i="27" s="1" a="1"/>
  <c r="J29" i="27" s="1"/>
  <c r="J16" i="24" a="1"/>
  <c r="J16" i="24" s="1"/>
  <c r="J17" i="24" s="1" a="1"/>
  <c r="J17" i="24" s="1"/>
  <c r="H28" i="26" a="1"/>
  <c r="H28" i="26" s="1"/>
  <c r="H29" i="26" s="1" a="1"/>
  <c r="H29" i="26" s="1"/>
  <c r="J43" i="26" a="1"/>
  <c r="J43" i="26" s="1"/>
  <c r="H10" i="27" a="1"/>
  <c r="H10" i="27" s="1"/>
  <c r="H11" i="27" s="1" a="1"/>
  <c r="H11" i="27" s="1"/>
  <c r="J8" i="24" a="1"/>
  <c r="J8" i="24" s="1"/>
  <c r="J9" i="24" s="1" a="1"/>
  <c r="J9" i="24" s="1"/>
  <c r="H42" i="24" a="1"/>
  <c r="H42" i="24" s="1"/>
  <c r="H43" i="24" s="1" a="1"/>
  <c r="H43" i="24" s="1"/>
  <c r="H22" i="26" a="1"/>
  <c r="H22" i="26" s="1"/>
  <c r="H23" i="26" s="1" a="1"/>
  <c r="H23" i="26" s="1"/>
  <c r="J32" i="26" a="1"/>
  <c r="J32" i="26" s="1"/>
  <c r="J33" i="26" s="1" a="1"/>
  <c r="J33" i="26" s="1"/>
  <c r="J6" i="27" a="1"/>
  <c r="J6" i="27" s="1"/>
  <c r="J7" i="27" s="1" a="1"/>
  <c r="J7" i="27" s="1"/>
  <c r="H34" i="27" a="1"/>
  <c r="H34" i="27" s="1"/>
  <c r="H35" i="27" s="1" a="1"/>
  <c r="H35" i="27" s="1"/>
  <c r="H32" i="24" a="1"/>
  <c r="H32" i="24" s="1"/>
  <c r="H33" i="24" s="1" a="1"/>
  <c r="H33" i="24" s="1"/>
  <c r="H12" i="26" a="1"/>
  <c r="H12" i="26" s="1"/>
  <c r="H13" i="26" s="1" a="1"/>
  <c r="H13" i="26" s="1"/>
  <c r="J28" i="26" a="1"/>
  <c r="J28" i="26" s="1"/>
  <c r="J29" i="26" s="1" a="1"/>
  <c r="J29" i="26" s="1"/>
  <c r="J10" i="27" a="1"/>
  <c r="J10" i="27" s="1"/>
  <c r="J11" i="27" s="1" a="1"/>
  <c r="J11" i="27" s="1"/>
  <c r="H16" i="27" a="1"/>
  <c r="H16" i="27" s="1"/>
  <c r="H17" i="27" s="1" a="1"/>
  <c r="H17" i="27" s="1"/>
  <c r="H28" i="24" a="1"/>
  <c r="H28" i="24" s="1"/>
  <c r="H29" i="24" s="1" a="1"/>
  <c r="H29" i="24" s="1"/>
  <c r="J43" i="24" a="1"/>
  <c r="J43" i="24" s="1"/>
  <c r="J22" i="26" a="1"/>
  <c r="J22" i="26" s="1"/>
  <c r="J23" i="26" s="1" a="1"/>
  <c r="J23" i="26" s="1"/>
  <c r="J34" i="27" a="1"/>
  <c r="J34" i="27" s="1"/>
  <c r="J35" i="27" s="1" a="1"/>
  <c r="J35" i="27" s="1"/>
  <c r="H42" i="27" a="1"/>
  <c r="H42" i="27" s="1"/>
  <c r="H43" i="27" s="1" a="1"/>
  <c r="H43" i="27" s="1"/>
  <c r="H22" i="24" a="1"/>
  <c r="H22" i="24" s="1"/>
  <c r="H23" i="24" s="1" a="1"/>
  <c r="H23" i="24" s="1"/>
  <c r="J32" i="24" a="1"/>
  <c r="J32" i="24" s="1"/>
  <c r="J33" i="24" s="1" a="1"/>
  <c r="J33" i="24" s="1"/>
  <c r="H6" i="26" a="1"/>
  <c r="H6" i="26" s="1"/>
  <c r="H7" i="26" s="1" a="1"/>
  <c r="H7" i="26" s="1"/>
  <c r="J12" i="26" a="1"/>
  <c r="J12" i="26" s="1"/>
  <c r="J13" i="26" s="1" a="1"/>
  <c r="J13" i="26" s="1"/>
  <c r="J16" i="27" a="1"/>
  <c r="J16" i="27" s="1"/>
  <c r="J17" i="27" s="1" a="1"/>
  <c r="J17" i="27" s="1"/>
  <c r="H22" i="27" a="1"/>
  <c r="H22" i="27" s="1"/>
  <c r="H23" i="27" s="1" a="1"/>
  <c r="H23" i="27" s="1"/>
  <c r="H12" i="24" a="1"/>
  <c r="H12" i="24" s="1"/>
  <c r="H13" i="24" s="1" a="1"/>
  <c r="H13" i="24" s="1"/>
  <c r="J28" i="24" a="1"/>
  <c r="J28" i="24" s="1"/>
  <c r="J29" i="24" s="1" a="1"/>
  <c r="J29" i="24" s="1"/>
  <c r="H36" i="26" a="1"/>
  <c r="H36" i="26" s="1"/>
  <c r="H37" i="26" s="1" a="1"/>
  <c r="H37" i="26" s="1"/>
  <c r="J43" i="27" a="1"/>
  <c r="J43" i="27" s="1"/>
  <c r="J22" i="24" a="1"/>
  <c r="J22" i="24" s="1"/>
  <c r="J23" i="24" s="1" a="1"/>
  <c r="J23" i="24" s="1"/>
  <c r="J6" i="26" a="1"/>
  <c r="J6" i="26" s="1"/>
  <c r="J7" i="26" s="1" a="1"/>
  <c r="J7" i="26" s="1"/>
  <c r="J22" i="27" a="1"/>
  <c r="J22" i="27" s="1"/>
  <c r="J23" i="27" s="1" a="1"/>
  <c r="J23" i="27" s="1"/>
  <c r="H26" i="27" a="1"/>
  <c r="H26" i="27" s="1"/>
  <c r="H27" i="27" s="1" a="1"/>
  <c r="H27" i="27" s="1"/>
  <c r="H6" i="24" a="1"/>
  <c r="H6" i="24" s="1"/>
  <c r="H7" i="24" s="1" a="1"/>
  <c r="H7" i="24" s="1"/>
  <c r="J12" i="24" a="1"/>
  <c r="J12" i="24" s="1"/>
  <c r="J13" i="24" s="1" a="1"/>
  <c r="J13" i="24" s="1"/>
  <c r="H26" i="26" a="1"/>
  <c r="H26" i="26" s="1"/>
  <c r="H27" i="26" s="1" a="1"/>
  <c r="H27" i="26" s="1"/>
  <c r="J36" i="26" a="1"/>
  <c r="J36" i="26" s="1"/>
  <c r="J37" i="26" s="1" a="1"/>
  <c r="J37" i="26" s="1"/>
  <c r="H36" i="24" a="1"/>
  <c r="H36" i="24" s="1"/>
  <c r="H37" i="24" s="1" a="1"/>
  <c r="H37" i="24" s="1"/>
  <c r="H18" i="26" a="1"/>
  <c r="H18" i="26" s="1"/>
  <c r="H19" i="26" s="1" a="1"/>
  <c r="H19" i="26" s="1"/>
  <c r="J26" i="27" a="1"/>
  <c r="J26" i="27" s="1"/>
  <c r="J27" i="27" s="1" a="1"/>
  <c r="J27" i="27" s="1"/>
  <c r="H30" i="27" a="1"/>
  <c r="H30" i="27" s="1"/>
  <c r="H31" i="27" s="1" a="1"/>
  <c r="H31" i="27" s="1"/>
  <c r="J6" i="24" a="1"/>
  <c r="J6" i="24" s="1"/>
  <c r="J7" i="24" s="1" a="1"/>
  <c r="J7" i="24" s="1"/>
  <c r="H10" i="26" a="1"/>
  <c r="H10" i="26" s="1"/>
  <c r="H11" i="26" s="1" a="1"/>
  <c r="H11" i="26" s="1"/>
  <c r="J26" i="26" a="1"/>
  <c r="J26" i="26" s="1"/>
  <c r="J27" i="26" s="1" a="1"/>
  <c r="J27" i="26" s="1"/>
  <c r="H8" i="27" a="1"/>
  <c r="H8" i="27" s="1"/>
  <c r="H9" i="27" s="1" a="1"/>
  <c r="H9" i="27" s="1"/>
  <c r="H26" i="24" a="1"/>
  <c r="H26" i="24" s="1"/>
  <c r="H27" i="24" s="1" a="1"/>
  <c r="H27" i="24" s="1"/>
  <c r="J36" i="24" a="1"/>
  <c r="J36" i="24" s="1"/>
  <c r="J37" i="24" s="1" a="1"/>
  <c r="J37" i="24" s="1"/>
  <c r="J18" i="26" a="1"/>
  <c r="J18" i="26" s="1"/>
  <c r="J19" i="26" s="1" a="1"/>
  <c r="J19" i="26" s="1"/>
  <c r="H32" i="27" a="1"/>
  <c r="H32" i="27" s="1"/>
  <c r="H33" i="27" s="1" a="1"/>
  <c r="H33" i="27" s="1"/>
  <c r="H18" i="24" a="1"/>
  <c r="H18" i="24" s="1"/>
  <c r="H19" i="24" s="1" a="1"/>
  <c r="H19" i="24" s="1"/>
  <c r="J10" i="26" a="1"/>
  <c r="J10" i="26" s="1"/>
  <c r="J11" i="26" s="1" a="1"/>
  <c r="J11" i="26" s="1"/>
  <c r="E4" i="24"/>
  <c r="J18" i="23" a="1"/>
  <c r="J18" i="23" s="1"/>
  <c r="J19" i="23" s="1" a="1"/>
  <c r="J19" i="23" s="1"/>
  <c r="J12" i="23" a="1"/>
  <c r="J12" i="23" s="1"/>
  <c r="J13" i="23" s="1" a="1"/>
  <c r="J13" i="23" s="1"/>
  <c r="J10" i="23" a="1"/>
  <c r="J10" i="23" s="1"/>
  <c r="J11" i="23" s="1" a="1"/>
  <c r="J11" i="23" s="1"/>
  <c r="J8" i="23" a="1"/>
  <c r="J8" i="23" s="1"/>
  <c r="J9" i="23" s="1" a="1"/>
  <c r="J9" i="23" s="1"/>
  <c r="L8" i="21" a="1"/>
  <c r="L8" i="21" s="1"/>
  <c r="L9" i="21" s="1" a="1"/>
  <c r="L9" i="21" s="1"/>
  <c r="L6" i="21" a="1"/>
  <c r="L6" i="21" s="1"/>
  <c r="L7" i="21" s="1" a="1"/>
  <c r="L7" i="21" s="1"/>
  <c r="L10" i="21" a="1"/>
  <c r="L10" i="21" s="1"/>
  <c r="L11" i="21" s="1" a="1"/>
  <c r="L11" i="21" s="1"/>
  <c r="L22" i="21" a="1"/>
  <c r="L22" i="21" s="1"/>
  <c r="L23" i="21" s="1" a="1"/>
  <c r="L23" i="21" s="1"/>
  <c r="L36" i="21" a="1"/>
  <c r="L36" i="21" s="1"/>
  <c r="L37" i="21" s="1" a="1"/>
  <c r="L37" i="21" s="1"/>
  <c r="L18" i="21" a="1"/>
  <c r="L18" i="21" s="1"/>
  <c r="L19" i="21" s="1" a="1"/>
  <c r="L19" i="21" s="1"/>
  <c r="L16" i="21" a="1"/>
  <c r="L16" i="21" s="1"/>
  <c r="L17" i="21" s="1" a="1"/>
  <c r="L17" i="21" s="1"/>
  <c r="L42" i="21" a="1"/>
  <c r="L42" i="21" s="1"/>
  <c r="L43" i="21" s="1" a="1"/>
  <c r="L43" i="21" s="1"/>
  <c r="L24" i="21" a="1"/>
  <c r="L24" i="21" s="1"/>
  <c r="L25" i="21" s="1" a="1"/>
  <c r="L25" i="21" s="1"/>
  <c r="L18" i="23" a="1"/>
  <c r="L18" i="23" s="1"/>
  <c r="L19" i="23" s="1" a="1"/>
  <c r="L19" i="23" s="1"/>
  <c r="L10" i="23" a="1"/>
  <c r="L10" i="23" s="1"/>
  <c r="L11" i="23" s="1" a="1"/>
  <c r="L11" i="23" s="1"/>
  <c r="L8" i="23" a="1"/>
  <c r="L8" i="23" s="1"/>
  <c r="L9" i="23" s="1" a="1"/>
  <c r="L9" i="23" s="1"/>
  <c r="L12" i="23" a="1"/>
  <c r="L12" i="23" s="1"/>
  <c r="L13" i="23" s="1" a="1"/>
  <c r="L13" i="23" s="1"/>
  <c r="K32" i="21" a="1"/>
  <c r="K32" i="21" s="1"/>
  <c r="K33" i="21" s="1" a="1"/>
  <c r="K33" i="21" s="1"/>
  <c r="K8" i="21" a="1"/>
  <c r="K8" i="21" s="1"/>
  <c r="K9" i="21" s="1" a="1"/>
  <c r="K9" i="21" s="1"/>
  <c r="K42" i="21" a="1"/>
  <c r="K42" i="21" s="1"/>
  <c r="K43" i="21" s="1" a="1"/>
  <c r="K43" i="21" s="1"/>
  <c r="K16" i="21" a="1"/>
  <c r="K16" i="21" s="1"/>
  <c r="K17" i="21" s="1" a="1"/>
  <c r="K17" i="21" s="1"/>
  <c r="K34" i="21" a="1"/>
  <c r="K34" i="21" s="1"/>
  <c r="K35" i="21" s="1" a="1"/>
  <c r="K35" i="21" s="1"/>
  <c r="K6" i="21" a="1"/>
  <c r="K6" i="21" s="1"/>
  <c r="K7" i="21" s="1" a="1"/>
  <c r="K7" i="21" s="1"/>
  <c r="K12" i="21" a="1"/>
  <c r="K12" i="21" s="1"/>
  <c r="K13" i="21" s="1" a="1"/>
  <c r="K13" i="21" s="1"/>
  <c r="K30" i="21" a="1"/>
  <c r="K30" i="21" s="1"/>
  <c r="K31" i="21" s="1" a="1"/>
  <c r="K31" i="21" s="1"/>
  <c r="K36" i="21" a="1"/>
  <c r="K36" i="21" s="1"/>
  <c r="K37" i="21" s="1" a="1"/>
  <c r="K37" i="21" s="1"/>
  <c r="K18" i="21" a="1"/>
  <c r="K18" i="21" s="1"/>
  <c r="K19" i="21" s="1" a="1"/>
  <c r="K19" i="21" s="1"/>
  <c r="K26" i="21" a="1"/>
  <c r="K26" i="21" s="1"/>
  <c r="K27" i="21" s="1" a="1"/>
  <c r="K27" i="21" s="1"/>
  <c r="K24" i="21" a="1"/>
  <c r="K24" i="21" s="1"/>
  <c r="K25" i="21" s="1" a="1"/>
  <c r="K25" i="21" s="1"/>
  <c r="K28" i="21" a="1"/>
  <c r="K28" i="21" s="1"/>
  <c r="K29" i="21" s="1" a="1"/>
  <c r="K29" i="21" s="1"/>
  <c r="K22" i="21" a="1"/>
  <c r="K22" i="21" s="1"/>
  <c r="K23" i="21" s="1" a="1"/>
  <c r="K23" i="21" s="1"/>
  <c r="K10" i="21" a="1"/>
  <c r="K10" i="21" s="1"/>
  <c r="K11" i="21" s="1" a="1"/>
  <c r="K11" i="21" s="1"/>
  <c r="K12" i="23" a="1"/>
  <c r="K12" i="23" s="1"/>
  <c r="K13" i="23" s="1" a="1"/>
  <c r="K13" i="23" s="1"/>
  <c r="K8" i="23" a="1"/>
  <c r="K8" i="23" s="1"/>
  <c r="K9" i="23" s="1" a="1"/>
  <c r="K9" i="23" s="1"/>
  <c r="K18" i="23" a="1"/>
  <c r="K18" i="23" s="1"/>
  <c r="K19" i="23" s="1" a="1"/>
  <c r="K19" i="23" s="1"/>
  <c r="K10" i="23" a="1"/>
  <c r="K10" i="23" s="1"/>
  <c r="K11" i="23" s="1" a="1"/>
  <c r="K11" i="23" s="1"/>
  <c r="H10" i="21" a="1"/>
  <c r="H10" i="21" s="1"/>
  <c r="H11" i="21" s="1" a="1"/>
  <c r="H11" i="21" s="1"/>
  <c r="H12" i="23" a="1"/>
  <c r="H12" i="23" s="1"/>
  <c r="H13" i="23" s="1" a="1"/>
  <c r="H13" i="23" s="1"/>
  <c r="H22" i="21" a="1"/>
  <c r="H22" i="21" s="1"/>
  <c r="H23" i="21" s="1" a="1"/>
  <c r="H23" i="21" s="1"/>
  <c r="H10" i="23" a="1"/>
  <c r="H10" i="23" s="1"/>
  <c r="H11" i="23" s="1" a="1"/>
  <c r="H11" i="23" s="1"/>
  <c r="H8" i="23" a="1"/>
  <c r="H8" i="23" s="1"/>
  <c r="H9" i="23" s="1" a="1"/>
  <c r="H9" i="23" s="1"/>
  <c r="H42" i="21" a="1"/>
  <c r="H42" i="21" s="1"/>
  <c r="H43" i="21" s="1" a="1"/>
  <c r="H43" i="21" s="1"/>
  <c r="H36" i="21" a="1"/>
  <c r="H36" i="21" s="1"/>
  <c r="H37" i="21" s="1" a="1"/>
  <c r="H37" i="21" s="1"/>
  <c r="H34" i="21" a="1"/>
  <c r="H34" i="21" s="1"/>
  <c r="H35" i="21" s="1" a="1"/>
  <c r="H35" i="21" s="1"/>
  <c r="H32" i="21" a="1"/>
  <c r="H32" i="21" s="1"/>
  <c r="H33" i="21" s="1" a="1"/>
  <c r="H33" i="21" s="1"/>
  <c r="H28" i="21" a="1"/>
  <c r="H28" i="21" s="1"/>
  <c r="H29" i="21" s="1" a="1"/>
  <c r="H29" i="21" s="1"/>
  <c r="H26" i="21" a="1"/>
  <c r="H26" i="21" s="1"/>
  <c r="H27" i="21" s="1" a="1"/>
  <c r="H27" i="21" s="1"/>
  <c r="H18" i="21" a="1"/>
  <c r="H18" i="21" s="1"/>
  <c r="H19" i="21" s="1" a="1"/>
  <c r="H19" i="21" s="1"/>
  <c r="H16" i="21" a="1"/>
  <c r="H16" i="21" s="1"/>
  <c r="H17" i="21" s="1" a="1"/>
  <c r="H17" i="21" s="1"/>
  <c r="H8" i="21" a="1"/>
  <c r="H8" i="21" s="1"/>
  <c r="H9" i="21" s="1" a="1"/>
  <c r="H9" i="21" s="1"/>
  <c r="J26" i="21" a="1"/>
  <c r="J26" i="21" s="1"/>
  <c r="J27" i="21" s="1" a="1"/>
  <c r="J27" i="21" s="1"/>
  <c r="J22" i="21" a="1"/>
  <c r="J22" i="21" s="1"/>
  <c r="J23" i="21" s="1" a="1"/>
  <c r="J23" i="21" s="1"/>
  <c r="J28" i="21" a="1"/>
  <c r="J28" i="21" s="1"/>
  <c r="J29" i="21" s="1" a="1"/>
  <c r="J29" i="21" s="1"/>
  <c r="J34" i="21" a="1"/>
  <c r="J34" i="21" s="1"/>
  <c r="J35" i="21" s="1" a="1"/>
  <c r="J35" i="21" s="1"/>
  <c r="J32" i="21" a="1"/>
  <c r="J32" i="21" s="1"/>
  <c r="J33" i="21" s="1" a="1"/>
  <c r="J33" i="21" s="1"/>
  <c r="J43" i="21" a="1"/>
  <c r="J43" i="21" s="1"/>
  <c r="J16" i="21" a="1"/>
  <c r="J16" i="21" s="1"/>
  <c r="J17" i="21" s="1" a="1"/>
  <c r="J17" i="21" s="1"/>
  <c r="J8" i="21" a="1"/>
  <c r="J8" i="21" s="1"/>
  <c r="J9" i="21" s="1" a="1"/>
  <c r="J9" i="21" s="1"/>
  <c r="J36" i="21" a="1"/>
  <c r="J36" i="21" s="1"/>
  <c r="J37" i="21" s="1" a="1"/>
  <c r="J37" i="21" s="1"/>
  <c r="J24" i="21" a="1"/>
  <c r="J24" i="21" s="1"/>
  <c r="J25" i="21" s="1" a="1"/>
  <c r="J25" i="21" s="1"/>
  <c r="J18" i="21" a="1"/>
  <c r="J18" i="21" s="1"/>
  <c r="J19" i="21" s="1" a="1"/>
  <c r="J19" i="21" s="1"/>
  <c r="J10" i="21" a="1"/>
  <c r="J10" i="21" s="1"/>
  <c r="J11" i="21" s="1" a="1"/>
  <c r="J11" i="21" s="1"/>
  <c r="I26" i="21" a="1"/>
  <c r="I26" i="21" s="1"/>
  <c r="I27" i="21" s="1" a="1"/>
  <c r="I27" i="21" s="1"/>
  <c r="I28" i="21" a="1"/>
  <c r="I28" i="21" s="1"/>
  <c r="I29" i="21" s="1" a="1"/>
  <c r="I29" i="21" s="1"/>
  <c r="I24" i="21" a="1"/>
  <c r="I24" i="21" s="1"/>
  <c r="I25" i="21" s="1" a="1"/>
  <c r="I25" i="21" s="1"/>
  <c r="I37" i="21" a="1"/>
  <c r="I37" i="21" s="1"/>
  <c r="I18" i="21" a="1"/>
  <c r="I18" i="21" s="1"/>
  <c r="I19" i="21" s="1" a="1"/>
  <c r="I19" i="21" s="1"/>
  <c r="I43" i="21" a="1"/>
  <c r="I43" i="21" s="1"/>
  <c r="I12" i="23" a="1"/>
  <c r="I12" i="23" s="1"/>
  <c r="I13" i="23" s="1" a="1"/>
  <c r="I13" i="23" s="1"/>
  <c r="I16" i="21" a="1"/>
  <c r="I16" i="21" s="1"/>
  <c r="I17" i="21" s="1" a="1"/>
  <c r="I17" i="21" s="1"/>
  <c r="I8" i="21" a="1"/>
  <c r="I8" i="21" s="1"/>
  <c r="I9" i="21" s="1" a="1"/>
  <c r="I9" i="21" s="1"/>
  <c r="I35" i="21" a="1"/>
  <c r="I35" i="21" s="1"/>
  <c r="I22" i="21" a="1"/>
  <c r="I22" i="21" s="1"/>
  <c r="I23" i="21" s="1" a="1"/>
  <c r="I23" i="21" s="1"/>
  <c r="I10" i="21" a="1"/>
  <c r="I10" i="21" s="1"/>
  <c r="I11" i="21" s="1" a="1"/>
  <c r="I11" i="21" s="1"/>
  <c r="I8" i="23" a="1"/>
  <c r="I8" i="23" s="1"/>
  <c r="I9" i="23" s="1" a="1"/>
  <c r="I9" i="23" s="1"/>
  <c r="I32" i="21" a="1"/>
  <c r="I32" i="21" s="1"/>
  <c r="I33" i="21" s="1" a="1"/>
  <c r="I33" i="21" s="1"/>
  <c r="I10" i="23" a="1"/>
  <c r="I10" i="23" s="1"/>
  <c r="I11" i="23" s="1" a="1"/>
  <c r="I11" i="23" s="1"/>
  <c r="P12" i="21" a="1"/>
  <c r="P12" i="21" s="1"/>
  <c r="P13" i="21" s="1" a="1"/>
  <c r="P13" i="21" s="1"/>
  <c r="P26" i="21" a="1"/>
  <c r="P26" i="21" s="1"/>
  <c r="P27" i="21" s="1" a="1"/>
  <c r="P27" i="21" s="1"/>
  <c r="P8" i="21" a="1"/>
  <c r="P8" i="21" s="1"/>
  <c r="P9" i="21" s="1" a="1"/>
  <c r="P9" i="21" s="1"/>
  <c r="P42" i="21" a="1"/>
  <c r="P42" i="21" s="1"/>
  <c r="P43" i="21" s="1" a="1"/>
  <c r="P43" i="21" s="1"/>
  <c r="P36" i="21" a="1"/>
  <c r="P36" i="21" s="1"/>
  <c r="P37" i="21" s="1" a="1"/>
  <c r="P37" i="21" s="1"/>
  <c r="P30" i="21" a="1"/>
  <c r="P30" i="21" s="1"/>
  <c r="P31" i="21" s="1" a="1"/>
  <c r="P31" i="21" s="1"/>
  <c r="P6" i="21" a="1"/>
  <c r="P6" i="21" s="1"/>
  <c r="P7" i="21" s="1" a="1"/>
  <c r="P7" i="21" s="1"/>
  <c r="P16" i="21" a="1"/>
  <c r="P16" i="21" s="1"/>
  <c r="P17" i="21" s="1" a="1"/>
  <c r="P17" i="21" s="1"/>
  <c r="P24" i="21" a="1"/>
  <c r="P24" i="21" s="1"/>
  <c r="P25" i="21" s="1" a="1"/>
  <c r="P25" i="21" s="1"/>
  <c r="P18" i="21" a="1"/>
  <c r="P18" i="21" s="1"/>
  <c r="P19" i="21" s="1" a="1"/>
  <c r="P19" i="21" s="1"/>
  <c r="P10" i="21" a="1"/>
  <c r="P10" i="21" s="1"/>
  <c r="P11" i="21" s="1" a="1"/>
  <c r="P11" i="21" s="1"/>
  <c r="P32" i="21" a="1"/>
  <c r="P32" i="21" s="1"/>
  <c r="P33" i="21" s="1" a="1"/>
  <c r="P33" i="21" s="1"/>
  <c r="J31" i="23" a="1"/>
  <c r="J31" i="23" s="1"/>
  <c r="J33" i="23" a="1"/>
  <c r="J33" i="23" s="1"/>
  <c r="J22" i="23" a="1"/>
  <c r="J22" i="23" s="1"/>
  <c r="J23" i="23" s="1" a="1"/>
  <c r="J23" i="23" s="1"/>
  <c r="J28" i="23" a="1"/>
  <c r="J28" i="23" s="1"/>
  <c r="J29" i="23" s="1" a="1"/>
  <c r="J29" i="23" s="1"/>
  <c r="J26" i="23" a="1"/>
  <c r="J26" i="23" s="1"/>
  <c r="J27" i="23" s="1" a="1"/>
  <c r="J27" i="23" s="1"/>
  <c r="J16" i="23" a="1"/>
  <c r="J16" i="23" s="1"/>
  <c r="J17" i="23" s="1" a="1"/>
  <c r="J17" i="23" s="1"/>
  <c r="J43" i="23" a="1"/>
  <c r="J43" i="23" s="1"/>
  <c r="J35" i="23" a="1"/>
  <c r="J35" i="23" s="1"/>
  <c r="J6" i="23" a="1"/>
  <c r="J6" i="23" s="1"/>
  <c r="J7" i="23" s="1" a="1"/>
  <c r="J7" i="23" s="1"/>
  <c r="J37" i="23" a="1"/>
  <c r="J37" i="23" s="1"/>
  <c r="J24" i="23" a="1"/>
  <c r="J24" i="23" s="1"/>
  <c r="J25" i="23" s="1" a="1"/>
  <c r="J25" i="23" s="1"/>
  <c r="L12" i="21" a="1"/>
  <c r="L12" i="21" s="1"/>
  <c r="L13" i="21" s="1" a="1"/>
  <c r="L13" i="21" s="1"/>
  <c r="L30" i="21" a="1"/>
  <c r="L30" i="21" s="1"/>
  <c r="L31" i="21" s="1" a="1"/>
  <c r="L31" i="21" s="1"/>
  <c r="L30" i="23" a="1"/>
  <c r="L30" i="23" s="1"/>
  <c r="L31" i="23" s="1" a="1"/>
  <c r="L31" i="23" s="1"/>
  <c r="L16" i="23" a="1"/>
  <c r="L16" i="23" s="1"/>
  <c r="L17" i="23" s="1" a="1"/>
  <c r="L17" i="23" s="1"/>
  <c r="L34" i="23" a="1"/>
  <c r="L34" i="23" s="1"/>
  <c r="L35" i="23" s="1" a="1"/>
  <c r="L35" i="23" s="1"/>
  <c r="L32" i="23" a="1"/>
  <c r="L32" i="23" s="1"/>
  <c r="L33" i="23" s="1" a="1"/>
  <c r="L33" i="23" s="1"/>
  <c r="L36" i="23" a="1"/>
  <c r="L36" i="23" s="1"/>
  <c r="L37" i="23" s="1" a="1"/>
  <c r="L37" i="23" s="1"/>
  <c r="L42" i="23" a="1"/>
  <c r="L42" i="23" s="1"/>
  <c r="L43" i="23" s="1" a="1"/>
  <c r="L43" i="23" s="1"/>
  <c r="L6" i="23" a="1"/>
  <c r="L6" i="23" s="1"/>
  <c r="L7" i="23" s="1" a="1"/>
  <c r="L7" i="23" s="1"/>
  <c r="L22" i="23" a="1"/>
  <c r="L22" i="23" s="1"/>
  <c r="L23" i="23" s="1" a="1"/>
  <c r="L23" i="23" s="1"/>
  <c r="L24" i="23" a="1"/>
  <c r="L24" i="23" s="1"/>
  <c r="L25" i="23" s="1" a="1"/>
  <c r="L25" i="23" s="1"/>
  <c r="L26" i="23" a="1"/>
  <c r="L26" i="23" s="1"/>
  <c r="L27" i="23" s="1" a="1"/>
  <c r="L27" i="23" s="1"/>
  <c r="L28" i="23" a="1"/>
  <c r="L28" i="23" s="1"/>
  <c r="L29" i="23" s="1" a="1"/>
  <c r="L29" i="23" s="1"/>
  <c r="K6" i="23" a="1"/>
  <c r="K6" i="23" s="1"/>
  <c r="K7" i="23" s="1" a="1"/>
  <c r="K7" i="23" s="1"/>
  <c r="K35" i="23" a="1"/>
  <c r="K35" i="23" s="1"/>
  <c r="K43" i="23" a="1"/>
  <c r="K43" i="23" s="1"/>
  <c r="K26" i="23" a="1"/>
  <c r="K26" i="23" s="1"/>
  <c r="K27" i="23" s="1" a="1"/>
  <c r="K27" i="23" s="1"/>
  <c r="K31" i="23" a="1"/>
  <c r="K31" i="23" s="1"/>
  <c r="K24" i="23" a="1"/>
  <c r="K24" i="23" s="1"/>
  <c r="K25" i="23" s="1" a="1"/>
  <c r="K25" i="23" s="1"/>
  <c r="K33" i="23" a="1"/>
  <c r="K33" i="23" s="1"/>
  <c r="K37" i="23" a="1"/>
  <c r="K37" i="23" s="1"/>
  <c r="K22" i="23" a="1"/>
  <c r="K22" i="23" s="1"/>
  <c r="K23" i="23" s="1" a="1"/>
  <c r="K23" i="23" s="1"/>
  <c r="K28" i="23" a="1"/>
  <c r="K28" i="23" s="1"/>
  <c r="K29" i="23" s="1" a="1"/>
  <c r="K29" i="23" s="1"/>
  <c r="K16" i="23" a="1"/>
  <c r="K16" i="23" s="1"/>
  <c r="K17" i="23" s="1" a="1"/>
  <c r="K17" i="23" s="1"/>
  <c r="H32" i="23" a="1"/>
  <c r="H32" i="23" s="1"/>
  <c r="H33" i="23" s="1" a="1"/>
  <c r="H33" i="23" s="1"/>
  <c r="H26" i="23" a="1"/>
  <c r="H26" i="23" s="1"/>
  <c r="H27" i="23" s="1" a="1"/>
  <c r="H27" i="23" s="1"/>
  <c r="H16" i="23" a="1"/>
  <c r="H16" i="23" s="1"/>
  <c r="H17" i="23" s="1" a="1"/>
  <c r="H17" i="23" s="1"/>
  <c r="H7" i="23" a="1"/>
  <c r="H7" i="23" s="1"/>
  <c r="E7" i="23" s="1"/>
  <c r="H24" i="21" a="1"/>
  <c r="H24" i="21" s="1"/>
  <c r="H25" i="21" s="1" a="1"/>
  <c r="H25" i="21" s="1"/>
  <c r="H12" i="21" a="1"/>
  <c r="H12" i="21" s="1"/>
  <c r="H13" i="21" s="1" a="1"/>
  <c r="H13" i="21" s="1"/>
  <c r="H6" i="21" a="1"/>
  <c r="H6" i="21" s="1"/>
  <c r="H7" i="21" s="1" a="1"/>
  <c r="H7" i="21" s="1"/>
  <c r="H30" i="21" a="1"/>
  <c r="H30" i="21" s="1"/>
  <c r="H31" i="21" s="1" a="1"/>
  <c r="H31" i="21" s="1"/>
  <c r="H34" i="23" a="1"/>
  <c r="H34" i="23" s="1"/>
  <c r="H35" i="23" s="1" a="1"/>
  <c r="H35" i="23" s="1"/>
  <c r="H24" i="23" a="1"/>
  <c r="H24" i="23" s="1"/>
  <c r="H25" i="23" s="1" a="1"/>
  <c r="H25" i="23" s="1"/>
  <c r="H22" i="23" a="1"/>
  <c r="H22" i="23" s="1"/>
  <c r="H23" i="23" s="1" a="1"/>
  <c r="H23" i="23" s="1"/>
  <c r="H30" i="23" a="1"/>
  <c r="H30" i="23" s="1"/>
  <c r="H31" i="23" s="1" a="1"/>
  <c r="H31" i="23" s="1"/>
  <c r="H42" i="23" a="1"/>
  <c r="H42" i="23" s="1"/>
  <c r="H43" i="23" s="1" a="1"/>
  <c r="H43" i="23" s="1"/>
  <c r="H18" i="23" a="1"/>
  <c r="H18" i="23" s="1"/>
  <c r="H19" i="23" s="1" a="1"/>
  <c r="H19" i="23" s="1"/>
  <c r="H36" i="23" a="1"/>
  <c r="H36" i="23" s="1"/>
  <c r="H37" i="23" s="1" a="1"/>
  <c r="H37" i="23" s="1"/>
  <c r="H28" i="23" a="1"/>
  <c r="H28" i="23" s="1"/>
  <c r="H29" i="23" s="1" a="1"/>
  <c r="H29" i="23" s="1"/>
  <c r="J30" i="21" a="1"/>
  <c r="J30" i="21" s="1"/>
  <c r="J31" i="21" s="1" a="1"/>
  <c r="J31" i="21" s="1"/>
  <c r="J6" i="21" a="1"/>
  <c r="J6" i="21" s="1"/>
  <c r="J7" i="21" s="1" a="1"/>
  <c r="J7" i="21" s="1"/>
  <c r="J12" i="21" a="1"/>
  <c r="J12" i="21" s="1"/>
  <c r="J13" i="21" s="1" a="1"/>
  <c r="J13" i="21" s="1"/>
  <c r="I12" i="21" a="1"/>
  <c r="I12" i="21" s="1"/>
  <c r="I13" i="21" s="1" a="1"/>
  <c r="I13" i="21" s="1"/>
  <c r="I6" i="21" a="1"/>
  <c r="I6" i="21" s="1"/>
  <c r="I7" i="21" s="1" a="1"/>
  <c r="I7" i="21" s="1"/>
  <c r="I6" i="23" a="1"/>
  <c r="I6" i="23" s="1"/>
  <c r="I7" i="23" s="1" a="1"/>
  <c r="I7" i="23" s="1"/>
  <c r="I43" i="23" a="1"/>
  <c r="I43" i="23" s="1"/>
  <c r="I30" i="21" a="1"/>
  <c r="I30" i="21" s="1"/>
  <c r="I31" i="21" s="1" a="1"/>
  <c r="I31" i="21" s="1"/>
  <c r="I16" i="23" a="1"/>
  <c r="I16" i="23" s="1"/>
  <c r="I17" i="23" s="1" a="1"/>
  <c r="I17" i="23" s="1"/>
  <c r="I26" i="23" a="1"/>
  <c r="I26" i="23" s="1"/>
  <c r="I27" i="23" s="1" a="1"/>
  <c r="I27" i="23" s="1"/>
  <c r="I32" i="23" a="1"/>
  <c r="I32" i="23" s="1"/>
  <c r="I33" i="23" s="1" a="1"/>
  <c r="I33" i="23" s="1"/>
  <c r="I35" i="23" a="1"/>
  <c r="I35" i="23" s="1"/>
  <c r="I18" i="23" a="1"/>
  <c r="I18" i="23" s="1"/>
  <c r="I19" i="23" s="1" a="1"/>
  <c r="I19" i="23" s="1"/>
  <c r="I37" i="23" a="1"/>
  <c r="I37" i="23" s="1"/>
  <c r="I30" i="23" a="1"/>
  <c r="I30" i="23" s="1"/>
  <c r="I31" i="23" s="1" a="1"/>
  <c r="I31" i="23" s="1"/>
  <c r="I28" i="23" a="1"/>
  <c r="I28" i="23" s="1"/>
  <c r="I29" i="23" s="1" a="1"/>
  <c r="I29" i="23" s="1"/>
  <c r="P28" i="21" a="1"/>
  <c r="P28" i="21" s="1"/>
  <c r="P29" i="21" s="1" a="1"/>
  <c r="P29" i="21" s="1"/>
  <c r="P34" i="21" a="1"/>
  <c r="P34" i="21" s="1"/>
  <c r="P35" i="21" s="1" a="1"/>
  <c r="P35" i="21" s="1"/>
  <c r="P22" i="21" a="1"/>
  <c r="P22" i="21" s="1"/>
  <c r="P23" i="21" s="1" a="1"/>
  <c r="P23" i="21" s="1"/>
  <c r="G43" i="23" a="1"/>
  <c r="G43" i="23" s="1"/>
  <c r="G34" i="23" a="1"/>
  <c r="G34" i="23" s="1"/>
  <c r="G35" i="23" s="1" a="1"/>
  <c r="G35" i="23" s="1"/>
  <c r="G28" i="23" a="1"/>
  <c r="G28" i="23" s="1"/>
  <c r="G29" i="23" s="1" a="1"/>
  <c r="G29" i="23" s="1"/>
  <c r="G24" i="23" a="1"/>
  <c r="G24" i="23" s="1"/>
  <c r="G25" i="23" s="1" a="1"/>
  <c r="G25" i="23" s="1"/>
  <c r="G6" i="23" a="1"/>
  <c r="G6" i="23" s="1"/>
  <c r="G8" i="23" a="1"/>
  <c r="G8" i="23" s="1"/>
  <c r="G9" i="23" s="1" a="1"/>
  <c r="G9" i="23" s="1"/>
  <c r="G12" i="23" a="1"/>
  <c r="G12" i="23" s="1"/>
  <c r="G13" i="23" s="1" a="1"/>
  <c r="G13" i="23" s="1"/>
  <c r="G18" i="23" a="1"/>
  <c r="G18" i="23" s="1"/>
  <c r="G19" i="23" s="1" a="1"/>
  <c r="G19" i="23" s="1"/>
  <c r="G16" i="23" a="1"/>
  <c r="G16" i="23" s="1"/>
  <c r="G17" i="23" s="1" a="1"/>
  <c r="G17" i="23" s="1"/>
  <c r="G32" i="23" a="1"/>
  <c r="G32" i="23" s="1"/>
  <c r="G33" i="23" s="1" a="1"/>
  <c r="G33" i="23" s="1"/>
  <c r="G30" i="23" a="1"/>
  <c r="G30" i="23" s="1"/>
  <c r="G31" i="23" s="1" a="1"/>
  <c r="G31" i="23" s="1"/>
  <c r="G26" i="23" a="1"/>
  <c r="G26" i="23" s="1"/>
  <c r="G27" i="23" s="1" a="1"/>
  <c r="G27" i="23" s="1"/>
  <c r="G22" i="23" a="1"/>
  <c r="G22" i="23" s="1"/>
  <c r="G23" i="23" s="1" a="1"/>
  <c r="G23" i="23" s="1"/>
  <c r="E4" i="23"/>
  <c r="E4" i="21"/>
  <c r="C54" i="1"/>
  <c r="C42" i="1"/>
  <c r="C41" i="1"/>
  <c r="C36" i="1"/>
  <c r="C30" i="1"/>
  <c r="C25" i="1"/>
  <c r="E25" i="26" l="1"/>
  <c r="E39" i="27"/>
  <c r="E15" i="24"/>
  <c r="E15" i="21"/>
  <c r="E15" i="26"/>
  <c r="E39" i="26"/>
  <c r="E15" i="27"/>
  <c r="E15" i="23"/>
  <c r="E39" i="23"/>
  <c r="E39" i="21"/>
  <c r="E39" i="24"/>
  <c r="E41" i="24"/>
  <c r="E21" i="23"/>
  <c r="E21" i="27"/>
  <c r="E21" i="26"/>
  <c r="E21" i="21"/>
  <c r="E21" i="24"/>
  <c r="E41" i="27"/>
  <c r="E41" i="23"/>
  <c r="E41" i="26"/>
  <c r="E41" i="21"/>
  <c r="E9" i="27"/>
  <c r="E27" i="24"/>
  <c r="E13" i="27"/>
  <c r="E13" i="26"/>
  <c r="E19" i="24"/>
  <c r="E17" i="24"/>
  <c r="E25" i="24"/>
  <c r="E11" i="24"/>
  <c r="E9" i="24"/>
  <c r="E9" i="26"/>
  <c r="E31" i="26"/>
  <c r="E11" i="27"/>
  <c r="E35" i="24"/>
  <c r="E19" i="27"/>
  <c r="E35" i="26"/>
  <c r="E37" i="27"/>
  <c r="E25" i="27"/>
  <c r="E43" i="27"/>
  <c r="E33" i="27"/>
  <c r="E29" i="26"/>
  <c r="E33" i="26"/>
  <c r="E31" i="24"/>
  <c r="E37" i="24"/>
  <c r="E33" i="24"/>
  <c r="E43" i="26"/>
  <c r="E7" i="26"/>
  <c r="E27" i="26"/>
  <c r="E17" i="27"/>
  <c r="E43" i="24"/>
  <c r="E31" i="27"/>
  <c r="E23" i="24"/>
  <c r="E35" i="27"/>
  <c r="E23" i="26"/>
  <c r="E17" i="26"/>
  <c r="E7" i="24"/>
  <c r="E29" i="27"/>
  <c r="E27" i="27"/>
  <c r="E19" i="26"/>
  <c r="E23" i="27"/>
  <c r="E7" i="27"/>
  <c r="E37" i="26"/>
  <c r="E29" i="24"/>
  <c r="E11" i="26"/>
  <c r="E13" i="24"/>
  <c r="E11" i="23"/>
  <c r="E43" i="23"/>
  <c r="E35" i="23"/>
  <c r="E29" i="23"/>
  <c r="E25" i="23"/>
  <c r="E9" i="23"/>
  <c r="E13" i="23"/>
  <c r="E19" i="23"/>
  <c r="E33" i="23"/>
  <c r="E31" i="23"/>
  <c r="E23" i="23"/>
  <c r="E17" i="23"/>
  <c r="E37" i="23"/>
  <c r="E27" i="23"/>
  <c r="E43" i="21"/>
  <c r="E9" i="21"/>
  <c r="E29" i="21"/>
  <c r="E25" i="21"/>
  <c r="E23" i="21"/>
  <c r="E19" i="21"/>
  <c r="E11" i="21"/>
  <c r="E17" i="21"/>
  <c r="E31" i="21"/>
  <c r="E37" i="21"/>
  <c r="E35" i="21"/>
  <c r="E33" i="21"/>
  <c r="E7" i="21"/>
  <c r="E27" i="21"/>
  <c r="E13" i="21"/>
  <c r="C32" i="1"/>
  <c r="C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5" authorId="0" shapeId="0" xr:uid="{362DB2BD-FFA5-4B20-9A42-769E1CEB15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ITM :238000
ATM : 23000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<sst xmlns="http://schemas.openxmlformats.org/spreadsheetml/2006/main" count="733" uniqueCount="141">
  <si>
    <t>SH</t>
  </si>
  <si>
    <t>TO</t>
  </si>
  <si>
    <t>NFBT RB</t>
  </si>
  <si>
    <t>NFBT TR</t>
  </si>
  <si>
    <t>NFBT BTF</t>
  </si>
  <si>
    <t>Rolling Std</t>
  </si>
  <si>
    <t>Rolling Stg</t>
  </si>
  <si>
    <t>Calender</t>
  </si>
  <si>
    <t>Monthly Avg</t>
  </si>
  <si>
    <t>Weekly Avg</t>
  </si>
  <si>
    <t>Expectancy</t>
  </si>
  <si>
    <t>1 Lot Margin With Hedge</t>
  </si>
  <si>
    <t>Strategy allotment % without hedge</t>
  </si>
  <si>
    <t>Strategy allotment % with hedge</t>
  </si>
  <si>
    <t>NIFTY</t>
  </si>
  <si>
    <t>SENSEX</t>
  </si>
  <si>
    <t>TTP</t>
  </si>
  <si>
    <t>TTA</t>
  </si>
  <si>
    <t>Client Id</t>
  </si>
  <si>
    <t>Client Name</t>
  </si>
  <si>
    <t>OWN</t>
  </si>
  <si>
    <t>Prarambh</t>
  </si>
  <si>
    <t>ITC1639</t>
  </si>
  <si>
    <t>Anil Jajoo</t>
  </si>
  <si>
    <t>ITC1695</t>
  </si>
  <si>
    <t>Pushpa Jajoo</t>
  </si>
  <si>
    <t>ITC1959</t>
  </si>
  <si>
    <t>Snehlata Jajoo</t>
  </si>
  <si>
    <t>ITC2095</t>
  </si>
  <si>
    <t>Ratan Lakhotia</t>
  </si>
  <si>
    <t>ITC2096</t>
  </si>
  <si>
    <t>Sarla Lakhotia</t>
  </si>
  <si>
    <t>ITC2089</t>
  </si>
  <si>
    <t>Anu Kalani</t>
  </si>
  <si>
    <t>ITC2142</t>
  </si>
  <si>
    <t>Raghvendra Singh</t>
  </si>
  <si>
    <t>ITC2295</t>
  </si>
  <si>
    <t>Sakshi Maheshwari</t>
  </si>
  <si>
    <t>ITC2274</t>
  </si>
  <si>
    <t>Dhanshree fashion</t>
  </si>
  <si>
    <t>ITC2348</t>
  </si>
  <si>
    <t>Kabra Commercial Ltd</t>
  </si>
  <si>
    <t>ITC2363</t>
  </si>
  <si>
    <t>Om Jajoo</t>
  </si>
  <si>
    <t>ITC2328</t>
  </si>
  <si>
    <t>Pankaj Pilani</t>
  </si>
  <si>
    <t>ITC2472</t>
  </si>
  <si>
    <t>Sighals Investments</t>
  </si>
  <si>
    <t>YJJ01</t>
  </si>
  <si>
    <t>Ashok Kasat</t>
  </si>
  <si>
    <t>Client ID</t>
  </si>
  <si>
    <t>Fund</t>
  </si>
  <si>
    <t>%</t>
  </si>
  <si>
    <t>YJJ03</t>
  </si>
  <si>
    <t>Rasalika Investment</t>
  </si>
  <si>
    <t>Strategy</t>
  </si>
  <si>
    <t>Nifty Index</t>
  </si>
  <si>
    <t>Lot</t>
  </si>
  <si>
    <t>Exposure</t>
  </si>
  <si>
    <t>SPAN %</t>
  </si>
  <si>
    <t>Margin Benefit %</t>
  </si>
  <si>
    <t>Exposure %</t>
  </si>
  <si>
    <t>ELM %</t>
  </si>
  <si>
    <t>1 Lot Margin without hedge</t>
  </si>
  <si>
    <t>Leverage</t>
  </si>
  <si>
    <t>Sensex Index</t>
  </si>
  <si>
    <t>OI</t>
  </si>
  <si>
    <t>MJ</t>
  </si>
  <si>
    <t>ITM SH</t>
  </si>
  <si>
    <t>ITM CE</t>
  </si>
  <si>
    <t>DYNAMIC SL</t>
  </si>
  <si>
    <t>Pledge Value</t>
  </si>
  <si>
    <t>Margin</t>
  </si>
  <si>
    <t>USL Investments</t>
  </si>
  <si>
    <t>Z1IT21</t>
  </si>
  <si>
    <t>Column1</t>
  </si>
  <si>
    <t>Z1IT23</t>
  </si>
  <si>
    <t>Z1IT20</t>
  </si>
  <si>
    <t>Z1IT24</t>
  </si>
  <si>
    <t>BankNifty Index</t>
  </si>
  <si>
    <t>Index</t>
  </si>
  <si>
    <t>BANKNIFTY</t>
  </si>
  <si>
    <t>RB/TR/BTF</t>
  </si>
  <si>
    <t>TO [W.O.H]</t>
  </si>
  <si>
    <t>TO [W.H]</t>
  </si>
  <si>
    <t>Rolling[W.O.H]</t>
  </si>
  <si>
    <t>Rolling[W.H]</t>
  </si>
  <si>
    <t>Per Lot</t>
  </si>
  <si>
    <t>Lots</t>
  </si>
  <si>
    <t>As Per Calc.</t>
  </si>
  <si>
    <t>Actual</t>
  </si>
  <si>
    <t>Positions</t>
  </si>
  <si>
    <t>SH [W.O.H]</t>
  </si>
  <si>
    <t>SH [W.H]</t>
  </si>
  <si>
    <t>Actual Per Lot</t>
  </si>
  <si>
    <t>DY</t>
  </si>
  <si>
    <t>[W.O.H]</t>
  </si>
  <si>
    <t>[W.H]</t>
  </si>
  <si>
    <t>INDEX</t>
  </si>
  <si>
    <t>BTF</t>
  </si>
  <si>
    <t>ROLL</t>
  </si>
  <si>
    <t>-</t>
  </si>
  <si>
    <t>W.O.H</t>
  </si>
  <si>
    <t>W.H</t>
  </si>
  <si>
    <t>Expiry</t>
  </si>
  <si>
    <t>N.Expiry</t>
  </si>
  <si>
    <t>Day Type</t>
  </si>
  <si>
    <t>N.Expiry_W.O.H</t>
  </si>
  <si>
    <t>N.Expiry_W.H</t>
  </si>
  <si>
    <t>Expiry_W.O.H</t>
  </si>
  <si>
    <t>Expiry_W.H</t>
  </si>
  <si>
    <t>2T3 TO</t>
  </si>
  <si>
    <t>MOSTI23035</t>
  </si>
  <si>
    <t>MOSTI22962</t>
  </si>
  <si>
    <t>MOSTI22967</t>
  </si>
  <si>
    <t>ITC2332</t>
  </si>
  <si>
    <t>SANKALP SONI</t>
  </si>
  <si>
    <t>YJJ02</t>
  </si>
  <si>
    <t>H</t>
  </si>
  <si>
    <t>M</t>
  </si>
  <si>
    <t>K</t>
  </si>
  <si>
    <t>MOSTI23247</t>
  </si>
  <si>
    <t>MOSTI23372</t>
  </si>
  <si>
    <t>SAT2484</t>
  </si>
  <si>
    <t>VATSAL RATHI</t>
  </si>
  <si>
    <t>ASHOK KASAT</t>
  </si>
  <si>
    <t>NIRANJAN RATHI</t>
  </si>
  <si>
    <t>MOSTI23482</t>
  </si>
  <si>
    <t>MOSTI22960</t>
  </si>
  <si>
    <t>MOSTI23461</t>
  </si>
  <si>
    <t>MOSTI23395</t>
  </si>
  <si>
    <t>sti</t>
  </si>
  <si>
    <t>Sarla lakhotiya</t>
  </si>
  <si>
    <t>PJ</t>
  </si>
  <si>
    <t>N R</t>
  </si>
  <si>
    <t>SJ</t>
  </si>
  <si>
    <t>Anupama Kalani</t>
  </si>
  <si>
    <t>Vatsal Rathi</t>
  </si>
  <si>
    <t>Code</t>
  </si>
  <si>
    <t>ClientID</t>
  </si>
  <si>
    <t>Total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</si>
</sst>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_ ;[Red]\-#,##0\ "/>
    <numFmt numFmtId="165" formatCode="0.0%"/>
    <numFmt numFmtId="166" formatCode="#,##0;[Red]#,##0"/>
    <numFmt numFmtId="167" formatCode="0.0"/>
    <numFmt numFmtId="168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166" fontId="0" fillId="0" borderId="1" xfId="0" applyNumberFormat="1" applyBorder="1"/>
    <xf numFmtId="9" fontId="0" fillId="0" borderId="1" xfId="1" applyFont="1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166" fontId="0" fillId="0" borderId="8" xfId="0" applyNumberForma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6" fontId="0" fillId="0" borderId="3" xfId="0" applyNumberFormat="1" applyBorder="1"/>
    <xf numFmtId="166" fontId="0" fillId="0" borderId="9" xfId="0" applyNumberFormat="1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0" fontId="0" fillId="0" borderId="0" xfId="0" applyNumberFormat="1"/>
    <xf numFmtId="0" fontId="0" fillId="0" borderId="10" xfId="0" applyBorder="1"/>
    <xf numFmtId="166" fontId="0" fillId="3" borderId="3" xfId="0" applyNumberFormat="1" applyFill="1" applyBorder="1"/>
    <xf numFmtId="9" fontId="0" fillId="0" borderId="1" xfId="0" applyNumberFormat="1" applyBorder="1"/>
    <xf numFmtId="0" fontId="0" fillId="0" borderId="3" xfId="0" applyBorder="1" applyAlignment="1">
      <alignment horizontal="right"/>
    </xf>
    <xf numFmtId="164" fontId="0" fillId="0" borderId="3" xfId="0" applyNumberFormat="1" applyBorder="1" applyAlignment="1">
      <alignment horizontal="right"/>
    </xf>
    <xf numFmtId="10" fontId="0" fillId="0" borderId="3" xfId="1" applyNumberFormat="1" applyFont="1" applyBorder="1" applyAlignment="1">
      <alignment horizontal="right"/>
    </xf>
    <xf numFmtId="9" fontId="0" fillId="0" borderId="3" xfId="1" applyFont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166" fontId="0" fillId="0" borderId="1" xfId="0" applyNumberFormat="1" applyBorder="1" applyAlignment="1">
      <alignment horizontal="left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left"/>
    </xf>
    <xf numFmtId="166" fontId="2" fillId="0" borderId="0" xfId="0" applyNumberFormat="1" applyFont="1"/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166" fontId="0" fillId="4" borderId="1" xfId="0" applyNumberFormat="1" applyFill="1" applyBorder="1"/>
    <xf numFmtId="166" fontId="0" fillId="4" borderId="3" xfId="0" applyNumberFormat="1" applyFill="1" applyBorder="1"/>
    <xf numFmtId="0" fontId="0" fillId="4" borderId="0" xfId="0" applyFill="1"/>
    <xf numFmtId="0" fontId="0" fillId="0" borderId="11" xfId="0" applyBorder="1"/>
    <xf numFmtId="0" fontId="0" fillId="0" borderId="13" xfId="0" applyBorder="1"/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/>
    <xf numFmtId="0" fontId="0" fillId="4" borderId="7" xfId="0" applyFill="1" applyBorder="1"/>
    <xf numFmtId="0" fontId="0" fillId="4" borderId="12" xfId="0" applyFill="1" applyBorder="1"/>
    <xf numFmtId="0" fontId="0" fillId="4" borderId="11" xfId="0" applyFill="1" applyBorder="1"/>
    <xf numFmtId="0" fontId="0" fillId="4" borderId="8" xfId="0" applyFill="1" applyBorder="1"/>
    <xf numFmtId="167" fontId="0" fillId="0" borderId="1" xfId="0" applyNumberFormat="1" applyBorder="1"/>
    <xf numFmtId="0" fontId="0" fillId="4" borderId="14" xfId="0" applyFill="1" applyBorder="1"/>
    <xf numFmtId="0" fontId="0" fillId="4" borderId="13" xfId="0" applyFill="1" applyBorder="1"/>
    <xf numFmtId="168" fontId="0" fillId="0" borderId="1" xfId="2" applyNumberFormat="1" applyFont="1" applyBorder="1"/>
    <xf numFmtId="166" fontId="0" fillId="0" borderId="0" xfId="0" applyNumberFormat="1"/>
    <xf numFmtId="166" fontId="0" fillId="4" borderId="8" xfId="0" applyNumberFormat="1" applyFill="1" applyBorder="1"/>
    <xf numFmtId="166" fontId="0" fillId="4" borderId="0" xfId="0" applyNumberFormat="1" applyFill="1"/>
    <xf numFmtId="166" fontId="0" fillId="3" borderId="9" xfId="0" applyNumberFormat="1" applyFill="1" applyBorder="1"/>
    <xf numFmtId="166" fontId="0" fillId="4" borderId="9" xfId="0" applyNumberFormat="1" applyFill="1" applyBorder="1"/>
    <xf numFmtId="0" fontId="0" fillId="3" borderId="0" xfId="0" applyFill="1"/>
    <xf numFmtId="0" fontId="2" fillId="0" borderId="1" xfId="0" applyFont="1" applyBorder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05"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;[Red]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;[Red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;[Red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;[Red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;[Red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;[Red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1AA5D662-1834-43D6-8F52-AE2E61FCBE12}"/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F0769-DDEE-4F8B-A528-9EE03A4A24F4}" name="Margin" displayName="Margin" ref="H3:P27" totalsRowShown="0" headerRowDxfId="104" headerRowBorderDxfId="103" tableBorderDxfId="102" totalsRowBorderDxfId="101">
  <tableColumns count="9">
    <tableColumn id="7" xr3:uid="{1A44184D-0EBF-4118-8868-301E6ADB99B4}" name="Index" dataDxfId="100"/>
    <tableColumn id="1" xr3:uid="{EDA6E0AD-94B8-4060-AF06-929056325800}" name="Strategy" dataDxfId="99"/>
    <tableColumn id="2" xr3:uid="{3F91B010-FD9E-4D34-B07E-BAC264017738}" name="Expectancy" dataDxfId="98"/>
    <tableColumn id="3" xr3:uid="{AED3634D-224D-47B4-AFD6-3A848BB83219}" name="N.Expiry_W.O.H" dataDxfId="97"/>
    <tableColumn id="4" xr3:uid="{D897977D-1497-48F7-87EF-13431E317AFB}" name="N.Expiry_W.H" dataDxfId="96"/>
    <tableColumn id="9" xr3:uid="{AE2EFA81-A62E-4F37-A004-3A007017E9F3}" name="Expiry_W.O.H" dataDxfId="95"/>
    <tableColumn id="8" xr3:uid="{DF30F36A-7F22-4AF5-98D1-95DDB4740412}" name="Expiry_W.H" dataDxfId="94"/>
    <tableColumn id="5" xr3:uid="{9BD4BA6C-760D-4AAB-ABC9-BD1047DA644E}" name="Strategy allotment % without hedge" dataDxfId="93" dataCellStyle="Percent"/>
    <tableColumn id="6" xr3:uid="{EBCA72B9-3658-4C4C-B1FA-B418CDF42962}" name="Strategy allotment % with hedge" dataDxfId="92" dataCellStyle="Perc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2D6F6F-94CC-46BF-A10B-6CCEF4A5EC00}" name="Fund" displayName="Fund" ref="R2:V26" totalsRowShown="0" headerRowDxfId="91" headerRowBorderDxfId="90" tableBorderDxfId="89" totalsRowBorderDxfId="88">
  <sortState xmlns:xlrd2="http://schemas.microsoft.com/office/spreadsheetml/2017/richdata2" ref="R3:V26">
    <sortCondition descending="1" ref="R2:R26"/>
  </sortState>
  <tableColumns count="5">
    <tableColumn id="1" xr3:uid="{D3AAF915-551F-4576-BDA2-5549F29FCAF2}" name="Client Id" dataDxfId="87"/>
    <tableColumn id="2" xr3:uid="{FC047C75-DFBD-4B1B-B9BB-1A1664B529AA}" name="Client Name" dataDxfId="86"/>
    <tableColumn id="3" xr3:uid="{70F9FC4D-2A8F-4088-A5EE-69788E1AFD9B}" name="Pledge Value" dataDxfId="85"/>
    <tableColumn id="4" xr3:uid="{070AA0F4-8A37-498D-8B1F-065A2D196ED4}" name="Margin" dataDxfId="84"/>
    <tableColumn id="5" xr3:uid="{35A08132-74D9-485D-92FC-BC0CB8DF47D5}" name="Column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08C816-6668-4168-AC72-993955FB6977}" name="LOT" displayName="LOT" ref="B2:E20" totalsRowShown="0">
  <autoFilter ref="B2:E20" xr:uid="{CB08C816-6668-4168-AC72-993955FB6977}"/>
  <tableColumns count="4">
    <tableColumn id="1" xr3:uid="{359CF3E0-CE93-472E-954C-5B94E3BC2B50}" name="Strategy" dataDxfId="83"/>
    <tableColumn id="2" xr3:uid="{3276B3BB-09E7-4DE9-9228-3C0BCC7A4B99}" name="SENSEX" dataDxfId="82"/>
    <tableColumn id="4" xr3:uid="{09A1D48E-9072-4372-B096-DC7A880B591F}" name="BANKNIFTY" dataDxfId="81"/>
    <tableColumn id="3" xr3:uid="{C824D62E-12B8-4645-B747-C9AA664BDD19}" name="NIFTY" dataDxfId="8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2FE31-CF8F-4AAB-8546-0F8A90607772}" name="MR_2" displayName="MR_2" ref="H32:K38" totalsRowShown="0" headerRowDxfId="79" dataDxfId="78">
  <autoFilter ref="H32:K38" xr:uid="{18A2FE31-CF8F-4AAB-8546-0F8A90607772}"/>
  <tableColumns count="4">
    <tableColumn id="1" xr3:uid="{7C361003-AF5D-4FFE-AE51-F988D88AE24E}" name="Index" dataDxfId="77"/>
    <tableColumn id="2" xr3:uid="{2556168C-969E-4A3E-97CE-8D5FBA005682}" name="Day Type" dataDxfId="76"/>
    <tableColumn id="3" xr3:uid="{1217AE3B-5456-4508-8B74-50172ABF3353}" name="W.H" dataDxfId="75"/>
    <tableColumn id="4" xr3:uid="{C5220CD8-2A84-4882-A9EB-D8A0E5C34FF1}" name="W.O.H" dataDxfId="7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A738-8725-4B42-BD18-6F8F4C9E9469}">
  <sheetPr codeName="Sheet1"/>
  <dimension ref="B2:X56"/>
  <sheetViews>
    <sheetView tabSelected="1" workbookViewId="0">
      <selection activeCell="H27" sqref="H27"/>
    </sheetView>
  </sheetViews>
  <sheetFormatPr defaultRowHeight="15" x14ac:dyDescent="0.25"/>
  <cols>
    <col min="2" max="2" width="24.7109375" bestFit="1" customWidth="1"/>
    <col min="3" max="4" width="12.7109375" customWidth="1"/>
    <col min="8" max="8" width="11.28515625" customWidth="1"/>
    <col min="9" max="9" width="15.5703125" bestFit="1" customWidth="1"/>
    <col min="10" max="10" width="13.42578125" customWidth="1"/>
    <col min="11" max="11" width="18.7109375" bestFit="1" customWidth="1"/>
    <col min="12" max="12" width="14.7109375" customWidth="1"/>
    <col min="13" max="13" width="13.85546875" bestFit="1" customWidth="1"/>
    <col min="14" max="14" width="11.7109375" bestFit="1" customWidth="1"/>
    <col min="15" max="15" width="20.42578125" customWidth="1"/>
    <col min="16" max="16" width="18" customWidth="1"/>
    <col min="18" max="18" width="11.5703125" bestFit="1" customWidth="1"/>
    <col min="19" max="19" width="20.7109375" bestFit="1" customWidth="1"/>
    <col min="20" max="20" width="16" customWidth="1"/>
    <col min="21" max="21" width="12.42578125" customWidth="1"/>
    <col min="22" max="22" width="10.85546875" customWidth="1"/>
  </cols>
  <sheetData>
    <row r="2" spans="2:24" x14ac:dyDescent="0.25">
      <c r="B2" t="s">
        <v>55</v>
      </c>
      <c r="C2" t="s">
        <v>15</v>
      </c>
      <c r="D2" t="s">
        <v>81</v>
      </c>
      <c r="E2" t="s">
        <v>14</v>
      </c>
      <c r="R2" s="9" t="s">
        <v>18</v>
      </c>
      <c r="S2" s="10" t="s">
        <v>19</v>
      </c>
      <c r="T2" s="10" t="s">
        <v>71</v>
      </c>
      <c r="U2" s="11" t="s">
        <v>72</v>
      </c>
      <c r="V2" s="10" t="s">
        <v>75</v>
      </c>
    </row>
    <row r="3" spans="2:24" x14ac:dyDescent="0.25">
      <c r="B3" s="1" t="s">
        <v>16</v>
      </c>
      <c r="C3" s="4">
        <v>33</v>
      </c>
      <c r="D3" s="4"/>
      <c r="E3" s="4">
        <v>33</v>
      </c>
      <c r="F3" s="4"/>
      <c r="H3" s="10" t="s">
        <v>80</v>
      </c>
      <c r="I3" s="9" t="s">
        <v>55</v>
      </c>
      <c r="J3" s="10" t="s">
        <v>10</v>
      </c>
      <c r="K3" s="10" t="s">
        <v>107</v>
      </c>
      <c r="L3" s="10" t="s">
        <v>108</v>
      </c>
      <c r="M3" s="10" t="s">
        <v>109</v>
      </c>
      <c r="N3" s="10" t="s">
        <v>110</v>
      </c>
      <c r="O3" s="10" t="s">
        <v>12</v>
      </c>
      <c r="P3" s="11" t="s">
        <v>13</v>
      </c>
      <c r="R3" s="5" t="s">
        <v>53</v>
      </c>
      <c r="S3" s="1" t="s">
        <v>54</v>
      </c>
      <c r="T3" s="2">
        <v>30000000</v>
      </c>
      <c r="U3" s="20">
        <v>24000000</v>
      </c>
      <c r="V3" t="s">
        <v>77</v>
      </c>
    </row>
    <row r="4" spans="2:24" x14ac:dyDescent="0.25">
      <c r="B4" s="1" t="s">
        <v>17</v>
      </c>
      <c r="C4" s="4">
        <v>33</v>
      </c>
      <c r="D4" s="4"/>
      <c r="E4" s="4">
        <v>0</v>
      </c>
      <c r="F4" s="4"/>
      <c r="H4" s="1" t="s">
        <v>14</v>
      </c>
      <c r="I4" s="1" t="s">
        <v>16</v>
      </c>
      <c r="J4" s="1"/>
      <c r="K4" s="2" cm="1">
        <f t="array" ref="K4">INDEX(LOT[#All],MATCH(Margin[[#This Row],[Strategy]],LOT[[#All],[Strategy]],0),MATCH(Margin[[#This Row],[Index]],LOT[#Headers],0))*_xlfn._xlws.FILTER(MR_2[W.O.H],(MR_2[Index]=Margin[[#This Row],[Index]])*(MR_2[Day Type]="N.Expiry"))</f>
        <v>8613000</v>
      </c>
      <c r="L4" s="2" cm="1">
        <f t="array" ref="L4">INDEX(LOT[#All],MATCH(Margin[[#This Row],[Strategy]],LOT[[#All],[Strategy]],0),MATCH(Margin[[#This Row],[Index]],LOT[#Headers],0))*_xlfn._xlws.FILTER(MR_2[W.H],(MR_2[Index]=Margin[[#This Row],[Index]])*(MR_2[Day Type]="N.Expiry"))</f>
        <v>5280000</v>
      </c>
      <c r="M4" s="2" cm="1">
        <f t="array" ref="M4">INDEX(LOT[#All],MATCH(Margin[[#This Row],[Strategy]],LOT[[#All],[Strategy]],0),MATCH(Margin[[#This Row],[Index]],LOT[#Headers],0))*_xlfn._xlws.FILTER(MR_2[W.O.H],(MR_2[Index]=Margin[[#This Row],[Index]])*(MR_2[Day Type]="Expiry"))</f>
        <v>11220000</v>
      </c>
      <c r="N4" s="2" cm="1">
        <f t="array" ref="N4">INDEX(LOT[#All],MATCH(Margin[[#This Row],[Strategy]],LOT[[#All],[Strategy]],0),MATCH(Margin[[#This Row],[Index]],LOT[#Headers],0))*_xlfn._xlws.FILTER(MR_2[W.H],(MR_2[Index]=Margin[[#This Row],[Index]])*(MR_2[Day Type]="Expiry"))</f>
        <v>7920000</v>
      </c>
      <c r="O4" s="3"/>
      <c r="P4" s="3"/>
      <c r="R4" s="5" t="s">
        <v>117</v>
      </c>
      <c r="S4" s="1" t="s">
        <v>73</v>
      </c>
      <c r="T4" s="2">
        <v>30000000</v>
      </c>
      <c r="U4" s="12">
        <v>28000000</v>
      </c>
    </row>
    <row r="5" spans="2:24" x14ac:dyDescent="0.25">
      <c r="B5" s="1" t="s">
        <v>0</v>
      </c>
      <c r="C5" s="4">
        <v>11</v>
      </c>
      <c r="D5" s="4"/>
      <c r="E5" s="4">
        <v>21</v>
      </c>
      <c r="F5" s="4"/>
      <c r="H5" s="1" t="s">
        <v>14</v>
      </c>
      <c r="I5" s="1" t="s">
        <v>17</v>
      </c>
      <c r="J5" s="1"/>
      <c r="K5" s="2" cm="1">
        <f t="array" ref="K5">INDEX(LOT[#All],MATCH(Margin[[#This Row],[Strategy]],LOT[[#All],[Strategy]],0),MATCH(Margin[[#This Row],[Index]],LOT[#Headers],0))*_xlfn._xlws.FILTER(MR_2[W.O.H],(MR_2[Index]=Margin[[#This Row],[Index]])*(MR_2[Day Type]="N.Expiry"))</f>
        <v>0</v>
      </c>
      <c r="L5" s="2" cm="1">
        <f t="array" ref="L5">INDEX(LOT[#All],MATCH(Margin[[#This Row],[Strategy]],LOT[[#All],[Strategy]],0),MATCH(Margin[[#This Row],[Index]],LOT[#Headers],0))*_xlfn._xlws.FILTER(MR_2[W.H],(MR_2[Index]=Margin[[#This Row],[Index]])*(MR_2[Day Type]="N.Expiry"))</f>
        <v>0</v>
      </c>
      <c r="M5" s="2" cm="1">
        <f t="array" ref="M5">INDEX(LOT[#All],MATCH(Margin[[#This Row],[Strategy]],LOT[[#All],[Strategy]],0),MATCH(Margin[[#This Row],[Index]],LOT[#Headers],0))*_xlfn._xlws.FILTER(MR_2[W.O.H],(MR_2[Index]=Margin[[#This Row],[Index]])*(MR_2[Day Type]="Expiry"))</f>
        <v>0</v>
      </c>
      <c r="N5" s="2" cm="1">
        <f t="array" ref="N5">INDEX(LOT[#All],MATCH(Margin[[#This Row],[Strategy]],LOT[[#All],[Strategy]],0),MATCH(Margin[[#This Row],[Index]],LOT[#Headers],0))*_xlfn._xlws.FILTER(MR_2[W.H],(MR_2[Index]=Margin[[#This Row],[Index]])*(MR_2[Day Type]="Expiry"))</f>
        <v>0</v>
      </c>
      <c r="O5" s="3"/>
      <c r="P5" s="3"/>
      <c r="R5" s="5" t="s">
        <v>48</v>
      </c>
      <c r="S5" s="1" t="s">
        <v>49</v>
      </c>
      <c r="T5" s="2">
        <v>30000000</v>
      </c>
      <c r="U5" s="20">
        <v>29000000</v>
      </c>
      <c r="V5" t="s">
        <v>76</v>
      </c>
    </row>
    <row r="6" spans="2:24" x14ac:dyDescent="0.25">
      <c r="B6" s="1" t="s">
        <v>70</v>
      </c>
      <c r="C6" s="4">
        <v>6</v>
      </c>
      <c r="D6" s="4">
        <v>6</v>
      </c>
      <c r="E6" s="4">
        <v>10</v>
      </c>
      <c r="F6" s="4"/>
      <c r="H6" s="1" t="s">
        <v>15</v>
      </c>
      <c r="I6" s="1" t="s">
        <v>16</v>
      </c>
      <c r="J6" s="1"/>
      <c r="K6" s="2" cm="1">
        <f t="array" ref="K6">INDEX(LOT[#All],MATCH(Margin[[#This Row],[Strategy]],LOT[[#All],[Strategy]],0),MATCH(Margin[[#This Row],[Index]],LOT[#Headers],0))*_xlfn._xlws.FILTER(MR_2[W.O.H],(MR_2[Index]=Margin[[#This Row],[Index]])*(MR_2[Day Type]="N.Expiry"))</f>
        <v>7359000</v>
      </c>
      <c r="L6" s="2" cm="1">
        <f t="array" ref="L6">INDEX(LOT[#All],MATCH(Margin[[#This Row],[Strategy]],LOT[[#All],[Strategy]],0),MATCH(Margin[[#This Row],[Index]],LOT[#Headers],0))*_xlfn._xlws.FILTER(MR_2[W.H],(MR_2[Index]=Margin[[#This Row],[Index]])*(MR_2[Day Type]="N.Expiry"))</f>
        <v>3828000</v>
      </c>
      <c r="M6" s="2" cm="1">
        <f t="array" ref="M6">INDEX(LOT[#All],MATCH(Margin[[#This Row],[Strategy]],LOT[[#All],[Strategy]],0),MATCH(Margin[[#This Row],[Index]],LOT[#Headers],0))*_xlfn._xlws.FILTER(MR_2[W.O.H],(MR_2[Index]=Margin[[#This Row],[Index]])*(MR_2[Day Type]="Expiry"))</f>
        <v>9900000</v>
      </c>
      <c r="N6" s="2" cm="1">
        <f t="array" ref="N6">INDEX(LOT[#All],MATCH(Margin[[#This Row],[Strategy]],LOT[[#All],[Strategy]],0),MATCH(Margin[[#This Row],[Index]],LOT[#Headers],0))*_xlfn._xlws.FILTER(MR_2[W.H],(MR_2[Index]=Margin[[#This Row],[Index]])*(MR_2[Day Type]="Expiry"))</f>
        <v>6105000</v>
      </c>
      <c r="O6" s="1"/>
      <c r="P6" s="1"/>
      <c r="R6" s="5" t="s">
        <v>123</v>
      </c>
      <c r="S6" s="56" t="s">
        <v>126</v>
      </c>
      <c r="T6" s="59">
        <v>53860000</v>
      </c>
      <c r="U6" s="12">
        <v>40000000</v>
      </c>
      <c r="V6" s="18"/>
    </row>
    <row r="7" spans="2:24" x14ac:dyDescent="0.25">
      <c r="B7" s="1" t="s">
        <v>68</v>
      </c>
      <c r="C7" s="4">
        <v>0</v>
      </c>
      <c r="D7" s="4"/>
      <c r="E7" s="4">
        <v>11</v>
      </c>
      <c r="F7" s="4"/>
      <c r="H7" s="1" t="s">
        <v>15</v>
      </c>
      <c r="I7" s="1" t="s">
        <v>17</v>
      </c>
      <c r="J7" s="1"/>
      <c r="K7" s="2" cm="1">
        <f t="array" ref="K7">INDEX(LOT[#All],MATCH(Margin[[#This Row],[Strategy]],LOT[[#All],[Strategy]],0),MATCH(Margin[[#This Row],[Index]],LOT[#Headers],0))*_xlfn._xlws.FILTER(MR_2[W.O.H],(MR_2[Index]=Margin[[#This Row],[Index]])*(MR_2[Day Type]="N.Expiry"))</f>
        <v>7359000</v>
      </c>
      <c r="L7" s="2" cm="1">
        <f t="array" ref="L7">INDEX(LOT[#All],MATCH(Margin[[#This Row],[Strategy]],LOT[[#All],[Strategy]],0),MATCH(Margin[[#This Row],[Index]],LOT[#Headers],0))*_xlfn._xlws.FILTER(MR_2[W.H],(MR_2[Index]=Margin[[#This Row],[Index]])*(MR_2[Day Type]="N.Expiry"))</f>
        <v>3828000</v>
      </c>
      <c r="M7" s="2" cm="1">
        <f t="array" ref="M7">INDEX(LOT[#All],MATCH(Margin[[#This Row],[Strategy]],LOT[[#All],[Strategy]],0),MATCH(Margin[[#This Row],[Index]],LOT[#Headers],0))*_xlfn._xlws.FILTER(MR_2[W.O.H],(MR_2[Index]=Margin[[#This Row],[Index]])*(MR_2[Day Type]="Expiry"))</f>
        <v>9900000</v>
      </c>
      <c r="N7" s="2" cm="1">
        <f t="array" ref="N7">INDEX(LOT[#All],MATCH(Margin[[#This Row],[Strategy]],LOT[[#All],[Strategy]],0),MATCH(Margin[[#This Row],[Index]],LOT[#Headers],0))*_xlfn._xlws.FILTER(MR_2[W.H],(MR_2[Index]=Margin[[#This Row],[Index]])*(MR_2[Day Type]="Expiry"))</f>
        <v>6105000</v>
      </c>
      <c r="O7" s="1"/>
      <c r="P7" s="1"/>
      <c r="R7" s="5" t="s">
        <v>20</v>
      </c>
      <c r="S7" s="1" t="s">
        <v>21</v>
      </c>
      <c r="T7" s="2">
        <v>75000000</v>
      </c>
      <c r="U7" s="20">
        <v>75000000</v>
      </c>
    </row>
    <row r="8" spans="2:24" x14ac:dyDescent="0.25">
      <c r="B8" s="1" t="s">
        <v>69</v>
      </c>
      <c r="C8" s="4">
        <v>0</v>
      </c>
      <c r="D8" s="4"/>
      <c r="E8" s="4">
        <v>1</v>
      </c>
      <c r="F8" s="4"/>
      <c r="H8" s="1" t="s">
        <v>14</v>
      </c>
      <c r="I8" s="1" t="s">
        <v>0</v>
      </c>
      <c r="J8" s="1"/>
      <c r="K8" s="2" cm="1">
        <f t="array" ref="K8">INDEX(LOT[#All],MATCH(Margin[[#This Row],[Strategy]],LOT[[#All],[Strategy]],0),MATCH(Margin[[#This Row],[Index]],LOT[#Headers],0))*_xlfn._xlws.FILTER(MR_2[W.O.H],(MR_2[Index]=Margin[[#This Row],[Index]])*(MR_2[Day Type]="N.Expiry"))</f>
        <v>5481000</v>
      </c>
      <c r="L8" s="2" cm="1">
        <f t="array" ref="L8">INDEX(LOT[#All],MATCH(Margin[[#This Row],[Strategy]],LOT[[#All],[Strategy]],0),MATCH(Margin[[#This Row],[Index]],LOT[#Headers],0))*_xlfn._xlws.FILTER(MR_2[W.H],(MR_2[Index]=Margin[[#This Row],[Index]])*(MR_2[Day Type]="N.Expiry"))</f>
        <v>3360000</v>
      </c>
      <c r="M8" s="2" cm="1">
        <f t="array" ref="M8">INDEX(LOT[#All],MATCH(Margin[[#This Row],[Strategy]],LOT[[#All],[Strategy]],0),MATCH(Margin[[#This Row],[Index]],LOT[#Headers],0))*_xlfn._xlws.FILTER(MR_2[W.O.H],(MR_2[Index]=Margin[[#This Row],[Index]])*(MR_2[Day Type]="Expiry"))</f>
        <v>7140000</v>
      </c>
      <c r="N8" s="2" cm="1">
        <f t="array" ref="N8">INDEX(LOT[#All],MATCH(Margin[[#This Row],[Strategy]],LOT[[#All],[Strategy]],0),MATCH(Margin[[#This Row],[Index]],LOT[#Headers],0))*_xlfn._xlws.FILTER(MR_2[W.H],(MR_2[Index]=Margin[[#This Row],[Index]])*(MR_2[Day Type]="Expiry"))</f>
        <v>5040000</v>
      </c>
      <c r="O8" s="3"/>
      <c r="P8" s="3"/>
      <c r="R8" s="5" t="s">
        <v>127</v>
      </c>
      <c r="S8" s="1" t="s">
        <v>31</v>
      </c>
      <c r="T8" s="2">
        <v>63000000</v>
      </c>
      <c r="U8" s="20">
        <v>46000000</v>
      </c>
      <c r="V8" t="s">
        <v>74</v>
      </c>
    </row>
    <row r="9" spans="2:24" x14ac:dyDescent="0.25">
      <c r="B9" s="1" t="s">
        <v>1</v>
      </c>
      <c r="C9" s="4">
        <v>3</v>
      </c>
      <c r="D9" s="4"/>
      <c r="E9" s="4">
        <v>4</v>
      </c>
      <c r="F9" s="4"/>
      <c r="H9" s="1" t="s">
        <v>14</v>
      </c>
      <c r="I9" s="1" t="s">
        <v>68</v>
      </c>
      <c r="J9" s="1"/>
      <c r="K9" s="2" cm="1">
        <f t="array" ref="K9">INDEX(LOT[#All],MATCH(Margin[[#This Row],[Strategy]],LOT[[#All],[Strategy]],0),MATCH(Margin[[#This Row],[Index]],LOT[#Headers],0))*_xlfn._xlws.FILTER(MR_2[W.O.H],(MR_2[Index]=Margin[[#This Row],[Index]])*(MR_2[Day Type]="N.Expiry"))</f>
        <v>2871000</v>
      </c>
      <c r="L9" s="2" cm="1">
        <f t="array" ref="L9">INDEX(LOT[#All],MATCH(Margin[[#This Row],[Strategy]],LOT[[#All],[Strategy]],0),MATCH(Margin[[#This Row],[Index]],LOT[#Headers],0))*_xlfn._xlws.FILTER(MR_2[W.H],(MR_2[Index]=Margin[[#This Row],[Index]])*(MR_2[Day Type]="N.Expiry"))</f>
        <v>1760000</v>
      </c>
      <c r="M9" s="2" cm="1">
        <f t="array" ref="M9">INDEX(LOT[#All],MATCH(Margin[[#This Row],[Strategy]],LOT[[#All],[Strategy]],0),MATCH(Margin[[#This Row],[Index]],LOT[#Headers],0))*_xlfn._xlws.FILTER(MR_2[W.O.H],(MR_2[Index]=Margin[[#This Row],[Index]])*(MR_2[Day Type]="Expiry"))</f>
        <v>3740000</v>
      </c>
      <c r="N9" s="2" cm="1">
        <f t="array" ref="N9">INDEX(LOT[#All],MATCH(Margin[[#This Row],[Strategy]],LOT[[#All],[Strategy]],0),MATCH(Margin[[#This Row],[Index]],LOT[#Headers],0))*_xlfn._xlws.FILTER(MR_2[W.H],(MR_2[Index]=Margin[[#This Row],[Index]])*(MR_2[Day Type]="Expiry"))</f>
        <v>2640000</v>
      </c>
      <c r="O9" s="1"/>
      <c r="P9" s="3">
        <v>0.1</v>
      </c>
      <c r="R9" s="5" t="s">
        <v>129</v>
      </c>
      <c r="S9" s="1" t="s">
        <v>45</v>
      </c>
      <c r="T9" s="2">
        <v>24000000</v>
      </c>
      <c r="U9" s="12">
        <v>24000000</v>
      </c>
      <c r="V9" t="s">
        <v>78</v>
      </c>
    </row>
    <row r="10" spans="2:24" x14ac:dyDescent="0.25">
      <c r="B10" s="1" t="s">
        <v>67</v>
      </c>
      <c r="C10" s="4">
        <v>0</v>
      </c>
      <c r="D10" s="4"/>
      <c r="E10" s="4">
        <v>1</v>
      </c>
      <c r="F10" s="4"/>
      <c r="H10" s="1" t="s">
        <v>15</v>
      </c>
      <c r="I10" s="1" t="s">
        <v>111</v>
      </c>
      <c r="J10" s="1"/>
      <c r="K10" s="2" cm="1">
        <f t="array" ref="K10">INDEX(LOT[#All],MATCH(Margin[[#This Row],[Strategy]],LOT[[#All],[Strategy]],0),MATCH(Margin[[#This Row],[Index]],LOT[#Headers],0))*_xlfn._xlws.FILTER(MR_2[W.O.H],(MR_2[Index]=Margin[[#This Row],[Index]])*(MR_2[Day Type]="N.Expiry"))</f>
        <v>669000</v>
      </c>
      <c r="L10" s="2" cm="1">
        <f t="array" ref="L10">INDEX(LOT[#All],MATCH(Margin[[#This Row],[Strategy]],LOT[[#All],[Strategy]],0),MATCH(Margin[[#This Row],[Index]],LOT[#Headers],0))*_xlfn._xlws.FILTER(MR_2[W.H],(MR_2[Index]=Margin[[#This Row],[Index]])*(MR_2[Day Type]="N.Expiry"))</f>
        <v>348000</v>
      </c>
      <c r="M10" s="2" cm="1">
        <f t="array" ref="M10">INDEX(LOT[#All],MATCH(Margin[[#This Row],[Strategy]],LOT[[#All],[Strategy]],0),MATCH(Margin[[#This Row],[Index]],LOT[#Headers],0))*_xlfn._xlws.FILTER(MR_2[W.O.H],(MR_2[Index]=Margin[[#This Row],[Index]])*(MR_2[Day Type]="Expiry"))</f>
        <v>900000</v>
      </c>
      <c r="N10" s="2" cm="1">
        <f t="array" ref="N10">INDEX(LOT[#All],MATCH(Margin[[#This Row],[Strategy]],LOT[[#All],[Strategy]],0),MATCH(Margin[[#This Row],[Index]],LOT[#Headers],0))*_xlfn._xlws.FILTER(MR_2[W.H],(MR_2[Index]=Margin[[#This Row],[Index]])*(MR_2[Day Type]="Expiry"))</f>
        <v>555000</v>
      </c>
      <c r="O10" s="1"/>
      <c r="P10" s="21">
        <v>0.1</v>
      </c>
      <c r="R10" s="6" t="s">
        <v>130</v>
      </c>
      <c r="S10" s="7" t="s">
        <v>33</v>
      </c>
      <c r="T10" s="8">
        <v>18000000</v>
      </c>
      <c r="U10" s="63">
        <v>18000000</v>
      </c>
      <c r="V10" t="s">
        <v>77</v>
      </c>
    </row>
    <row r="11" spans="2:24" x14ac:dyDescent="0.25">
      <c r="B11" s="1" t="s">
        <v>66</v>
      </c>
      <c r="C11" s="4">
        <v>1</v>
      </c>
      <c r="D11" s="4"/>
      <c r="E11" s="4">
        <v>1</v>
      </c>
      <c r="F11" s="4"/>
      <c r="H11" s="1" t="s">
        <v>14</v>
      </c>
      <c r="I11" s="1" t="s">
        <v>1</v>
      </c>
      <c r="J11" s="1"/>
      <c r="K11" s="2" cm="1">
        <f t="array" ref="K11">INDEX(LOT[#All],MATCH(Margin[[#This Row],[Strategy]],LOT[[#All],[Strategy]],0),MATCH(Margin[[#This Row],[Index]],LOT[#Headers],0))*_xlfn._xlws.FILTER(MR_2[W.O.H],(MR_2[Index]=Margin[[#This Row],[Index]])*(MR_2[Day Type]="N.Expiry"))</f>
        <v>1044000</v>
      </c>
      <c r="L11" s="2" cm="1">
        <f t="array" ref="L11">INDEX(LOT[#All],MATCH(Margin[[#This Row],[Strategy]],LOT[[#All],[Strategy]],0),MATCH(Margin[[#This Row],[Index]],LOT[#Headers],0))*_xlfn._xlws.FILTER(MR_2[W.H],(MR_2[Index]=Margin[[#This Row],[Index]])*(MR_2[Day Type]="N.Expiry"))</f>
        <v>640000</v>
      </c>
      <c r="M11" s="2" cm="1">
        <f t="array" ref="M11">INDEX(LOT[#All],MATCH(Margin[[#This Row],[Strategy]],LOT[[#All],[Strategy]],0),MATCH(Margin[[#This Row],[Index]],LOT[#Headers],0))*_xlfn._xlws.FILTER(MR_2[W.O.H],(MR_2[Index]=Margin[[#This Row],[Index]])*(MR_2[Day Type]="Expiry"))</f>
        <v>1360000</v>
      </c>
      <c r="N11" s="2" cm="1">
        <f t="array" ref="N11">INDEX(LOT[#All],MATCH(Margin[[#This Row],[Strategy]],LOT[[#All],[Strategy]],0),MATCH(Margin[[#This Row],[Index]],LOT[#Headers],0))*_xlfn._xlws.FILTER(MR_2[W.H],(MR_2[Index]=Margin[[#This Row],[Index]])*(MR_2[Day Type]="Expiry"))</f>
        <v>960000</v>
      </c>
      <c r="O11" s="1"/>
      <c r="P11" s="21">
        <v>0.45</v>
      </c>
      <c r="R11" s="5" t="s">
        <v>122</v>
      </c>
      <c r="S11" s="1" t="s">
        <v>125</v>
      </c>
      <c r="T11" s="59">
        <v>26800000</v>
      </c>
      <c r="U11" s="12">
        <v>26500000</v>
      </c>
      <c r="V11" s="18"/>
    </row>
    <row r="12" spans="2:24" x14ac:dyDescent="0.25">
      <c r="B12" s="1" t="s">
        <v>2</v>
      </c>
      <c r="C12" s="4">
        <v>1</v>
      </c>
      <c r="D12" s="4"/>
      <c r="E12" s="4">
        <v>1</v>
      </c>
      <c r="F12" s="4"/>
      <c r="H12" s="1" t="s">
        <v>15</v>
      </c>
      <c r="I12" s="1" t="s">
        <v>1</v>
      </c>
      <c r="J12" s="1"/>
      <c r="K12" s="2" cm="1">
        <f t="array" ref="K12">INDEX(LOT[#All],MATCH(Margin[[#This Row],[Strategy]],LOT[[#All],[Strategy]],0),MATCH(Margin[[#This Row],[Index]],LOT[#Headers],0))*_xlfn._xlws.FILTER(MR_2[W.O.H],(MR_2[Index]=Margin[[#This Row],[Index]])*(MR_2[Day Type]="N.Expiry"))</f>
        <v>669000</v>
      </c>
      <c r="L12" s="2" cm="1">
        <f t="array" ref="L12">INDEX(LOT[#All],MATCH(Margin[[#This Row],[Strategy]],LOT[[#All],[Strategy]],0),MATCH(Margin[[#This Row],[Index]],LOT[#Headers],0))*_xlfn._xlws.FILTER(MR_2[W.H],(MR_2[Index]=Margin[[#This Row],[Index]])*(MR_2[Day Type]="N.Expiry"))</f>
        <v>348000</v>
      </c>
      <c r="M12" s="2" cm="1">
        <f t="array" ref="M12">INDEX(LOT[#All],MATCH(Margin[[#This Row],[Strategy]],LOT[[#All],[Strategy]],0),MATCH(Margin[[#This Row],[Index]],LOT[#Headers],0))*_xlfn._xlws.FILTER(MR_2[W.O.H],(MR_2[Index]=Margin[[#This Row],[Index]])*(MR_2[Day Type]="Expiry"))</f>
        <v>900000</v>
      </c>
      <c r="N12" s="2" cm="1">
        <f t="array" ref="N12">INDEX(LOT[#All],MATCH(Margin[[#This Row],[Strategy]],LOT[[#All],[Strategy]],0),MATCH(Margin[[#This Row],[Index]],LOT[#Headers],0))*_xlfn._xlws.FILTER(MR_2[W.H],(MR_2[Index]=Margin[[#This Row],[Index]])*(MR_2[Day Type]="Expiry"))</f>
        <v>555000</v>
      </c>
      <c r="O12" s="3"/>
      <c r="P12" s="3">
        <v>0.4</v>
      </c>
      <c r="R12" s="5" t="s">
        <v>121</v>
      </c>
      <c r="S12" s="1" t="s">
        <v>124</v>
      </c>
      <c r="T12" s="59">
        <v>15300000</v>
      </c>
      <c r="U12" s="12">
        <v>16000000</v>
      </c>
      <c r="V12" s="18"/>
    </row>
    <row r="13" spans="2:24" x14ac:dyDescent="0.25">
      <c r="B13" s="1" t="s">
        <v>3</v>
      </c>
      <c r="C13" s="4">
        <v>1</v>
      </c>
      <c r="D13" s="4"/>
      <c r="E13" s="4">
        <v>1</v>
      </c>
      <c r="F13" s="4"/>
      <c r="H13" s="1" t="s">
        <v>14</v>
      </c>
      <c r="I13" s="1" t="s">
        <v>70</v>
      </c>
      <c r="J13" s="1"/>
      <c r="K13" s="2" cm="1">
        <f t="array" ref="K13">INDEX(LOT[#All],MATCH(Margin[[#This Row],[Strategy]],LOT[[#All],[Strategy]],0),MATCH(Margin[[#This Row],[Index]],LOT[#Headers],0))*_xlfn._xlws.FILTER(MR_2[W.O.H],(MR_2[Index]=Margin[[#This Row],[Index]])*(MR_2[Day Type]="N.Expiry"))</f>
        <v>2610000</v>
      </c>
      <c r="L13" s="2" cm="1">
        <f t="array" ref="L13">INDEX(LOT[#All],MATCH(Margin[[#This Row],[Strategy]],LOT[[#All],[Strategy]],0),MATCH(Margin[[#This Row],[Index]],LOT[#Headers],0))*_xlfn._xlws.FILTER(MR_2[W.H],(MR_2[Index]=Margin[[#This Row],[Index]])*(MR_2[Day Type]="N.Expiry"))</f>
        <v>1600000</v>
      </c>
      <c r="M13" s="2" cm="1">
        <f t="array" ref="M13">INDEX(LOT[#All],MATCH(Margin[[#This Row],[Strategy]],LOT[[#All],[Strategy]],0),MATCH(Margin[[#This Row],[Index]],LOT[#Headers],0))*_xlfn._xlws.FILTER(MR_2[W.O.H],(MR_2[Index]=Margin[[#This Row],[Index]])*(MR_2[Day Type]="Expiry"))</f>
        <v>3400000</v>
      </c>
      <c r="N13" s="2" cm="1">
        <f t="array" ref="N13">INDEX(LOT[#All],MATCH(Margin[[#This Row],[Strategy]],LOT[[#All],[Strategy]],0),MATCH(Margin[[#This Row],[Index]],LOT[#Headers],0))*_xlfn._xlws.FILTER(MR_2[W.H],(MR_2[Index]=Margin[[#This Row],[Index]])*(MR_2[Day Type]="Expiry"))</f>
        <v>2400000</v>
      </c>
      <c r="O13" s="3"/>
      <c r="P13" s="3">
        <v>0.1</v>
      </c>
      <c r="R13" s="5" t="s">
        <v>112</v>
      </c>
      <c r="S13" s="1" t="s">
        <v>25</v>
      </c>
      <c r="T13" s="2"/>
      <c r="U13" s="12">
        <v>70000000</v>
      </c>
    </row>
    <row r="14" spans="2:24" x14ac:dyDescent="0.25">
      <c r="B14" s="1" t="s">
        <v>4</v>
      </c>
      <c r="C14" s="4">
        <v>1</v>
      </c>
      <c r="D14" s="4"/>
      <c r="E14" s="4">
        <v>1</v>
      </c>
      <c r="F14" s="4"/>
      <c r="H14" s="1" t="s">
        <v>81</v>
      </c>
      <c r="I14" s="1" t="s">
        <v>70</v>
      </c>
      <c r="J14" s="1"/>
      <c r="K14" s="2" cm="1">
        <f t="array" ref="K14">INDEX(LOT[#All],MATCH(Margin[[#This Row],[Strategy]],LOT[[#All],[Strategy]],0),MATCH(Margin[[#This Row],[Index]],LOT[#Headers],0))*_xlfn._xlws.FILTER(MR_2[W.O.H],(MR_2[Index]=Margin[[#This Row],[Index]])*(MR_2[Day Type]="N.Expiry"))</f>
        <v>1872000</v>
      </c>
      <c r="L14" s="2" cm="1">
        <f t="array" ref="L14">INDEX(LOT[#All],MATCH(Margin[[#This Row],[Strategy]],LOT[[#All],[Strategy]],0),MATCH(Margin[[#This Row],[Index]],LOT[#Headers],0))*_xlfn._xlws.FILTER(MR_2[W.H],(MR_2[Index]=Margin[[#This Row],[Index]])*(MR_2[Day Type]="N.Expiry"))</f>
        <v>1056000</v>
      </c>
      <c r="M14" s="2" cm="1">
        <f t="array" ref="M14">INDEX(LOT[#All],MATCH(Margin[[#This Row],[Strategy]],LOT[[#All],[Strategy]],0),MATCH(Margin[[#This Row],[Index]],LOT[#Headers],0))*_xlfn._xlws.FILTER(MR_2[W.O.H],(MR_2[Index]=Margin[[#This Row],[Index]])*(MR_2[Day Type]="Expiry"))</f>
        <v>2400000</v>
      </c>
      <c r="N14" s="2" cm="1">
        <f t="array" ref="N14">INDEX(LOT[#All],MATCH(Margin[[#This Row],[Strategy]],LOT[[#All],[Strategy]],0),MATCH(Margin[[#This Row],[Index]],LOT[#Headers],0))*_xlfn._xlws.FILTER(MR_2[W.H],(MR_2[Index]=Margin[[#This Row],[Index]])*(MR_2[Day Type]="Expiry"))</f>
        <v>1500000</v>
      </c>
      <c r="O14" s="21">
        <v>0.1</v>
      </c>
      <c r="P14" s="21"/>
      <c r="R14" s="5" t="s">
        <v>114</v>
      </c>
      <c r="S14" s="1" t="s">
        <v>27</v>
      </c>
      <c r="T14" s="2"/>
      <c r="U14" s="12">
        <v>18500000</v>
      </c>
      <c r="X14" t="s">
        <v>131</v>
      </c>
    </row>
    <row r="15" spans="2:24" x14ac:dyDescent="0.25">
      <c r="B15" s="1" t="s">
        <v>5</v>
      </c>
      <c r="C15" s="4">
        <v>1</v>
      </c>
      <c r="D15" s="4"/>
      <c r="E15" s="4">
        <v>1</v>
      </c>
      <c r="F15" s="4"/>
      <c r="H15" s="1" t="s">
        <v>15</v>
      </c>
      <c r="I15" s="1" t="s">
        <v>70</v>
      </c>
      <c r="J15" s="1"/>
      <c r="K15" s="2" cm="1">
        <f t="array" ref="K15">INDEX(LOT[#All],MATCH(Margin[[#This Row],[Strategy]],LOT[[#All],[Strategy]],0),MATCH(Margin[[#This Row],[Index]],LOT[#Headers],0))*_xlfn._xlws.FILTER(MR_2[W.O.H],(MR_2[Index]=Margin[[#This Row],[Index]])*(MR_2[Day Type]="N.Expiry"))</f>
        <v>1338000</v>
      </c>
      <c r="L15" s="2" cm="1">
        <f t="array" ref="L15">INDEX(LOT[#All],MATCH(Margin[[#This Row],[Strategy]],LOT[[#All],[Strategy]],0),MATCH(Margin[[#This Row],[Index]],LOT[#Headers],0))*_xlfn._xlws.FILTER(MR_2[W.H],(MR_2[Index]=Margin[[#This Row],[Index]])*(MR_2[Day Type]="N.Expiry"))</f>
        <v>696000</v>
      </c>
      <c r="M15" s="2" cm="1">
        <f t="array" ref="M15">INDEX(LOT[#All],MATCH(Margin[[#This Row],[Strategy]],LOT[[#All],[Strategy]],0),MATCH(Margin[[#This Row],[Index]],LOT[#Headers],0))*_xlfn._xlws.FILTER(MR_2[W.O.H],(MR_2[Index]=Margin[[#This Row],[Index]])*(MR_2[Day Type]="Expiry"))</f>
        <v>1800000</v>
      </c>
      <c r="N15" s="2" cm="1">
        <f t="array" ref="N15">INDEX(LOT[#All],MATCH(Margin[[#This Row],[Strategy]],LOT[[#All],[Strategy]],0),MATCH(Margin[[#This Row],[Index]],LOT[#Headers],0))*_xlfn._xlws.FILTER(MR_2[W.H],(MR_2[Index]=Margin[[#This Row],[Index]])*(MR_2[Day Type]="Expiry"))</f>
        <v>1110000</v>
      </c>
      <c r="O15" s="1"/>
      <c r="P15" s="21">
        <v>0.1</v>
      </c>
      <c r="R15" s="5" t="s">
        <v>113</v>
      </c>
      <c r="S15" s="1" t="s">
        <v>43</v>
      </c>
      <c r="T15" s="2"/>
      <c r="U15" s="2">
        <v>13000000</v>
      </c>
    </row>
    <row r="16" spans="2:24" x14ac:dyDescent="0.25">
      <c r="B16" s="1" t="s">
        <v>6</v>
      </c>
      <c r="C16" s="4">
        <v>1</v>
      </c>
      <c r="D16" s="4"/>
      <c r="E16" s="4">
        <v>1</v>
      </c>
      <c r="F16" s="4"/>
      <c r="H16" s="1" t="s">
        <v>14</v>
      </c>
      <c r="I16" s="1" t="s">
        <v>2</v>
      </c>
      <c r="J16" s="1"/>
      <c r="K16" s="2">
        <v>350000</v>
      </c>
      <c r="L16" s="2">
        <v>350000</v>
      </c>
      <c r="M16" s="2">
        <v>350000</v>
      </c>
      <c r="N16" s="2">
        <v>350000</v>
      </c>
      <c r="O16" s="3"/>
      <c r="P16" s="3"/>
      <c r="R16" s="5" t="s">
        <v>128</v>
      </c>
      <c r="S16" s="1" t="s">
        <v>23</v>
      </c>
      <c r="T16" s="2">
        <v>55000000</v>
      </c>
      <c r="U16" s="20">
        <v>20000000</v>
      </c>
      <c r="V16" t="s">
        <v>74</v>
      </c>
    </row>
    <row r="17" spans="2:23" x14ac:dyDescent="0.25">
      <c r="B17" s="1" t="s">
        <v>7</v>
      </c>
      <c r="C17" s="4">
        <v>1</v>
      </c>
      <c r="D17" s="4"/>
      <c r="E17" s="4">
        <v>1</v>
      </c>
      <c r="F17" s="4"/>
      <c r="H17" s="1" t="s">
        <v>14</v>
      </c>
      <c r="I17" s="1" t="s">
        <v>3</v>
      </c>
      <c r="J17" s="1"/>
      <c r="K17" s="2">
        <v>350000</v>
      </c>
      <c r="L17" s="2">
        <v>350000</v>
      </c>
      <c r="M17" s="2">
        <v>350000</v>
      </c>
      <c r="N17" s="2">
        <v>350000</v>
      </c>
      <c r="O17" s="3"/>
      <c r="P17" s="3"/>
      <c r="R17" s="5" t="s">
        <v>46</v>
      </c>
      <c r="S17" s="1" t="s">
        <v>47</v>
      </c>
      <c r="T17" s="2">
        <v>69000000</v>
      </c>
      <c r="U17" s="12">
        <v>68000000</v>
      </c>
      <c r="V17" t="s">
        <v>76</v>
      </c>
    </row>
    <row r="18" spans="2:23" x14ac:dyDescent="0.25">
      <c r="B18" s="1" t="s">
        <v>8</v>
      </c>
      <c r="C18" s="4">
        <v>1</v>
      </c>
      <c r="D18" s="4"/>
      <c r="E18" s="4">
        <v>1</v>
      </c>
      <c r="F18" s="4"/>
      <c r="H18" s="1" t="s">
        <v>14</v>
      </c>
      <c r="I18" s="1" t="s">
        <v>4</v>
      </c>
      <c r="J18" s="1"/>
      <c r="K18" s="2">
        <v>350000</v>
      </c>
      <c r="L18" s="2">
        <v>350000</v>
      </c>
      <c r="M18" s="2">
        <v>350000</v>
      </c>
      <c r="N18" s="2">
        <v>350000</v>
      </c>
      <c r="O18" s="3"/>
      <c r="P18" s="3"/>
      <c r="R18" s="52" t="s">
        <v>42</v>
      </c>
      <c r="S18" s="55" t="s">
        <v>43</v>
      </c>
      <c r="T18" s="61">
        <v>19000000</v>
      </c>
      <c r="U18" s="64">
        <v>17000000</v>
      </c>
      <c r="V18" s="45" t="s">
        <v>78</v>
      </c>
    </row>
    <row r="19" spans="2:23" x14ac:dyDescent="0.25">
      <c r="B19" s="1" t="s">
        <v>9</v>
      </c>
      <c r="C19" s="4">
        <v>1</v>
      </c>
      <c r="D19" s="4"/>
      <c r="E19" s="4">
        <v>1</v>
      </c>
      <c r="F19" s="4"/>
      <c r="H19" s="1" t="s">
        <v>14</v>
      </c>
      <c r="I19" s="1" t="s">
        <v>5</v>
      </c>
      <c r="J19" s="1"/>
      <c r="K19" s="2" cm="1">
        <f t="array" ref="K19">IF(Margin[[#This Row],[Index]]="NIFTY",_xlfn._xlws.FILTER(LOT[NIFTY],(LOT[Strategy]=Margin[[#This Row],[Strategy]]))*$D$30,IF(Margin[[#This Row],[Index]]="SENSEX",_xlfn._xlws.FILTER(LOT[SENSEX],(LOT[Strategy]=Margin[[#This Row],[Strategy]]))*$D$41,_xlfn._xlws.FILTER(LOT[BANKNIFTY],(LOT[Strategy]=Margin[[#This Row],[Strategy]]))*$D$52))</f>
        <v>340000</v>
      </c>
      <c r="L19" s="2" cm="1">
        <f t="array" ref="L19">IF(Margin[[#This Row],[Index]]="NIFTY",_xlfn._xlws.FILTER(LOT[NIFTY],(LOT[Strategy]=Margin[[#This Row],[Strategy]]))*$D$31,IF(Margin[[#This Row],[Index]]="SENSEX",_xlfn._xlws.FILTER(LOT[SENSEX],(LOT[Strategy]=Margin[[#This Row],[Strategy]]))*$D$42,_xlfn._xlws.FILTER(LOT[BANKNIFTY],(LOT[Strategy]=Margin[[#This Row],[Strategy]]))*$D$53))</f>
        <v>235000</v>
      </c>
      <c r="M19" s="2"/>
      <c r="N19" s="2"/>
      <c r="O19" s="3"/>
      <c r="P19" s="3"/>
      <c r="R19" s="1" t="s">
        <v>40</v>
      </c>
      <c r="S19" s="1" t="s">
        <v>41</v>
      </c>
      <c r="T19" s="2">
        <v>13000000</v>
      </c>
      <c r="U19" s="20">
        <v>13000000</v>
      </c>
      <c r="V19" s="19" t="s">
        <v>78</v>
      </c>
    </row>
    <row r="20" spans="2:23" x14ac:dyDescent="0.25">
      <c r="B20" s="7" t="s">
        <v>111</v>
      </c>
      <c r="C20" s="4">
        <v>3</v>
      </c>
      <c r="D20" s="4"/>
      <c r="E20" s="4"/>
      <c r="F20" s="4"/>
      <c r="H20" s="1" t="s">
        <v>14</v>
      </c>
      <c r="I20" s="1" t="s">
        <v>6</v>
      </c>
      <c r="J20" s="1"/>
      <c r="K20" s="2" cm="1">
        <f t="array" ref="K20">IF(Margin[[#This Row],[Index]]="NIFTY",_xlfn._xlws.FILTER(LOT[NIFTY],(LOT[Strategy]=Margin[[#This Row],[Strategy]]))*$D$30,IF(Margin[[#This Row],[Index]]="SENSEX",_xlfn._xlws.FILTER(LOT[SENSEX],(LOT[Strategy]=Margin[[#This Row],[Strategy]]))*$D$41,_xlfn._xlws.FILTER(LOT[BANKNIFTY],(LOT[Strategy]=Margin[[#This Row],[Strategy]]))*$D$52))</f>
        <v>340000</v>
      </c>
      <c r="L20" s="2" cm="1">
        <f t="array" ref="L20">IF(Margin[[#This Row],[Index]]="NIFTY",_xlfn._xlws.FILTER(LOT[NIFTY],(LOT[Strategy]=Margin[[#This Row],[Strategy]]))*$D$31,IF(Margin[[#This Row],[Index]]="SENSEX",_xlfn._xlws.FILTER(LOT[SENSEX],(LOT[Strategy]=Margin[[#This Row],[Strategy]]))*$D$42,_xlfn._xlws.FILTER(LOT[BANKNIFTY],(LOT[Strategy]=Margin[[#This Row],[Strategy]]))*$D$53))</f>
        <v>235000</v>
      </c>
      <c r="M20" s="2"/>
      <c r="N20" s="2"/>
      <c r="O20" s="3"/>
      <c r="P20" s="3"/>
      <c r="R20" s="6" t="s">
        <v>115</v>
      </c>
      <c r="S20" s="1" t="s">
        <v>116</v>
      </c>
      <c r="T20" s="8"/>
      <c r="U20" s="13">
        <v>14500000</v>
      </c>
    </row>
    <row r="21" spans="2:23" x14ac:dyDescent="0.25">
      <c r="C21" s="4"/>
      <c r="D21" s="4"/>
      <c r="E21" s="4"/>
      <c r="F21" s="4"/>
      <c r="H21" s="1" t="s">
        <v>14</v>
      </c>
      <c r="I21" s="1" t="s">
        <v>7</v>
      </c>
      <c r="J21" s="1"/>
      <c r="K21" s="2">
        <v>2500000</v>
      </c>
      <c r="L21" s="2"/>
      <c r="M21" s="2"/>
      <c r="N21" s="2"/>
      <c r="O21" s="3"/>
      <c r="P21" s="3"/>
      <c r="R21" s="52" t="s">
        <v>36</v>
      </c>
      <c r="S21" s="42" t="s">
        <v>37</v>
      </c>
      <c r="T21" s="43">
        <v>22000000</v>
      </c>
      <c r="U21" s="44">
        <v>18000000</v>
      </c>
      <c r="V21" s="45" t="s">
        <v>77</v>
      </c>
    </row>
    <row r="22" spans="2:23" x14ac:dyDescent="0.25">
      <c r="C22" s="4"/>
      <c r="D22" s="4"/>
      <c r="E22" s="4"/>
      <c r="F22" s="4"/>
      <c r="H22" s="1" t="s">
        <v>14</v>
      </c>
      <c r="I22" s="1" t="s">
        <v>8</v>
      </c>
      <c r="J22" s="1"/>
      <c r="K22" s="2"/>
      <c r="L22" s="2"/>
      <c r="M22" s="2"/>
      <c r="N22" s="2"/>
      <c r="O22" s="3"/>
      <c r="P22" s="3"/>
      <c r="R22" s="5" t="s">
        <v>38</v>
      </c>
      <c r="S22" s="1" t="s">
        <v>39</v>
      </c>
      <c r="T22" s="2">
        <v>14000000</v>
      </c>
      <c r="U22" s="20">
        <v>15000000</v>
      </c>
      <c r="V22" t="s">
        <v>78</v>
      </c>
    </row>
    <row r="23" spans="2:23" x14ac:dyDescent="0.25">
      <c r="B23" s="1" t="s">
        <v>56</v>
      </c>
      <c r="C23" s="22">
        <v>25000</v>
      </c>
      <c r="D23" s="27"/>
      <c r="E23" s="4"/>
      <c r="F23" s="4"/>
      <c r="H23" s="1" t="s">
        <v>14</v>
      </c>
      <c r="I23" s="1" t="s">
        <v>9</v>
      </c>
      <c r="J23" s="1"/>
      <c r="K23" s="2"/>
      <c r="L23" s="2"/>
      <c r="M23" s="2"/>
      <c r="N23" s="2"/>
      <c r="O23" s="3"/>
      <c r="P23" s="3"/>
      <c r="R23" s="5" t="s">
        <v>34</v>
      </c>
      <c r="S23" s="1" t="s">
        <v>35</v>
      </c>
      <c r="T23" s="2">
        <v>40000000</v>
      </c>
      <c r="U23" s="20">
        <v>51000000</v>
      </c>
      <c r="V23" t="s">
        <v>74</v>
      </c>
    </row>
    <row r="24" spans="2:23" x14ac:dyDescent="0.25">
      <c r="B24" s="1" t="s">
        <v>57</v>
      </c>
      <c r="C24" s="22">
        <v>75</v>
      </c>
      <c r="D24" s="27"/>
      <c r="E24" s="4"/>
      <c r="F24" s="4"/>
      <c r="H24" s="1" t="s">
        <v>14</v>
      </c>
      <c r="I24" s="1" t="s">
        <v>67</v>
      </c>
      <c r="J24" s="1"/>
      <c r="K24" s="2"/>
      <c r="L24" s="2"/>
      <c r="M24" s="2"/>
      <c r="N24" s="2"/>
      <c r="O24" s="3"/>
      <c r="P24" s="3"/>
      <c r="R24" s="46" t="s">
        <v>28</v>
      </c>
      <c r="S24" s="47" t="s">
        <v>29</v>
      </c>
      <c r="T24" s="60">
        <v>30000000</v>
      </c>
      <c r="U24" s="20">
        <v>28000000</v>
      </c>
      <c r="V24" t="s">
        <v>76</v>
      </c>
      <c r="W24" s="18"/>
    </row>
    <row r="25" spans="2:23" x14ac:dyDescent="0.25">
      <c r="B25" s="1" t="s">
        <v>58</v>
      </c>
      <c r="C25" s="23">
        <f>C23*C24</f>
        <v>1875000</v>
      </c>
      <c r="D25" s="27"/>
      <c r="E25" s="4"/>
      <c r="F25" s="4"/>
      <c r="H25" s="1" t="s">
        <v>14</v>
      </c>
      <c r="I25" s="1" t="s">
        <v>66</v>
      </c>
      <c r="J25" s="1"/>
      <c r="K25" s="2">
        <v>261000</v>
      </c>
      <c r="L25" s="2">
        <v>160000</v>
      </c>
      <c r="M25" s="2">
        <v>261000</v>
      </c>
      <c r="N25" s="2">
        <v>160000</v>
      </c>
      <c r="O25" s="3"/>
      <c r="P25" s="3">
        <v>0.05</v>
      </c>
      <c r="R25" s="54" t="s">
        <v>26</v>
      </c>
      <c r="S25" s="58" t="s">
        <v>27</v>
      </c>
      <c r="T25" s="62">
        <v>23000000</v>
      </c>
      <c r="U25" s="64">
        <v>20000000</v>
      </c>
      <c r="V25" s="45" t="s">
        <v>77</v>
      </c>
      <c r="W25" s="18"/>
    </row>
    <row r="26" spans="2:23" ht="15.75" thickBot="1" x14ac:dyDescent="0.3">
      <c r="B26" s="1" t="s">
        <v>59</v>
      </c>
      <c r="C26" s="24">
        <v>9.5000000000000001E-2</v>
      </c>
      <c r="D26" s="27"/>
      <c r="E26" s="4"/>
      <c r="F26" s="4"/>
      <c r="H26" s="1" t="s">
        <v>15</v>
      </c>
      <c r="I26" s="1" t="s">
        <v>66</v>
      </c>
      <c r="J26" s="1"/>
      <c r="K26" s="2" cm="1">
        <f t="array" ref="K26">IF(Margin[[#This Row],[Index]]="NIFTY",_xlfn._xlws.FILTER(LOT[NIFTY],(LOT[Strategy]=Margin[[#This Row],[Strategy]]))*$D$30,IF(Margin[[#This Row],[Index]]="SENSEX",_xlfn._xlws.FILTER(LOT[SENSEX],(LOT[Strategy]=Margin[[#This Row],[Strategy]]))*$D$41,_xlfn._xlws.FILTER(LOT[BANKNIFTY],(LOT[Strategy]=Margin[[#This Row],[Strategy]]))*$D$52))</f>
        <v>300000</v>
      </c>
      <c r="L26" s="2" cm="1">
        <f t="array" ref="L26">IF(Margin[[#This Row],[Index]]="NIFTY",_xlfn._xlws.FILTER(LOT[NIFTY],(LOT[Strategy]=Margin[[#This Row],[Strategy]]))*$D$31,IF(Margin[[#This Row],[Index]]="SENSEX",_xlfn._xlws.FILTER(LOT[SENSEX],(LOT[Strategy]=Margin[[#This Row],[Strategy]]))*$D$42,_xlfn._xlws.FILTER(LOT[BANKNIFTY],(LOT[Strategy]=Margin[[#This Row],[Strategy]]))*$D$53))</f>
        <v>185000</v>
      </c>
      <c r="M26" s="2"/>
      <c r="N26" s="2"/>
      <c r="O26" s="1"/>
      <c r="P26" s="3"/>
      <c r="R26" s="53" t="s">
        <v>24</v>
      </c>
      <c r="S26" s="57" t="s">
        <v>25</v>
      </c>
      <c r="T26" s="62">
        <v>63000000</v>
      </c>
      <c r="U26" s="44">
        <v>57500000</v>
      </c>
      <c r="V26" s="45" t="s">
        <v>74</v>
      </c>
      <c r="W26" s="18"/>
    </row>
    <row r="27" spans="2:23" x14ac:dyDescent="0.25">
      <c r="B27" s="1" t="s">
        <v>60</v>
      </c>
      <c r="C27" s="24">
        <v>5.5E-2</v>
      </c>
      <c r="D27" s="27"/>
      <c r="E27" s="4"/>
      <c r="F27" s="4"/>
      <c r="H27" s="1" t="s">
        <v>14</v>
      </c>
      <c r="I27" s="1" t="s">
        <v>69</v>
      </c>
      <c r="J27" s="1"/>
      <c r="K27" s="2"/>
      <c r="L27" s="2"/>
      <c r="M27" s="2"/>
      <c r="N27" s="2"/>
      <c r="O27" s="3"/>
      <c r="P27" s="3"/>
    </row>
    <row r="28" spans="2:23" x14ac:dyDescent="0.25">
      <c r="B28" s="1" t="s">
        <v>61</v>
      </c>
      <c r="C28" s="25">
        <v>0.02</v>
      </c>
      <c r="D28" s="27"/>
      <c r="E28" s="4"/>
      <c r="F28" s="4"/>
      <c r="T28" s="18"/>
      <c r="U28" s="18"/>
    </row>
    <row r="29" spans="2:23" x14ac:dyDescent="0.25">
      <c r="B29" s="1" t="s">
        <v>62</v>
      </c>
      <c r="C29" s="25">
        <v>0.02</v>
      </c>
      <c r="D29" s="2"/>
      <c r="E29" s="4"/>
      <c r="F29" s="4"/>
      <c r="O29" s="40"/>
      <c r="P29" s="40"/>
      <c r="T29" s="18"/>
      <c r="U29" s="51"/>
    </row>
    <row r="30" spans="2:23" x14ac:dyDescent="0.25">
      <c r="B30" s="14" t="s">
        <v>63</v>
      </c>
      <c r="C30" s="23">
        <f>(C23*C24)*C26+(C23*C24)*C28+(C23*C24)*C29</f>
        <v>253125</v>
      </c>
      <c r="D30" s="28">
        <v>340000</v>
      </c>
      <c r="E30" s="4"/>
      <c r="F30" s="4"/>
      <c r="T30" s="18"/>
      <c r="U30" s="51"/>
    </row>
    <row r="31" spans="2:23" x14ac:dyDescent="0.25">
      <c r="B31" s="1" t="s">
        <v>11</v>
      </c>
      <c r="C31" s="23">
        <f>(C23*C24)*C26+(C23*C24)*C28+(C23*C24)*C29-(C23*C24)*C27</f>
        <v>150000</v>
      </c>
      <c r="D31" s="28">
        <v>235000</v>
      </c>
      <c r="E31" s="4"/>
      <c r="F31" s="4"/>
      <c r="T31" s="18"/>
      <c r="U31" s="18"/>
    </row>
    <row r="32" spans="2:23" x14ac:dyDescent="0.25">
      <c r="B32" s="1" t="s">
        <v>64</v>
      </c>
      <c r="C32" s="26">
        <f>C25/C30</f>
        <v>7.4074074074074074</v>
      </c>
      <c r="D32" s="28"/>
      <c r="E32" s="4"/>
      <c r="F32" s="4"/>
      <c r="H32" s="39" t="s">
        <v>80</v>
      </c>
      <c r="I32" s="4" t="s">
        <v>106</v>
      </c>
      <c r="J32" s="4" t="s">
        <v>103</v>
      </c>
      <c r="K32" s="4" t="s">
        <v>102</v>
      </c>
      <c r="T32" s="18"/>
      <c r="U32" s="18"/>
    </row>
    <row r="33" spans="2:21" x14ac:dyDescent="0.25">
      <c r="D33" s="29"/>
      <c r="E33" s="4"/>
      <c r="F33" s="4"/>
      <c r="H33" s="39" t="s">
        <v>15</v>
      </c>
      <c r="I33" s="4" t="s">
        <v>104</v>
      </c>
      <c r="J33" s="4">
        <v>185000</v>
      </c>
      <c r="K33" s="4">
        <v>300000</v>
      </c>
      <c r="T33" s="18"/>
      <c r="U33" s="18"/>
    </row>
    <row r="34" spans="2:21" x14ac:dyDescent="0.25">
      <c r="B34" s="1" t="s">
        <v>65</v>
      </c>
      <c r="C34" s="22">
        <v>82500</v>
      </c>
      <c r="D34" s="29"/>
      <c r="E34" s="4"/>
      <c r="F34" s="4"/>
      <c r="H34" s="39" t="s">
        <v>15</v>
      </c>
      <c r="I34" s="4" t="s">
        <v>105</v>
      </c>
      <c r="J34" s="4">
        <v>116000</v>
      </c>
      <c r="K34" s="4">
        <v>223000</v>
      </c>
      <c r="T34" s="18"/>
      <c r="U34" s="18"/>
    </row>
    <row r="35" spans="2:21" x14ac:dyDescent="0.25">
      <c r="B35" s="1" t="s">
        <v>57</v>
      </c>
      <c r="C35" s="22">
        <v>20</v>
      </c>
      <c r="D35" s="29"/>
      <c r="E35" s="4"/>
      <c r="F35" s="4"/>
      <c r="H35" s="39" t="s">
        <v>14</v>
      </c>
      <c r="I35" s="4" t="s">
        <v>104</v>
      </c>
      <c r="J35" s="4">
        <v>240000</v>
      </c>
      <c r="K35" s="4">
        <v>340000</v>
      </c>
      <c r="T35" s="18"/>
      <c r="U35" s="18"/>
    </row>
    <row r="36" spans="2:21" x14ac:dyDescent="0.25">
      <c r="B36" s="1" t="s">
        <v>58</v>
      </c>
      <c r="C36" s="23">
        <f>C34*C35</f>
        <v>1650000</v>
      </c>
      <c r="D36" s="29"/>
      <c r="E36" s="4"/>
      <c r="F36" s="4"/>
      <c r="H36" s="39" t="s">
        <v>14</v>
      </c>
      <c r="I36" s="4" t="s">
        <v>105</v>
      </c>
      <c r="J36" s="4">
        <v>160000</v>
      </c>
      <c r="K36" s="4">
        <v>261000</v>
      </c>
      <c r="T36" s="18"/>
      <c r="U36" s="18"/>
    </row>
    <row r="37" spans="2:21" x14ac:dyDescent="0.25">
      <c r="B37" s="1" t="s">
        <v>59</v>
      </c>
      <c r="C37" s="24">
        <v>9.5000000000000001E-2</v>
      </c>
      <c r="D37" s="28"/>
      <c r="E37" s="4"/>
      <c r="F37" s="4"/>
      <c r="H37" s="39" t="s">
        <v>81</v>
      </c>
      <c r="I37" s="4" t="s">
        <v>104</v>
      </c>
      <c r="J37" s="4">
        <v>250000</v>
      </c>
      <c r="K37" s="4">
        <v>400000</v>
      </c>
      <c r="T37" s="18"/>
      <c r="U37" s="18"/>
    </row>
    <row r="38" spans="2:21" x14ac:dyDescent="0.25">
      <c r="B38" s="1" t="s">
        <v>60</v>
      </c>
      <c r="C38" s="24">
        <v>5.5E-2</v>
      </c>
      <c r="D38" s="28"/>
      <c r="E38" s="4"/>
      <c r="F38" s="4"/>
      <c r="H38" s="39" t="s">
        <v>81</v>
      </c>
      <c r="I38" s="4" t="s">
        <v>105</v>
      </c>
      <c r="J38" s="4">
        <v>176000</v>
      </c>
      <c r="K38" s="4">
        <v>312000</v>
      </c>
      <c r="T38" s="18"/>
      <c r="U38" s="18"/>
    </row>
    <row r="39" spans="2:21" x14ac:dyDescent="0.25">
      <c r="B39" s="1" t="s">
        <v>61</v>
      </c>
      <c r="C39" s="25">
        <v>0.02</v>
      </c>
      <c r="D39" s="28"/>
      <c r="E39" s="4"/>
      <c r="F39" s="4"/>
      <c r="T39" s="18"/>
      <c r="U39" s="18"/>
    </row>
    <row r="40" spans="2:21" x14ac:dyDescent="0.25">
      <c r="B40" s="1" t="s">
        <v>62</v>
      </c>
      <c r="C40" s="25">
        <v>0.02</v>
      </c>
      <c r="D40" s="2"/>
      <c r="E40" s="4"/>
      <c r="F40" s="4"/>
      <c r="T40" s="18"/>
      <c r="U40" s="18"/>
    </row>
    <row r="41" spans="2:21" x14ac:dyDescent="0.25">
      <c r="B41" s="14" t="s">
        <v>63</v>
      </c>
      <c r="C41" s="23">
        <f>(C34*C35)*C37+(C34*C35)*C39+(C34*C35)*C40</f>
        <v>222750</v>
      </c>
      <c r="D41" s="28">
        <v>300000</v>
      </c>
      <c r="E41" s="4"/>
      <c r="F41" s="4"/>
      <c r="T41" s="18"/>
      <c r="U41" s="18"/>
    </row>
    <row r="42" spans="2:21" x14ac:dyDescent="0.25">
      <c r="B42" s="1" t="s">
        <v>11</v>
      </c>
      <c r="C42" s="23">
        <f>(C34*C35)*C37+(C34*C35)*C39+(C34*C35)*C40-(C34*C35)*C38</f>
        <v>132000</v>
      </c>
      <c r="D42" s="28">
        <v>185000</v>
      </c>
      <c r="E42" s="4"/>
      <c r="F42" s="4"/>
      <c r="T42" s="18"/>
      <c r="U42" s="18"/>
    </row>
    <row r="43" spans="2:21" x14ac:dyDescent="0.25">
      <c r="B43" s="1" t="s">
        <v>64</v>
      </c>
      <c r="C43" s="26">
        <f>C36/C41</f>
        <v>7.4074074074074074</v>
      </c>
      <c r="D43" s="28"/>
      <c r="E43" s="4"/>
      <c r="F43" s="4"/>
      <c r="T43" s="18"/>
      <c r="U43" s="18"/>
    </row>
    <row r="44" spans="2:21" x14ac:dyDescent="0.25">
      <c r="D44" s="29"/>
      <c r="E44" s="4"/>
      <c r="F44" s="4"/>
      <c r="T44" s="18"/>
      <c r="U44" s="18"/>
    </row>
    <row r="45" spans="2:21" x14ac:dyDescent="0.25">
      <c r="B45" s="1" t="s">
        <v>79</v>
      </c>
      <c r="C45" s="22">
        <v>56000</v>
      </c>
      <c r="D45" s="29"/>
      <c r="E45" s="4"/>
      <c r="F45" s="4"/>
      <c r="T45" s="18"/>
      <c r="U45" s="18"/>
    </row>
    <row r="46" spans="2:21" x14ac:dyDescent="0.25">
      <c r="B46" s="1" t="s">
        <v>57</v>
      </c>
      <c r="C46" s="22">
        <v>35</v>
      </c>
      <c r="D46" s="29"/>
      <c r="E46" s="4"/>
      <c r="F46" s="4"/>
      <c r="T46" s="18"/>
      <c r="U46" s="18"/>
    </row>
    <row r="47" spans="2:21" x14ac:dyDescent="0.25">
      <c r="B47" s="1" t="s">
        <v>58</v>
      </c>
      <c r="C47" s="23">
        <f>C45*C46</f>
        <v>1960000</v>
      </c>
      <c r="D47" s="29"/>
      <c r="E47" s="4"/>
      <c r="F47" s="4"/>
      <c r="T47" s="18"/>
      <c r="U47" s="18"/>
    </row>
    <row r="48" spans="2:21" x14ac:dyDescent="0.25">
      <c r="B48" s="1" t="s">
        <v>59</v>
      </c>
      <c r="C48" s="24">
        <v>9.5000000000000001E-2</v>
      </c>
      <c r="D48" s="28"/>
      <c r="E48" s="4"/>
      <c r="F48" s="4"/>
      <c r="T48" s="18"/>
      <c r="U48" s="18"/>
    </row>
    <row r="49" spans="2:21" x14ac:dyDescent="0.25">
      <c r="B49" s="1" t="s">
        <v>60</v>
      </c>
      <c r="C49" s="24">
        <v>5.5E-2</v>
      </c>
      <c r="D49" s="28"/>
      <c r="E49" s="4"/>
      <c r="F49" s="4"/>
      <c r="T49" s="18"/>
      <c r="U49" s="18"/>
    </row>
    <row r="50" spans="2:21" x14ac:dyDescent="0.25">
      <c r="B50" s="1" t="s">
        <v>61</v>
      </c>
      <c r="C50" s="25">
        <v>0.02</v>
      </c>
      <c r="D50" s="28"/>
      <c r="E50" s="4"/>
      <c r="F50" s="4"/>
      <c r="T50" s="18"/>
      <c r="U50" s="18"/>
    </row>
    <row r="51" spans="2:21" x14ac:dyDescent="0.25">
      <c r="B51" s="1" t="s">
        <v>62</v>
      </c>
      <c r="C51" s="25">
        <v>0.02</v>
      </c>
      <c r="D51" s="2"/>
      <c r="E51" s="4"/>
      <c r="F51" s="4"/>
      <c r="T51" s="18"/>
      <c r="U51" s="18"/>
    </row>
    <row r="52" spans="2:21" x14ac:dyDescent="0.25">
      <c r="B52" s="14" t="s">
        <v>63</v>
      </c>
      <c r="C52" s="23">
        <f>(C45*C46)*C48+(C45*C46)*C50+(C45*C46)*C51</f>
        <v>264600</v>
      </c>
      <c r="D52" s="2">
        <v>310000</v>
      </c>
      <c r="E52" s="4"/>
      <c r="F52" s="4"/>
      <c r="T52" s="18"/>
    </row>
    <row r="53" spans="2:21" x14ac:dyDescent="0.25">
      <c r="B53" s="1" t="s">
        <v>11</v>
      </c>
      <c r="C53" s="23">
        <f>(C45*C46)*C48+(C45*C46)*C50+(C45*C46)*C51-(C45*C46)*C49</f>
        <v>156800</v>
      </c>
      <c r="D53" s="2">
        <v>210000</v>
      </c>
      <c r="E53" s="4"/>
      <c r="F53" s="4"/>
      <c r="T53" s="18"/>
    </row>
    <row r="54" spans="2:21" x14ac:dyDescent="0.25">
      <c r="B54" s="1" t="s">
        <v>64</v>
      </c>
      <c r="C54" s="26">
        <f>C47/C52</f>
        <v>7.4074074074074074</v>
      </c>
      <c r="D54" s="2"/>
      <c r="E54" s="4"/>
      <c r="F54" s="4"/>
      <c r="T54" s="18"/>
    </row>
    <row r="55" spans="2:21" x14ac:dyDescent="0.25">
      <c r="E55" s="4"/>
      <c r="F55" s="4"/>
      <c r="T55" s="18"/>
    </row>
    <row r="56" spans="2:21" x14ac:dyDescent="0.25">
      <c r="E56" s="4"/>
      <c r="F56" s="4"/>
      <c r="T56" s="18"/>
    </row>
  </sheetData>
  <phoneticPr fontId="5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4264-8D89-4BCA-A9D3-71AE7D88A7CB}">
  <sheetPr codeName="Sheet2" filterMode="1"/>
  <dimension ref="A1:S43"/>
  <sheetViews>
    <sheetView zoomScale="90" zoomScaleNormal="90" workbookViewId="0">
      <selection activeCell="D16" sqref="D16"/>
    </sheetView>
  </sheetViews>
  <sheetFormatPr defaultRowHeight="15" x14ac:dyDescent="0.25"/>
  <cols>
    <col min="2" max="2" width="2" bestFit="1" customWidth="1"/>
    <col min="3" max="3" width="13.5703125" style="4" bestFit="1" customWidth="1"/>
    <col min="4" max="4" width="10" style="4" bestFit="1" customWidth="1"/>
    <col min="5" max="5" width="7.140625" bestFit="1" customWidth="1"/>
    <col min="6" max="6" width="8.140625" bestFit="1" customWidth="1"/>
    <col min="7" max="7" width="7.5703125" bestFit="1" customWidth="1"/>
    <col min="8" max="10" width="16.85546875" bestFit="1" customWidth="1"/>
    <col min="11" max="11" width="13" bestFit="1" customWidth="1"/>
    <col min="12" max="12" width="12.85546875" bestFit="1" customWidth="1"/>
    <col min="13" max="13" width="13.7109375" bestFit="1" customWidth="1"/>
    <col min="15" max="15" width="15.28515625" bestFit="1" customWidth="1"/>
  </cols>
  <sheetData>
    <row r="1" spans="1:19" x14ac:dyDescent="0.25">
      <c r="F1" s="4" t="s">
        <v>105</v>
      </c>
      <c r="G1" s="4" t="s">
        <v>104</v>
      </c>
      <c r="H1" s="4" t="s">
        <v>105</v>
      </c>
      <c r="I1" s="4" t="s">
        <v>105</v>
      </c>
      <c r="J1" s="4" t="s">
        <v>105</v>
      </c>
      <c r="K1" s="4" t="s">
        <v>105</v>
      </c>
      <c r="L1" s="4" t="s">
        <v>105</v>
      </c>
      <c r="M1" s="4" t="s">
        <v>105</v>
      </c>
    </row>
    <row r="2" spans="1:19" x14ac:dyDescent="0.25">
      <c r="C2"/>
      <c r="D2"/>
      <c r="F2" s="4" t="s">
        <v>14</v>
      </c>
      <c r="G2" s="4" t="s">
        <v>15</v>
      </c>
      <c r="H2" s="4" t="s">
        <v>15</v>
      </c>
      <c r="I2" s="4" t="s">
        <v>81</v>
      </c>
      <c r="J2" s="4" t="s">
        <v>14</v>
      </c>
      <c r="K2" s="4" t="s">
        <v>14</v>
      </c>
      <c r="L2" s="4" t="s">
        <v>14</v>
      </c>
      <c r="M2" s="4" t="s">
        <v>14</v>
      </c>
    </row>
    <row r="3" spans="1:19" x14ac:dyDescent="0.25">
      <c r="C3"/>
      <c r="D3">
        <v>1.1499999999999999</v>
      </c>
      <c r="F3" s="4" t="s">
        <v>103</v>
      </c>
      <c r="G3" s="4" t="s">
        <v>103</v>
      </c>
      <c r="H3" s="4" t="s">
        <v>103</v>
      </c>
      <c r="I3" s="4" t="s">
        <v>102</v>
      </c>
      <c r="J3" s="4" t="s">
        <v>103</v>
      </c>
      <c r="K3" s="4" t="s">
        <v>103</v>
      </c>
      <c r="L3" s="4" t="s">
        <v>103</v>
      </c>
      <c r="M3" s="4" t="s">
        <v>103</v>
      </c>
      <c r="R3" s="4"/>
      <c r="S3" s="4"/>
    </row>
    <row r="4" spans="1:19" x14ac:dyDescent="0.25">
      <c r="E4" s="37">
        <f>SUM(F4:M4)</f>
        <v>0.30000000000000004</v>
      </c>
      <c r="F4" s="38" cm="1">
        <f t="array" ref="F4">IF(Mon!F3="W.H",_xlfn._xlws.FILTER(Margin[Strategy allotment % with hedge],(Margin[Strategy]=Mon!F$5)*(Margin[Index]=Mon!F$2)),_xlfn._xlws.FILTER(Margin[Strategy allotment % without hedge],(Margin[Strategy]=Mon!F$5)*(Margin[Index]=Mon!F$2)))</f>
        <v>0</v>
      </c>
      <c r="G4" s="38" cm="1">
        <f t="array" ref="G4">IF(Mon!G3="W.H",_xlfn._xlws.FILTER(Margin[Strategy allotment % with hedge],(Margin[Strategy]=Mon!G$5)*(Margin[Index]=Mon!G$2)),_xlfn._xlws.FILTER(Margin[Strategy allotment % without hedge],(Margin[Strategy]=Mon!G$5)*(Margin[Index]=Mon!G$2)))</f>
        <v>0</v>
      </c>
      <c r="H4" s="38" cm="1">
        <f t="array" ref="H4">IF(Mon!H3="W.H",_xlfn._xlws.FILTER(Margin[Strategy allotment % with hedge],(Margin[Strategy]=Mon!H$5)*(Margin[Index]=Mon!H$2)),_xlfn._xlws.FILTER(Margin[Strategy allotment % without hedge],(Margin[Strategy]=Mon!H$5)*(Margin[Index]=Mon!H$2)))</f>
        <v>0.1</v>
      </c>
      <c r="I4" s="38" cm="1">
        <f t="array" ref="I4">IF(Mon!I3="W.H",_xlfn._xlws.FILTER(Margin[Strategy allotment % with hedge],(Margin[Strategy]=Mon!I$5)*(Margin[Index]=Mon!I$2)),_xlfn._xlws.FILTER(Margin[Strategy allotment % without hedge],(Margin[Strategy]=Mon!I$5)*(Margin[Index]=Mon!I$2)))</f>
        <v>0.1</v>
      </c>
      <c r="J4" s="38" cm="1">
        <f t="array" ref="J4">IF(Mon!J3="W.H",_xlfn._xlws.FILTER(Margin[Strategy allotment % with hedge],(Margin[Strategy]=Mon!J$5)*(Margin[Index]=Mon!J$2)),_xlfn._xlws.FILTER(Margin[Strategy allotment % without hedge],(Margin[Strategy]=Mon!J$5)*(Margin[Index]=Mon!J$2)))</f>
        <v>0.1</v>
      </c>
      <c r="K4" s="38" cm="1">
        <f t="array" ref="K4">IF(Mon!K3="W.H",_xlfn._xlws.FILTER(Margin[Strategy allotment % with hedge],(Margin[Strategy]=Mon!K$5)*(Margin[Index]=Mon!K$2)),_xlfn._xlws.FILTER(Margin[Strategy allotment % without hedge],(Margin[Strategy]=Mon!K$5)*(Margin[Index]=Mon!K$2)))</f>
        <v>0</v>
      </c>
      <c r="L4" s="38" cm="1">
        <f t="array" ref="L4">IF(Mon!L3="W.H",_xlfn._xlws.FILTER(Margin[Strategy allotment % with hedge],(Margin[Strategy]=Mon!L$5)*(Margin[Index]=Mon!L$2)),_xlfn._xlws.FILTER(Margin[Strategy allotment % without hedge],(Margin[Strategy]=Mon!L$5)*(Margin[Index]=Mon!L$2)))</f>
        <v>0</v>
      </c>
      <c r="M4" s="38" cm="1">
        <f t="array" ref="M4">IF(Mon!M3="W.H",_xlfn._xlws.FILTER(Margin[Strategy allotment % with hedge],(Margin[Strategy]=Mon!M$5)*(Margin[Index]=Mon!M$2)),_xlfn._xlws.FILTER(Margin[Strategy allotment % without hedge],(Margin[Strategy]=Mon!M$5)*(Margin[Index]=Mon!M$2)))</f>
        <v>0</v>
      </c>
    </row>
    <row r="5" spans="1:19" x14ac:dyDescent="0.25">
      <c r="C5" s="16" t="s">
        <v>50</v>
      </c>
      <c r="D5" s="16" t="s">
        <v>51</v>
      </c>
      <c r="E5" s="16" t="s">
        <v>52</v>
      </c>
      <c r="F5" s="16" t="s">
        <v>67</v>
      </c>
      <c r="G5" s="16" t="s">
        <v>66</v>
      </c>
      <c r="H5" s="16" t="s">
        <v>70</v>
      </c>
      <c r="I5" s="16" t="s">
        <v>70</v>
      </c>
      <c r="J5" s="16" t="s">
        <v>70</v>
      </c>
      <c r="K5" s="16" t="s">
        <v>2</v>
      </c>
      <c r="L5" s="16" t="s">
        <v>3</v>
      </c>
      <c r="M5" s="16" t="s">
        <v>4</v>
      </c>
    </row>
    <row r="6" spans="1:19" x14ac:dyDescent="0.25">
      <c r="A6" t="str">
        <f>_xlfn.XLOOKUP(C6,'OI QTY'!$O$5:$O$21,'OI QTY'!$N$5:$N$21,"")</f>
        <v>H</v>
      </c>
      <c r="B6">
        <f>IF(C6="",0,1)</f>
        <v>1</v>
      </c>
      <c r="C6" s="14" t="s">
        <v>20</v>
      </c>
      <c r="D6" s="14" cm="1">
        <f t="array" ref="D6">(_xlfn._xlws.FILTER(Fund[Margin],Fund[Client Id]=C6))/10000000</f>
        <v>7.5</v>
      </c>
      <c r="E6" s="14"/>
      <c r="F6" s="14" t="str" cm="1">
        <f t="array" ref="F6">IFERROR(IF(ROUNDUP((Client_Margin($C6)*Alloted(F$3,F$2,F$5)/Get_Margin(F$3,F$2,F$5,F$1)),0)*Get_Margin(F$3,F$2,F$5,F$1)&gt;((Client_Margin($C6)*Alloted(F$3,F$2,F$5)/Get_Margin(F$3,F$2,F$5,F$1))*Get_Margin(F$3,F$2,F$5,F$1))*$D$3,ROUNDDOWN((Client_Margin($C6)*Alloted(F$3,F$2,F$5)/Get_Margin(F$3,F$2,F$5,F$1)),0),ROUNDUP((Client_Margin($C6)*Alloted(F$3,F$2,F$5)/Get_Margin(F$3,F$2,F$5,F$1)),0)),"-")</f>
        <v>-</v>
      </c>
      <c r="G6" s="14" t="str" cm="1">
        <f t="array" ref="G6">IFERROR(IF(ROUNDUP((Client_Margin($C6)*Alloted(G$3,G$2,G$5)/Get_Margin(G$3,G$2,G$5,G$1)),0)*Get_Margin(G$3,G$2,G$5,G$1)&gt;((Client_Margin($C6)*Alloted(G$3,G$2,G$5)/Get_Margin(G$3,G$2,G$5,G$1))*Get_Margin(G$3,G$2,G$5,G$1))*$D$3,ROUNDDOWN((Client_Margin($C6)*Alloted(G$3,G$2,G$5)/Get_Margin(G$3,G$2,G$5,G$1)),0),ROUNDUP((Client_Margin($C6)*Alloted(G$3,G$2,G$5)/Get_Margin(G$3,G$2,G$5,G$1)),0)),"-")</f>
        <v>-</v>
      </c>
      <c r="H6" s="14" cm="1">
        <f t="array" ref="H6">IFERROR(IF(ROUNDUP((Client_Margin($C6)*Alloted(H$3,H$2,H$5)/Get_Margin(H$3,H$2,H$5,H$1)),0)*Get_Margin(H$3,H$2,H$5,H$1)&gt;((Client_Margin($C6)*Alloted(H$3,H$2,H$5)/Get_Margin(H$3,H$2,H$5,H$1))*Get_Margin(H$3,H$2,H$5,H$1))*$D$3,ROUNDDOWN((Client_Margin($C6)*Alloted(H$3,H$2,H$5)/Get_Margin(H$3,H$2,H$5,H$1)),0),ROUNDUP((Client_Margin($C6)*Alloted(H$3,H$2,H$5)/Get_Margin(H$3,H$2,H$5,H$1)),0)),"-")</f>
        <v>11</v>
      </c>
      <c r="I6" s="14" cm="1">
        <f t="array" ref="I6">IFERROR(IF(ROUNDUP((Client_Margin($C6)*Alloted(I$3,I$2,I$5)/Get_Margin(I$3,I$2,I$5,I$1)),0)*Get_Margin(I$3,I$2,I$5,I$1)&gt;((Client_Margin($C6)*Alloted(I$3,I$2,I$5)/Get_Margin(I$3,I$2,I$5,I$1))*Get_Margin(I$3,I$2,I$5,I$1))*$D$3,ROUNDDOWN((Client_Margin($C6)*Alloted(I$3,I$2,I$5)/Get_Margin(I$3,I$2,I$5,I$1)),0),ROUNDUP((Client_Margin($C6)*Alloted(I$3,I$2,I$5)/Get_Margin(I$3,I$2,I$5,I$1)),0)),"-")</f>
        <v>4</v>
      </c>
      <c r="J6" s="14" cm="1">
        <f t="array" ref="J6">IFERROR(IF(ROUNDUP((Client_Margin($C6)*Alloted(J$3,J$2,J$5)/Get_Margin(J$3,J$2,J$5,J$1)),0)*Get_Margin(J$3,J$2,J$5,J$1)&gt;((Client_Margin($C6)*Alloted(J$3,J$2,J$5)/Get_Margin(J$3,J$2,J$5,J$1))*Get_Margin(J$3,J$2,J$5,J$1))*$D$3,ROUNDDOWN((Client_Margin($C6)*Alloted(J$3,J$2,J$5)/Get_Margin(J$3,J$2,J$5,J$1)),0),ROUNDUP((Client_Margin($C6)*Alloted(J$3,J$2,J$5)/Get_Margin(J$3,J$2,J$5,J$1)),0)),"-")</f>
        <v>5</v>
      </c>
      <c r="K6" s="14" cm="1">
        <f t="array" ref="K6">IFERROR(IF(ROUNDUP((Client_Margin($C6)*Alloted(K$3,K$2,K$5)/Get_Margin(K$3,K$2,K$5,K$1)),0)*Get_Margin(K$3,K$2,K$5,K$1)&gt;((Client_Margin($C6)*Alloted(K$3,K$2,K$5)/Get_Margin(K$3,K$2,K$5,K$1))*Get_Margin(K$3,K$2,K$5,K$1))*$D$3,ROUNDDOWN((Client_Margin($C6)*Alloted(K$3,K$2,K$5)/Get_Margin(K$3,K$2,K$5,K$1)),0),ROUNDUP((Client_Margin($C6)*Alloted(K$3,K$2,K$5)/Get_Margin(K$3,K$2,K$5,K$1)),0)),"-")</f>
        <v>0</v>
      </c>
      <c r="L6" s="14" cm="1">
        <f t="array" ref="L6">IFERROR(IF(ROUNDUP((Client_Margin($C6)*Alloted(L$3,L$2,L$5)/Get_Margin(L$3,L$2,L$5,L$1)),0)*Get_Margin(L$3,L$2,L$5,L$1)&gt;((Client_Margin($C6)*Alloted(L$3,L$2,L$5)/Get_Margin(L$3,L$2,L$5,L$1))*Get_Margin(L$3,L$2,L$5,L$1))*$D$3,ROUNDDOWN((Client_Margin($C6)*Alloted(L$3,L$2,L$5)/Get_Margin(L$3,L$2,L$5,L$1)),0),ROUNDUP((Client_Margin($C6)*Alloted(L$3,L$2,L$5)/Get_Margin(L$3,L$2,L$5,L$1)),0)),"-")</f>
        <v>0</v>
      </c>
      <c r="M6" s="14" cm="1">
        <f t="array" ref="M6">IFERROR(IF(ROUNDUP((Client_Margin($C6)*Alloted(M$3,M$2,M$5)/Get_Margin(M$3,M$2,M$5,M$1)),0)*Get_Margin(M$3,M$2,M$5,M$1)&gt;((Client_Margin($C6)*Alloted(M$3,M$2,M$5)/Get_Margin(M$3,M$2,M$5,M$1))*Get_Margin(M$3,M$2,M$5,M$1))*$D$3,ROUNDDOWN((Client_Margin($C6)*Alloted(M$3,M$2,M$5)/Get_Margin(M$3,M$2,M$5,M$1)),0),ROUNDUP((Client_Margin($C6)*Alloted(M$3,M$2,M$5)/Get_Margin(M$3,M$2,M$5,M$1)),0)),"-")</f>
        <v>0</v>
      </c>
    </row>
    <row r="7" spans="1:19" hidden="1" x14ac:dyDescent="0.25">
      <c r="A7">
        <f>_xlfn.XLOOKUP(C7,'OI QTY'!$O$5:$O$21,'OI QTY'!$N$5:$N$21,"")</f>
        <v>0</v>
      </c>
      <c r="B7">
        <f t="shared" ref="B7:B11" si="0">IF(C7="",0,1)</f>
        <v>0</v>
      </c>
      <c r="C7" s="14"/>
      <c r="D7" s="14"/>
      <c r="E7" s="15">
        <f>SUM(F7:M7)</f>
        <v>0.30858666666666668</v>
      </c>
      <c r="F7" s="15" t="str" cm="1">
        <f t="array" ref="F7">IFERROR((_xlfn._xlws.FILTER(INDEX(Margin[],0,MATCH(F$1&amp;"_"&amp;F$3,Margin[#Headers],0)),(Margin[Index]=F$2)*(Margin[Strategy]=F$5))*F6)/Client_Margin($C6),"-")</f>
        <v>-</v>
      </c>
      <c r="G7" s="15" t="str" cm="1">
        <f t="array" ref="G7">IFERROR((_xlfn._xlws.FILTER(INDEX(Margin[],0,MATCH(G$1&amp;"_"&amp;G$3,Margin[#Headers],0)),(Margin[Index]=G$2)*(Margin[Strategy]=G$5))*G6)/Client_Margin($C6),"-")</f>
        <v>-</v>
      </c>
      <c r="H7" s="15" cm="1">
        <f t="array" ref="H7">IFERROR((_xlfn._xlws.FILTER(INDEX(Margin[],0,MATCH(H$1&amp;"_"&amp;H$3,Margin[#Headers],0)),(Margin[Index]=H$2)*(Margin[Strategy]=H$5))*H6)/Client_Margin($C6),"-")</f>
        <v>0.10208</v>
      </c>
      <c r="I7" s="15" cm="1">
        <f t="array" ref="I7">IFERROR((_xlfn._xlws.FILTER(INDEX(Margin[],0,MATCH(I$1&amp;"_"&amp;I$3,Margin[#Headers],0)),(Margin[Index]=I$2)*(Margin[Strategy]=I$5))*I6)/Client_Margin($C6),"-")</f>
        <v>9.9839999999999998E-2</v>
      </c>
      <c r="J7" s="15" cm="1">
        <f t="array" ref="J7">IFERROR((_xlfn._xlws.FILTER(INDEX(Margin[],0,MATCH(J$1&amp;"_"&amp;J$3,Margin[#Headers],0)),(Margin[Index]=J$2)*(Margin[Strategy]=J$5))*J6)/Client_Margin($C6),"-")</f>
        <v>0.10666666666666667</v>
      </c>
      <c r="K7" s="15" cm="1">
        <f t="array" ref="K7">IFERROR((_xlfn._xlws.FILTER(INDEX(Margin[],0,MATCH(K$1&amp;"_"&amp;K$3,Margin[#Headers],0)),(Margin[Index]=K$2)*(Margin[Strategy]=K$5))*K6)/Client_Margin($C6),"-")</f>
        <v>0</v>
      </c>
      <c r="L7" s="15" cm="1">
        <f t="array" ref="L7">IFERROR((_xlfn._xlws.FILTER(INDEX(Margin[],0,MATCH(L$1&amp;"_"&amp;L$3,Margin[#Headers],0)),(Margin[Index]=L$2)*(Margin[Strategy]=L$5))*L6)/Client_Margin($C6),"-")</f>
        <v>0</v>
      </c>
      <c r="M7" s="15" cm="1">
        <f t="array" ref="M7">IFERROR((_xlfn._xlws.FILTER(INDEX(Margin[],0,MATCH(M$1&amp;"_"&amp;M$3,Margin[#Headers],0)),(Margin[Index]=M$2)*(Margin[Strategy]=M$5))*M6)/Client_Margin($C6),"-")</f>
        <v>0</v>
      </c>
    </row>
    <row r="8" spans="1:19" hidden="1" x14ac:dyDescent="0.25">
      <c r="A8" t="str">
        <f>_xlfn.XLOOKUP(C8,'OI QTY'!$O$5:$O$21,'OI QTY'!$N$5:$N$21,"")</f>
        <v/>
      </c>
      <c r="B8">
        <f t="shared" si="0"/>
        <v>1</v>
      </c>
      <c r="C8" s="14" t="s">
        <v>46</v>
      </c>
      <c r="D8" s="14" cm="1">
        <f t="array" ref="D8">(_xlfn._xlws.FILTER(Fund[Margin],Fund[Client Id]=C8))/10000000</f>
        <v>6.8</v>
      </c>
      <c r="E8" s="17"/>
      <c r="F8" s="14" t="str" cm="1">
        <f t="array" ref="F8">IFERROR(IF(ROUNDUP((Client_Margin($C8)*Alloted(F$3,F$2,F$5)/Get_Margin(F$3,F$2,F$5,F$1)),0)*Get_Margin(F$3,F$2,F$5,F$1)&gt;((Client_Margin($C8)*Alloted(F$3,F$2,F$5)/Get_Margin(F$3,F$2,F$5,F$1))*Get_Margin(F$3,F$2,F$5,F$1))*$D$3,ROUNDDOWN((Client_Margin($C8)*Alloted(F$3,F$2,F$5)/Get_Margin(F$3,F$2,F$5,F$1)),0),ROUNDUP((Client_Margin($C8)*Alloted(F$3,F$2,F$5)/Get_Margin(F$3,F$2,F$5,F$1)),0)),"-")</f>
        <v>-</v>
      </c>
      <c r="G8" s="14" t="str" cm="1">
        <f t="array" ref="G8">IFERROR(IF(ROUNDUP((Client_Margin($C8)*Alloted(G$3,G$2,G$5)/Get_Margin(G$3,G$2,G$5,G$1)),0)*Get_Margin(G$3,G$2,G$5,G$1)&gt;((Client_Margin($C8)*Alloted(G$3,G$2,G$5)/Get_Margin(G$3,G$2,G$5,G$1))*Get_Margin(G$3,G$2,G$5,G$1))*$D$3,ROUNDDOWN((Client_Margin($C8)*Alloted(G$3,G$2,G$5)/Get_Margin(G$3,G$2,G$5,G$1)),0),ROUNDUP((Client_Margin($C8)*Alloted(G$3,G$2,G$5)/Get_Margin(G$3,G$2,G$5,G$1)),0)),"-")</f>
        <v>-</v>
      </c>
      <c r="H8" s="14" cm="1">
        <f t="array" ref="H8">IFERROR(IF(ROUNDUP((Client_Margin($C8)*Alloted(H$3,H$2,H$5)/Get_Margin(H$3,H$2,H$5,H$1)),0)*Get_Margin(H$3,H$2,H$5,H$1)&gt;((Client_Margin($C8)*Alloted(H$3,H$2,H$5)/Get_Margin(H$3,H$2,H$5,H$1))*Get_Margin(H$3,H$2,H$5,H$1))*$D$3,ROUNDDOWN((Client_Margin($C8)*Alloted(H$3,H$2,H$5)/Get_Margin(H$3,H$2,H$5,H$1)),0),ROUNDUP((Client_Margin($C8)*Alloted(H$3,H$2,H$5)/Get_Margin(H$3,H$2,H$5,H$1)),0)),"-")</f>
        <v>10</v>
      </c>
      <c r="I8" s="14" cm="1">
        <f t="array" ref="I8">IFERROR(IF(ROUNDUP((Client_Margin($C8)*Alloted(I$3,I$2,I$5)/Get_Margin(I$3,I$2,I$5,I$1)),0)*Get_Margin(I$3,I$2,I$5,I$1)&gt;((Client_Margin($C8)*Alloted(I$3,I$2,I$5)/Get_Margin(I$3,I$2,I$5,I$1))*Get_Margin(I$3,I$2,I$5,I$1))*$D$3,ROUNDDOWN((Client_Margin($C8)*Alloted(I$3,I$2,I$5)/Get_Margin(I$3,I$2,I$5,I$1)),0),ROUNDUP((Client_Margin($C8)*Alloted(I$3,I$2,I$5)/Get_Margin(I$3,I$2,I$5,I$1)),0)),"-")</f>
        <v>4</v>
      </c>
      <c r="J8" s="14" cm="1">
        <f t="array" ref="J8">IFERROR(IF(ROUNDUP((Client_Margin($C8)*Alloted(J$3,J$2,J$5)/Get_Margin(J$3,J$2,J$5,J$1)),0)*Get_Margin(J$3,J$2,J$5,J$1)&gt;((Client_Margin($C8)*Alloted(J$3,J$2,J$5)/Get_Margin(J$3,J$2,J$5,J$1))*Get_Margin(J$3,J$2,J$5,J$1))*$D$3,ROUNDDOWN((Client_Margin($C8)*Alloted(J$3,J$2,J$5)/Get_Margin(J$3,J$2,J$5,J$1)),0),ROUNDUP((Client_Margin($C8)*Alloted(J$3,J$2,J$5)/Get_Margin(J$3,J$2,J$5,J$1)),0)),"-")</f>
        <v>4</v>
      </c>
      <c r="K8" s="14" cm="1">
        <f t="array" ref="K8">IFERROR(IF(ROUNDUP((Client_Margin($C8)*Alloted(K$3,K$2,K$5)/Get_Margin(K$3,K$2,K$5,K$1)),0)*Get_Margin(K$3,K$2,K$5,K$1)&gt;((Client_Margin($C8)*Alloted(K$3,K$2,K$5)/Get_Margin(K$3,K$2,K$5,K$1))*Get_Margin(K$3,K$2,K$5,K$1))*$D$3,ROUNDDOWN((Client_Margin($C8)*Alloted(K$3,K$2,K$5)/Get_Margin(K$3,K$2,K$5,K$1)),0),ROUNDUP((Client_Margin($C8)*Alloted(K$3,K$2,K$5)/Get_Margin(K$3,K$2,K$5,K$1)),0)),"-")</f>
        <v>0</v>
      </c>
      <c r="L8" s="14" cm="1">
        <f t="array" ref="L8">IFERROR(IF(ROUNDUP((Client_Margin($C8)*Alloted(L$3,L$2,L$5)/Get_Margin(L$3,L$2,L$5,L$1)),0)*Get_Margin(L$3,L$2,L$5,L$1)&gt;((Client_Margin($C8)*Alloted(L$3,L$2,L$5)/Get_Margin(L$3,L$2,L$5,L$1))*Get_Margin(L$3,L$2,L$5,L$1))*$D$3,ROUNDDOWN((Client_Margin($C8)*Alloted(L$3,L$2,L$5)/Get_Margin(L$3,L$2,L$5,L$1)),0),ROUNDUP((Client_Margin($C8)*Alloted(L$3,L$2,L$5)/Get_Margin(L$3,L$2,L$5,L$1)),0)),"-")</f>
        <v>0</v>
      </c>
      <c r="M8" s="14" cm="1">
        <f t="array" ref="M8">IFERROR(IF(ROUNDUP((Client_Margin($C8)*Alloted(M$3,M$2,M$5)/Get_Margin(M$3,M$2,M$5,M$1)),0)*Get_Margin(M$3,M$2,M$5,M$1)&gt;((Client_Margin($C8)*Alloted(M$3,M$2,M$5)/Get_Margin(M$3,M$2,M$5,M$1))*Get_Margin(M$3,M$2,M$5,M$1))*$D$3,ROUNDDOWN((Client_Margin($C8)*Alloted(M$3,M$2,M$5)/Get_Margin(M$3,M$2,M$5,M$1)),0),ROUNDUP((Client_Margin($C8)*Alloted(M$3,M$2,M$5)/Get_Margin(M$3,M$2,M$5,M$1)),0)),"-")</f>
        <v>0</v>
      </c>
    </row>
    <row r="9" spans="1:19" hidden="1" x14ac:dyDescent="0.25">
      <c r="A9">
        <f>_xlfn.XLOOKUP(C9,'OI QTY'!$O$5:$O$21,'OI QTY'!$N$5:$N$21,"")</f>
        <v>0</v>
      </c>
      <c r="B9">
        <f t="shared" si="0"/>
        <v>0</v>
      </c>
      <c r="C9" s="14"/>
      <c r="D9" s="14"/>
      <c r="E9" s="15">
        <f>SUM(F9:M9)</f>
        <v>0.30658823529411766</v>
      </c>
      <c r="F9" s="15" t="str" cm="1">
        <f t="array" ref="F9">IFERROR((_xlfn._xlws.FILTER(INDEX(Margin[],0,MATCH(F$1&amp;"_"&amp;F$3,Margin[#Headers],0)),(Margin[Index]=F$2)*(Margin[Strategy]=F$5))*F8)/Client_Margin($C8),"-")</f>
        <v>-</v>
      </c>
      <c r="G9" s="15" t="str" cm="1">
        <f t="array" ref="G9">IFERROR((_xlfn._xlws.FILTER(INDEX(Margin[],0,MATCH(G$1&amp;"_"&amp;G$3,Margin[#Headers],0)),(Margin[Index]=G$2)*(Margin[Strategy]=G$5))*G8)/Client_Margin($C8),"-")</f>
        <v>-</v>
      </c>
      <c r="H9" s="15" cm="1">
        <f t="array" ref="H9">IFERROR((_xlfn._xlws.FILTER(INDEX(Margin[],0,MATCH(H$1&amp;"_"&amp;H$3,Margin[#Headers],0)),(Margin[Index]=H$2)*(Margin[Strategy]=H$5))*H8)/Client_Margin($C8),"-")</f>
        <v>0.10235294117647059</v>
      </c>
      <c r="I9" s="15" cm="1">
        <f t="array" ref="I9">IFERROR((_xlfn._xlws.FILTER(INDEX(Margin[],0,MATCH(I$1&amp;"_"&amp;I$3,Margin[#Headers],0)),(Margin[Index]=I$2)*(Margin[Strategy]=I$5))*I8)/Client_Margin($C8),"-")</f>
        <v>0.11011764705882353</v>
      </c>
      <c r="J9" s="15" cm="1">
        <f t="array" ref="J9">IFERROR((_xlfn._xlws.FILTER(INDEX(Margin[],0,MATCH(J$1&amp;"_"&amp;J$3,Margin[#Headers],0)),(Margin[Index]=J$2)*(Margin[Strategy]=J$5))*J8)/Client_Margin($C8),"-")</f>
        <v>9.4117647058823528E-2</v>
      </c>
      <c r="K9" s="15" cm="1">
        <f t="array" ref="K9">IFERROR((_xlfn._xlws.FILTER(INDEX(Margin[],0,MATCH(K$1&amp;"_"&amp;K$3,Margin[#Headers],0)),(Margin[Index]=K$2)*(Margin[Strategy]=K$5))*K8)/Client_Margin($C8),"-")</f>
        <v>0</v>
      </c>
      <c r="L9" s="15" cm="1">
        <f t="array" ref="L9">IFERROR((_xlfn._xlws.FILTER(INDEX(Margin[],0,MATCH(L$1&amp;"_"&amp;L$3,Margin[#Headers],0)),(Margin[Index]=L$2)*(Margin[Strategy]=L$5))*L8)/Client_Margin($C8),"-")</f>
        <v>0</v>
      </c>
      <c r="M9" s="15" cm="1">
        <f t="array" ref="M9">IFERROR((_xlfn._xlws.FILTER(INDEX(Margin[],0,MATCH(M$1&amp;"_"&amp;M$3,Margin[#Headers],0)),(Margin[Index]=M$2)*(Margin[Strategy]=M$5))*M8)/Client_Margin($C8),"-")</f>
        <v>0</v>
      </c>
    </row>
    <row r="10" spans="1:19" x14ac:dyDescent="0.25">
      <c r="A10" t="str">
        <f>_xlfn.XLOOKUP(C10,'OI QTY'!$O$5:$O$21,'OI QTY'!$N$5:$N$21,"")</f>
        <v>M</v>
      </c>
      <c r="B10">
        <f t="shared" si="0"/>
        <v>1</v>
      </c>
      <c r="C10" s="14" t="s">
        <v>127</v>
      </c>
      <c r="D10" s="14" cm="1">
        <f t="array" ref="D10">(_xlfn._xlws.FILTER(Fund[Margin],Fund[Client Id]=C10))/10000000</f>
        <v>4.5999999999999996</v>
      </c>
      <c r="E10" s="17"/>
      <c r="F10" s="14" t="str" cm="1">
        <f t="array" ref="F10">IFERROR(IF(ROUNDUP((Client_Margin($C10)*Alloted(F$3,F$2,F$5)/Get_Margin(F$3,F$2,F$5,F$1)),0)*Get_Margin(F$3,F$2,F$5,F$1)&gt;((Client_Margin($C10)*Alloted(F$3,F$2,F$5)/Get_Margin(F$3,F$2,F$5,F$1))*Get_Margin(F$3,F$2,F$5,F$1))*$D$3,ROUNDDOWN((Client_Margin($C10)*Alloted(F$3,F$2,F$5)/Get_Margin(F$3,F$2,F$5,F$1)),0),ROUNDUP((Client_Margin($C10)*Alloted(F$3,F$2,F$5)/Get_Margin(F$3,F$2,F$5,F$1)),0)),"-")</f>
        <v>-</v>
      </c>
      <c r="G10" s="14" t="str" cm="1">
        <f t="array" ref="G10">IFERROR(IF(ROUNDUP((Client_Margin($C10)*Alloted(G$3,G$2,G$5)/Get_Margin(G$3,G$2,G$5,G$1)),0)*Get_Margin(G$3,G$2,G$5,G$1)&gt;((Client_Margin($C10)*Alloted(G$3,G$2,G$5)/Get_Margin(G$3,G$2,G$5,G$1))*Get_Margin(G$3,G$2,G$5,G$1))*$D$3,ROUNDDOWN((Client_Margin($C10)*Alloted(G$3,G$2,G$5)/Get_Margin(G$3,G$2,G$5,G$1)),0),ROUNDUP((Client_Margin($C10)*Alloted(G$3,G$2,G$5)/Get_Margin(G$3,G$2,G$5,G$1)),0)),"-")</f>
        <v>-</v>
      </c>
      <c r="H10" s="14" cm="1">
        <f t="array" ref="H10">IFERROR(IF(ROUNDUP((Client_Margin($C10)*Alloted(H$3,H$2,H$5)/Get_Margin(H$3,H$2,H$5,H$1)),0)*Get_Margin(H$3,H$2,H$5,H$1)&gt;((Client_Margin($C10)*Alloted(H$3,H$2,H$5)/Get_Margin(H$3,H$2,H$5,H$1))*Get_Margin(H$3,H$2,H$5,H$1))*$D$3,ROUNDDOWN((Client_Margin($C10)*Alloted(H$3,H$2,H$5)/Get_Margin(H$3,H$2,H$5,H$1)),0),ROUNDUP((Client_Margin($C10)*Alloted(H$3,H$2,H$5)/Get_Margin(H$3,H$2,H$5,H$1)),0)),"-")</f>
        <v>7</v>
      </c>
      <c r="I10" s="14" cm="1">
        <f t="array" ref="I10">IFERROR(IF(ROUNDUP((Client_Margin($C10)*Alloted(I$3,I$2,I$5)/Get_Margin(I$3,I$2,I$5,I$1)),0)*Get_Margin(I$3,I$2,I$5,I$1)&gt;((Client_Margin($C10)*Alloted(I$3,I$2,I$5)/Get_Margin(I$3,I$2,I$5,I$1))*Get_Margin(I$3,I$2,I$5,I$1))*$D$3,ROUNDDOWN((Client_Margin($C10)*Alloted(I$3,I$2,I$5)/Get_Margin(I$3,I$2,I$5,I$1)),0),ROUNDUP((Client_Margin($C10)*Alloted(I$3,I$2,I$5)/Get_Margin(I$3,I$2,I$5,I$1)),0)),"-")</f>
        <v>2</v>
      </c>
      <c r="J10" s="14" cm="1">
        <f t="array" ref="J10">IFERROR(IF(ROUNDUP((Client_Margin($C10)*Alloted(J$3,J$2,J$5)/Get_Margin(J$3,J$2,J$5,J$1)),0)*Get_Margin(J$3,J$2,J$5,J$1)&gt;((Client_Margin($C10)*Alloted(J$3,J$2,J$5)/Get_Margin(J$3,J$2,J$5,J$1))*Get_Margin(J$3,J$2,J$5,J$1))*$D$3,ROUNDDOWN((Client_Margin($C10)*Alloted(J$3,J$2,J$5)/Get_Margin(J$3,J$2,J$5,J$1)),0),ROUNDUP((Client_Margin($C10)*Alloted(J$3,J$2,J$5)/Get_Margin(J$3,J$2,J$5,J$1)),0)),"-")</f>
        <v>3</v>
      </c>
      <c r="K10" s="14" cm="1">
        <f t="array" ref="K10">IFERROR(IF(ROUNDUP((Client_Margin($C10)*Alloted(K$3,K$2,K$5)/Get_Margin(K$3,K$2,K$5,K$1)),0)*Get_Margin(K$3,K$2,K$5,K$1)&gt;((Client_Margin($C10)*Alloted(K$3,K$2,K$5)/Get_Margin(K$3,K$2,K$5,K$1))*Get_Margin(K$3,K$2,K$5,K$1))*$D$3,ROUNDDOWN((Client_Margin($C10)*Alloted(K$3,K$2,K$5)/Get_Margin(K$3,K$2,K$5,K$1)),0),ROUNDUP((Client_Margin($C10)*Alloted(K$3,K$2,K$5)/Get_Margin(K$3,K$2,K$5,K$1)),0)),"-")</f>
        <v>0</v>
      </c>
      <c r="L10" s="14" cm="1">
        <f t="array" ref="L10">IFERROR(IF(ROUNDUP((Client_Margin($C10)*Alloted(L$3,L$2,L$5)/Get_Margin(L$3,L$2,L$5,L$1)),0)*Get_Margin(L$3,L$2,L$5,L$1)&gt;((Client_Margin($C10)*Alloted(L$3,L$2,L$5)/Get_Margin(L$3,L$2,L$5,L$1))*Get_Margin(L$3,L$2,L$5,L$1))*$D$3,ROUNDDOWN((Client_Margin($C10)*Alloted(L$3,L$2,L$5)/Get_Margin(L$3,L$2,L$5,L$1)),0),ROUNDUP((Client_Margin($C10)*Alloted(L$3,L$2,L$5)/Get_Margin(L$3,L$2,L$5,L$1)),0)),"-")</f>
        <v>0</v>
      </c>
      <c r="M10" s="14" cm="1">
        <f t="array" ref="M10">IFERROR(IF(ROUNDUP((Client_Margin($C10)*Alloted(M$3,M$2,M$5)/Get_Margin(M$3,M$2,M$5,M$1)),0)*Get_Margin(M$3,M$2,M$5,M$1)&gt;((Client_Margin($C10)*Alloted(M$3,M$2,M$5)/Get_Margin(M$3,M$2,M$5,M$1))*Get_Margin(M$3,M$2,M$5,M$1))*$D$3,ROUNDDOWN((Client_Margin($C10)*Alloted(M$3,M$2,M$5)/Get_Margin(M$3,M$2,M$5,M$1)),0),ROUNDUP((Client_Margin($C10)*Alloted(M$3,M$2,M$5)/Get_Margin(M$3,M$2,M$5,M$1)),0)),"-")</f>
        <v>0</v>
      </c>
    </row>
    <row r="11" spans="1:19" hidden="1" x14ac:dyDescent="0.25">
      <c r="A11">
        <f>_xlfn.XLOOKUP(C11,'OI QTY'!$O$5:$O$21,'OI QTY'!$N$5:$N$21,"")</f>
        <v>0</v>
      </c>
      <c r="B11">
        <f t="shared" si="0"/>
        <v>0</v>
      </c>
      <c r="C11" s="14"/>
      <c r="D11" s="14"/>
      <c r="E11" s="15">
        <f>SUM(F11:M11)</f>
        <v>0.29165217391304349</v>
      </c>
      <c r="F11" s="15" t="str" cm="1">
        <f t="array" ref="F11">IFERROR((_xlfn._xlws.FILTER(INDEX(Margin[],0,MATCH(F$1&amp;"_"&amp;F$3,Margin[#Headers],0)),(Margin[Index]=F$2)*(Margin[Strategy]=F$5))*F10)/Client_Margin($C10),"-")</f>
        <v>-</v>
      </c>
      <c r="G11" s="15" t="str" cm="1">
        <f t="array" ref="G11">IFERROR((_xlfn._xlws.FILTER(INDEX(Margin[],0,MATCH(G$1&amp;"_"&amp;G$3,Margin[#Headers],0)),(Margin[Index]=G$2)*(Margin[Strategy]=G$5))*G10)/Client_Margin($C10),"-")</f>
        <v>-</v>
      </c>
      <c r="H11" s="15" cm="1">
        <f t="array" ref="H11">IFERROR((_xlfn._xlws.FILTER(INDEX(Margin[],0,MATCH(H$1&amp;"_"&amp;H$3,Margin[#Headers],0)),(Margin[Index]=H$2)*(Margin[Strategy]=H$5))*H10)/Client_Margin($C10),"-")</f>
        <v>0.10591304347826087</v>
      </c>
      <c r="I11" s="15" cm="1">
        <f t="array" ref="I11">IFERROR((_xlfn._xlws.FILTER(INDEX(Margin[],0,MATCH(I$1&amp;"_"&amp;I$3,Margin[#Headers],0)),(Margin[Index]=I$2)*(Margin[Strategy]=I$5))*I10)/Client_Margin($C10),"-")</f>
        <v>8.1391304347826085E-2</v>
      </c>
      <c r="J11" s="15" cm="1">
        <f t="array" ref="J11">IFERROR((_xlfn._xlws.FILTER(INDEX(Margin[],0,MATCH(J$1&amp;"_"&amp;J$3,Margin[#Headers],0)),(Margin[Index]=J$2)*(Margin[Strategy]=J$5))*J10)/Client_Margin($C10),"-")</f>
        <v>0.10434782608695652</v>
      </c>
      <c r="K11" s="15" cm="1">
        <f t="array" ref="K11">IFERROR((_xlfn._xlws.FILTER(INDEX(Margin[],0,MATCH(K$1&amp;"_"&amp;K$3,Margin[#Headers],0)),(Margin[Index]=K$2)*(Margin[Strategy]=K$5))*K10)/Client_Margin($C10),"-")</f>
        <v>0</v>
      </c>
      <c r="L11" s="15" cm="1">
        <f t="array" ref="L11">IFERROR((_xlfn._xlws.FILTER(INDEX(Margin[],0,MATCH(L$1&amp;"_"&amp;L$3,Margin[#Headers],0)),(Margin[Index]=L$2)*(Margin[Strategy]=L$5))*L10)/Client_Margin($C10),"-")</f>
        <v>0</v>
      </c>
      <c r="M11" s="15" cm="1">
        <f t="array" ref="M11">IFERROR((_xlfn._xlws.FILTER(INDEX(Margin[],0,MATCH(M$1&amp;"_"&amp;M$3,Margin[#Headers],0)),(Margin[Index]=M$2)*(Margin[Strategy]=M$5))*M10)/Client_Margin($C10),"-")</f>
        <v>0</v>
      </c>
    </row>
    <row r="12" spans="1:19" x14ac:dyDescent="0.25">
      <c r="A12" t="str">
        <f>_xlfn.XLOOKUP(C12,'OI QTY'!$O$5:$O$21,'OI QTY'!$N$5:$N$21,"")</f>
        <v>M</v>
      </c>
      <c r="B12">
        <f>IF(C12="",0,1)</f>
        <v>1</v>
      </c>
      <c r="C12" s="14" t="s">
        <v>112</v>
      </c>
      <c r="D12" s="14" cm="1">
        <f t="array" ref="D12">(_xlfn._xlws.FILTER(Fund[Margin],Fund[Client Id]=C12))/10000000</f>
        <v>7</v>
      </c>
      <c r="E12" s="17"/>
      <c r="F12" s="14" t="str" cm="1">
        <f t="array" ref="F12">IFERROR(IF(ROUNDUP((Client_Margin($C12)*Alloted(F$3,F$2,F$5)/Get_Margin(F$3,F$2,F$5,F$1)),0)*Get_Margin(F$3,F$2,F$5,F$1)&gt;((Client_Margin($C12)*Alloted(F$3,F$2,F$5)/Get_Margin(F$3,F$2,F$5,F$1))*Get_Margin(F$3,F$2,F$5,F$1))*$D$3,ROUNDDOWN((Client_Margin($C12)*Alloted(F$3,F$2,F$5)/Get_Margin(F$3,F$2,F$5,F$1)),0),ROUNDUP((Client_Margin($C12)*Alloted(F$3,F$2,F$5)/Get_Margin(F$3,F$2,F$5,F$1)),0)),"-")</f>
        <v>-</v>
      </c>
      <c r="G12" s="14" t="str" cm="1">
        <f t="array" ref="G12">IFERROR(IF(ROUNDUP((Client_Margin($C12)*Alloted(G$3,G$2,G$5)/Get_Margin(G$3,G$2,G$5,G$1)),0)*Get_Margin(G$3,G$2,G$5,G$1)&gt;((Client_Margin($C12)*Alloted(G$3,G$2,G$5)/Get_Margin(G$3,G$2,G$5,G$1))*Get_Margin(G$3,G$2,G$5,G$1))*$D$3,ROUNDDOWN((Client_Margin($C12)*Alloted(G$3,G$2,G$5)/Get_Margin(G$3,G$2,G$5,G$1)),0),ROUNDUP((Client_Margin($C12)*Alloted(G$3,G$2,G$5)/Get_Margin(G$3,G$2,G$5,G$1)),0)),"-")</f>
        <v>-</v>
      </c>
      <c r="H12" s="14" cm="1">
        <f t="array" ref="H12">IFERROR(IF(ROUNDUP((Client_Margin($C12)*Alloted(H$3,H$2,H$5)/Get_Margin(H$3,H$2,H$5,H$1)),0)*Get_Margin(H$3,H$2,H$5,H$1)&gt;((Client_Margin($C12)*Alloted(H$3,H$2,H$5)/Get_Margin(H$3,H$2,H$5,H$1))*Get_Margin(H$3,H$2,H$5,H$1))*$D$3,ROUNDDOWN((Client_Margin($C12)*Alloted(H$3,H$2,H$5)/Get_Margin(H$3,H$2,H$5,H$1)),0),ROUNDUP((Client_Margin($C12)*Alloted(H$3,H$2,H$5)/Get_Margin(H$3,H$2,H$5,H$1)),0)),"-")</f>
        <v>11</v>
      </c>
      <c r="I12" s="14" cm="1">
        <f t="array" ref="I12">IFERROR(IF(ROUNDUP((Client_Margin($C12)*Alloted(I$3,I$2,I$5)/Get_Margin(I$3,I$2,I$5,I$1)),0)*Get_Margin(I$3,I$2,I$5,I$1)&gt;((Client_Margin($C12)*Alloted(I$3,I$2,I$5)/Get_Margin(I$3,I$2,I$5,I$1))*Get_Margin(I$3,I$2,I$5,I$1))*$D$3,ROUNDDOWN((Client_Margin($C12)*Alloted(I$3,I$2,I$5)/Get_Margin(I$3,I$2,I$5,I$1)),0),ROUNDUP((Client_Margin($C12)*Alloted(I$3,I$2,I$5)/Get_Margin(I$3,I$2,I$5,I$1)),0)),"-")</f>
        <v>4</v>
      </c>
      <c r="J12" s="14" cm="1">
        <f t="array" ref="J12">IFERROR(IF(ROUNDUP((Client_Margin($C12)*Alloted(J$3,J$2,J$5)/Get_Margin(J$3,J$2,J$5,J$1)),0)*Get_Margin(J$3,J$2,J$5,J$1)&gt;((Client_Margin($C12)*Alloted(J$3,J$2,J$5)/Get_Margin(J$3,J$2,J$5,J$1))*Get_Margin(J$3,J$2,J$5,J$1))*$D$3,ROUNDDOWN((Client_Margin($C12)*Alloted(J$3,J$2,J$5)/Get_Margin(J$3,J$2,J$5,J$1)),0),ROUNDUP((Client_Margin($C12)*Alloted(J$3,J$2,J$5)/Get_Margin(J$3,J$2,J$5,J$1)),0)),"-")</f>
        <v>5</v>
      </c>
      <c r="K12" s="14" cm="1">
        <f t="array" ref="K12">IFERROR(IF(ROUNDUP((Client_Margin($C12)*Alloted(K$3,K$2,K$5)/Get_Margin(K$3,K$2,K$5,K$1)),0)*Get_Margin(K$3,K$2,K$5,K$1)&gt;((Client_Margin($C12)*Alloted(K$3,K$2,K$5)/Get_Margin(K$3,K$2,K$5,K$1))*Get_Margin(K$3,K$2,K$5,K$1))*$D$3,ROUNDDOWN((Client_Margin($C12)*Alloted(K$3,K$2,K$5)/Get_Margin(K$3,K$2,K$5,K$1)),0),ROUNDUP((Client_Margin($C12)*Alloted(K$3,K$2,K$5)/Get_Margin(K$3,K$2,K$5,K$1)),0)),"-")</f>
        <v>0</v>
      </c>
      <c r="L12" s="14" cm="1">
        <f t="array" ref="L12">IFERROR(IF(ROUNDUP((Client_Margin($C12)*Alloted(L$3,L$2,L$5)/Get_Margin(L$3,L$2,L$5,L$1)),0)*Get_Margin(L$3,L$2,L$5,L$1)&gt;((Client_Margin($C12)*Alloted(L$3,L$2,L$5)/Get_Margin(L$3,L$2,L$5,L$1))*Get_Margin(L$3,L$2,L$5,L$1))*$D$3,ROUNDDOWN((Client_Margin($C12)*Alloted(L$3,L$2,L$5)/Get_Margin(L$3,L$2,L$5,L$1)),0),ROUNDUP((Client_Margin($C12)*Alloted(L$3,L$2,L$5)/Get_Margin(L$3,L$2,L$5,L$1)),0)),"-")</f>
        <v>0</v>
      </c>
      <c r="M12" s="14" cm="1">
        <f t="array" ref="M12">IFERROR(IF(ROUNDUP((Client_Margin($C12)*Alloted(M$3,M$2,M$5)/Get_Margin(M$3,M$2,M$5,M$1)),0)*Get_Margin(M$3,M$2,M$5,M$1)&gt;((Client_Margin($C12)*Alloted(M$3,M$2,M$5)/Get_Margin(M$3,M$2,M$5,M$1))*Get_Margin(M$3,M$2,M$5,M$1))*$D$3,ROUNDDOWN((Client_Margin($C12)*Alloted(M$3,M$2,M$5)/Get_Margin(M$3,M$2,M$5,M$1)),0),ROUNDUP((Client_Margin($C12)*Alloted(M$3,M$2,M$5)/Get_Margin(M$3,M$2,M$5,M$1)),0)),"-")</f>
        <v>0</v>
      </c>
    </row>
    <row r="13" spans="1:19" hidden="1" x14ac:dyDescent="0.25">
      <c r="A13">
        <f>_xlfn.XLOOKUP(C13,'OI QTY'!$O$5:$O$21,'OI QTY'!$N$5:$N$21,"")</f>
        <v>0</v>
      </c>
      <c r="B13">
        <f>IF(C13="",0,1)</f>
        <v>0</v>
      </c>
      <c r="C13" s="14"/>
      <c r="D13" s="14"/>
      <c r="E13" s="15">
        <f>SUM(F13:M13)</f>
        <v>0.33062857142857144</v>
      </c>
      <c r="F13" s="15" t="str" cm="1">
        <f t="array" ref="F13">IFERROR((_xlfn._xlws.FILTER(INDEX(Margin[],0,MATCH(F$1&amp;"_"&amp;F$3,Margin[#Headers],0)),(Margin[Index]=F$2)*(Margin[Strategy]=F$5))*F12)/Client_Margin($C12),"-")</f>
        <v>-</v>
      </c>
      <c r="G13" s="15" t="str" cm="1">
        <f t="array" ref="G13">IFERROR((_xlfn._xlws.FILTER(INDEX(Margin[],0,MATCH(G$1&amp;"_"&amp;G$3,Margin[#Headers],0)),(Margin[Index]=G$2)*(Margin[Strategy]=G$5))*G12)/Client_Margin($C12),"-")</f>
        <v>-</v>
      </c>
      <c r="H13" s="15" cm="1">
        <f t="array" ref="H13">IFERROR((_xlfn._xlws.FILTER(INDEX(Margin[],0,MATCH(H$1&amp;"_"&amp;H$3,Margin[#Headers],0)),(Margin[Index]=H$2)*(Margin[Strategy]=H$5))*H12)/Client_Margin($C12),"-")</f>
        <v>0.10937142857142858</v>
      </c>
      <c r="I13" s="15" cm="1">
        <f t="array" ref="I13">IFERROR((_xlfn._xlws.FILTER(INDEX(Margin[],0,MATCH(I$1&amp;"_"&amp;I$3,Margin[#Headers],0)),(Margin[Index]=I$2)*(Margin[Strategy]=I$5))*I12)/Client_Margin($C12),"-")</f>
        <v>0.10697142857142856</v>
      </c>
      <c r="J13" s="15" cm="1">
        <f t="array" ref="J13">IFERROR((_xlfn._xlws.FILTER(INDEX(Margin[],0,MATCH(J$1&amp;"_"&amp;J$3,Margin[#Headers],0)),(Margin[Index]=J$2)*(Margin[Strategy]=J$5))*J12)/Client_Margin($C12),"-")</f>
        <v>0.11428571428571428</v>
      </c>
      <c r="K13" s="15" cm="1">
        <f t="array" ref="K13">IFERROR((_xlfn._xlws.FILTER(INDEX(Margin[],0,MATCH(K$1&amp;"_"&amp;K$3,Margin[#Headers],0)),(Margin[Index]=K$2)*(Margin[Strategy]=K$5))*K12)/Client_Margin($C12),"-")</f>
        <v>0</v>
      </c>
      <c r="L13" s="15" cm="1">
        <f t="array" ref="L13">IFERROR((_xlfn._xlws.FILTER(INDEX(Margin[],0,MATCH(L$1&amp;"_"&amp;L$3,Margin[#Headers],0)),(Margin[Index]=L$2)*(Margin[Strategy]=L$5))*L12)/Client_Margin($C12),"-")</f>
        <v>0</v>
      </c>
      <c r="M13" s="15" cm="1">
        <f t="array" ref="M13">IFERROR((_xlfn._xlws.FILTER(INDEX(Margin[],0,MATCH(M$1&amp;"_"&amp;M$3,Margin[#Headers],0)),(Margin[Index]=M$2)*(Margin[Strategy]=M$5))*M12)/Client_Margin($C12),"-")</f>
        <v>0</v>
      </c>
    </row>
    <row r="14" spans="1:19" x14ac:dyDescent="0.25">
      <c r="A14" t="str">
        <f>_xlfn.XLOOKUP(C14,'OI QTY'!$O$5:$O$21,'OI QTY'!$N$5:$N$21,"")</f>
        <v>M</v>
      </c>
      <c r="B14">
        <f t="shared" ref="B14:B15" si="1">IF(C14="",0,1)</f>
        <v>1</v>
      </c>
      <c r="C14" s="14" t="s">
        <v>123</v>
      </c>
      <c r="D14" s="14" cm="1">
        <f t="array" ref="D14">(_xlfn._xlws.FILTER(Fund[Margin],Fund[Client Id]=C14))/10000000</f>
        <v>4</v>
      </c>
      <c r="E14" s="17"/>
      <c r="F14" s="14" t="str" cm="1">
        <f t="array" ref="F14">IFERROR(IF(ROUNDUP((Client_Margin($C14)*Alloted(F$3,F$2,F$5)/Get_Margin(F$3,F$2,F$5,F$1)),0)*Get_Margin(F$3,F$2,F$5,F$1)&gt;((Client_Margin($C14)*Alloted(F$3,F$2,F$5)/Get_Margin(F$3,F$2,F$5,F$1))*Get_Margin(F$3,F$2,F$5,F$1))*$D$3,ROUNDDOWN((Client_Margin($C14)*Alloted(F$3,F$2,F$5)/Get_Margin(F$3,F$2,F$5,F$1)),0),ROUNDUP((Client_Margin($C14)*Alloted(F$3,F$2,F$5)/Get_Margin(F$3,F$2,F$5,F$1)),0)),"-")</f>
        <v>-</v>
      </c>
      <c r="G14" s="14" t="str" cm="1">
        <f t="array" ref="G14">IFERROR(IF(ROUNDUP((Client_Margin($C14)*Alloted(G$3,G$2,G$5)/Get_Margin(G$3,G$2,G$5,G$1)),0)*Get_Margin(G$3,G$2,G$5,G$1)&gt;((Client_Margin($C14)*Alloted(G$3,G$2,G$5)/Get_Margin(G$3,G$2,G$5,G$1))*Get_Margin(G$3,G$2,G$5,G$1))*$D$3,ROUNDDOWN((Client_Margin($C14)*Alloted(G$3,G$2,G$5)/Get_Margin(G$3,G$2,G$5,G$1)),0),ROUNDUP((Client_Margin($C14)*Alloted(G$3,G$2,G$5)/Get_Margin(G$3,G$2,G$5,G$1)),0)),"-")</f>
        <v>-</v>
      </c>
      <c r="H14" s="14" cm="1">
        <f t="array" ref="H14">IFERROR(IF(ROUNDUP((Client_Margin($C14)*Alloted(H$3,H$2,H$5)/Get_Margin(H$3,H$2,H$5,H$1)),0)*Get_Margin(H$3,H$2,H$5,H$1)&gt;((Client_Margin($C14)*Alloted(H$3,H$2,H$5)/Get_Margin(H$3,H$2,H$5,H$1))*Get_Margin(H$3,H$2,H$5,H$1))*$D$3,ROUNDDOWN((Client_Margin($C14)*Alloted(H$3,H$2,H$5)/Get_Margin(H$3,H$2,H$5,H$1)),0),ROUNDUP((Client_Margin($C14)*Alloted(H$3,H$2,H$5)/Get_Margin(H$3,H$2,H$5,H$1)),0)),"-")</f>
        <v>6</v>
      </c>
      <c r="I14" s="14" cm="1">
        <f t="array" ref="I14">IFERROR(IF(ROUNDUP((Client_Margin($C14)*Alloted(I$3,I$2,I$5)/Get_Margin(I$3,I$2,I$5,I$1)),0)*Get_Margin(I$3,I$2,I$5,I$1)&gt;((Client_Margin($C14)*Alloted(I$3,I$2,I$5)/Get_Margin(I$3,I$2,I$5,I$1))*Get_Margin(I$3,I$2,I$5,I$1))*$D$3,ROUNDDOWN((Client_Margin($C14)*Alloted(I$3,I$2,I$5)/Get_Margin(I$3,I$2,I$5,I$1)),0),ROUNDUP((Client_Margin($C14)*Alloted(I$3,I$2,I$5)/Get_Margin(I$3,I$2,I$5,I$1)),0)),"-")</f>
        <v>2</v>
      </c>
      <c r="J14" s="14" cm="1">
        <f t="array" ref="J14">IFERROR(IF(ROUNDUP((Client_Margin($C14)*Alloted(J$3,J$2,J$5)/Get_Margin(J$3,J$2,J$5,J$1)),0)*Get_Margin(J$3,J$2,J$5,J$1)&gt;((Client_Margin($C14)*Alloted(J$3,J$2,J$5)/Get_Margin(J$3,J$2,J$5,J$1))*Get_Margin(J$3,J$2,J$5,J$1))*$D$3,ROUNDDOWN((Client_Margin($C14)*Alloted(J$3,J$2,J$5)/Get_Margin(J$3,J$2,J$5,J$1)),0),ROUNDUP((Client_Margin($C14)*Alloted(J$3,J$2,J$5)/Get_Margin(J$3,J$2,J$5,J$1)),0)),"-")</f>
        <v>2</v>
      </c>
      <c r="K14" s="14" cm="1">
        <f t="array" ref="K14">IFERROR(IF(ROUNDUP((Client_Margin($C14)*Alloted(K$3,K$2,K$5)/Get_Margin(K$3,K$2,K$5,K$1)),0)*Get_Margin(K$3,K$2,K$5,K$1)&gt;((Client_Margin($C14)*Alloted(K$3,K$2,K$5)/Get_Margin(K$3,K$2,K$5,K$1))*Get_Margin(K$3,K$2,K$5,K$1))*$D$3,ROUNDDOWN((Client_Margin($C14)*Alloted(K$3,K$2,K$5)/Get_Margin(K$3,K$2,K$5,K$1)),0),ROUNDUP((Client_Margin($C14)*Alloted(K$3,K$2,K$5)/Get_Margin(K$3,K$2,K$5,K$1)),0)),"-")</f>
        <v>0</v>
      </c>
      <c r="L14" s="14" cm="1">
        <f t="array" ref="L14">IFERROR(IF(ROUNDUP((Client_Margin($C14)*Alloted(L$3,L$2,L$5)/Get_Margin(L$3,L$2,L$5,L$1)),0)*Get_Margin(L$3,L$2,L$5,L$1)&gt;((Client_Margin($C14)*Alloted(L$3,L$2,L$5)/Get_Margin(L$3,L$2,L$5,L$1))*Get_Margin(L$3,L$2,L$5,L$1))*$D$3,ROUNDDOWN((Client_Margin($C14)*Alloted(L$3,L$2,L$5)/Get_Margin(L$3,L$2,L$5,L$1)),0),ROUNDUP((Client_Margin($C14)*Alloted(L$3,L$2,L$5)/Get_Margin(L$3,L$2,L$5,L$1)),0)),"-")</f>
        <v>0</v>
      </c>
      <c r="M14" s="14" cm="1">
        <f t="array" ref="M14">IFERROR(IF(ROUNDUP((Client_Margin($C14)*Alloted(M$3,M$2,M$5)/Get_Margin(M$3,M$2,M$5,M$1)),0)*Get_Margin(M$3,M$2,M$5,M$1)&gt;((Client_Margin($C14)*Alloted(M$3,M$2,M$5)/Get_Margin(M$3,M$2,M$5,M$1))*Get_Margin(M$3,M$2,M$5,M$1))*$D$3,ROUNDDOWN((Client_Margin($C14)*Alloted(M$3,M$2,M$5)/Get_Margin(M$3,M$2,M$5,M$1)),0),ROUNDUP((Client_Margin($C14)*Alloted(M$3,M$2,M$5)/Get_Margin(M$3,M$2,M$5,M$1)),0)),"-")</f>
        <v>0</v>
      </c>
    </row>
    <row r="15" spans="1:19" hidden="1" x14ac:dyDescent="0.25">
      <c r="A15">
        <f>_xlfn.XLOOKUP(C15,'OI QTY'!$O$5:$O$21,'OI QTY'!$N$5:$N$21,"")</f>
        <v>0</v>
      </c>
      <c r="B15">
        <f t="shared" si="1"/>
        <v>0</v>
      </c>
      <c r="C15" s="14"/>
      <c r="D15" s="14"/>
      <c r="E15" s="15">
        <f>SUM(F15:M15)</f>
        <v>0.27800000000000002</v>
      </c>
      <c r="F15" s="15" t="str" cm="1">
        <f t="array" ref="F15">IFERROR((_xlfn._xlws.FILTER(INDEX(Margin[],0,MATCH(F$1&amp;"_"&amp;F$3,Margin[#Headers],0)),(Margin[Index]=F$2)*(Margin[Strategy]=F$5))*F14)/Client_Margin($C14),"-")</f>
        <v>-</v>
      </c>
      <c r="G15" s="15" t="str" cm="1">
        <f t="array" ref="G15">IFERROR((_xlfn._xlws.FILTER(INDEX(Margin[],0,MATCH(G$1&amp;"_"&amp;G$3,Margin[#Headers],0)),(Margin[Index]=G$2)*(Margin[Strategy]=G$5))*G14)/Client_Margin($C14),"-")</f>
        <v>-</v>
      </c>
      <c r="H15" s="15" cm="1">
        <f t="array" ref="H15">IFERROR((_xlfn._xlws.FILTER(INDEX(Margin[],0,MATCH(H$1&amp;"_"&amp;H$3,Margin[#Headers],0)),(Margin[Index]=H$2)*(Margin[Strategy]=H$5))*H14)/Client_Margin($C14),"-")</f>
        <v>0.10440000000000001</v>
      </c>
      <c r="I15" s="15" cm="1">
        <f t="array" ref="I15">IFERROR((_xlfn._xlws.FILTER(INDEX(Margin[],0,MATCH(I$1&amp;"_"&amp;I$3,Margin[#Headers],0)),(Margin[Index]=I$2)*(Margin[Strategy]=I$5))*I14)/Client_Margin($C14),"-")</f>
        <v>9.3600000000000003E-2</v>
      </c>
      <c r="J15" s="15" cm="1">
        <f t="array" ref="J15">IFERROR((_xlfn._xlws.FILTER(INDEX(Margin[],0,MATCH(J$1&amp;"_"&amp;J$3,Margin[#Headers],0)),(Margin[Index]=J$2)*(Margin[Strategy]=J$5))*J14)/Client_Margin($C14),"-")</f>
        <v>0.08</v>
      </c>
      <c r="K15" s="15" cm="1">
        <f t="array" ref="K15">IFERROR((_xlfn._xlws.FILTER(INDEX(Margin[],0,MATCH(K$1&amp;"_"&amp;K$3,Margin[#Headers],0)),(Margin[Index]=K$2)*(Margin[Strategy]=K$5))*K14)/Client_Margin($C14),"-")</f>
        <v>0</v>
      </c>
      <c r="L15" s="15" cm="1">
        <f t="array" ref="L15">IFERROR((_xlfn._xlws.FILTER(INDEX(Margin[],0,MATCH(L$1&amp;"_"&amp;L$3,Margin[#Headers],0)),(Margin[Index]=L$2)*(Margin[Strategy]=L$5))*L14)/Client_Margin($C14),"-")</f>
        <v>0</v>
      </c>
      <c r="M15" s="15" cm="1">
        <f t="array" ref="M15">IFERROR((_xlfn._xlws.FILTER(INDEX(Margin[],0,MATCH(M$1&amp;"_"&amp;M$3,Margin[#Headers],0)),(Margin[Index]=M$2)*(Margin[Strategy]=M$5))*M14)/Client_Margin($C14),"-")</f>
        <v>0</v>
      </c>
    </row>
    <row r="16" spans="1:19" x14ac:dyDescent="0.25">
      <c r="A16" t="str">
        <f>_xlfn.XLOOKUP(C16,'OI QTY'!$O$5:$O$21,'OI QTY'!$N$5:$N$21,"")</f>
        <v>M</v>
      </c>
      <c r="B16">
        <f t="shared" ref="B16:B27" si="2">IF(C16="",0,1)</f>
        <v>1</v>
      </c>
      <c r="C16" s="14" t="s">
        <v>128</v>
      </c>
      <c r="D16" s="14" cm="1">
        <f t="array" ref="D16">(_xlfn._xlws.FILTER(Fund[Margin],Fund[Client Id]=C16))/10000000</f>
        <v>2</v>
      </c>
      <c r="E16" s="17"/>
      <c r="F16" s="14" t="str" cm="1">
        <f t="array" ref="F16">IFERROR(IF(ROUNDUP((Client_Margin($C16)*Alloted(F$3,F$2,F$5)/Get_Margin(F$3,F$2,F$5,F$1)),0)*Get_Margin(F$3,F$2,F$5,F$1)&gt;((Client_Margin($C16)*Alloted(F$3,F$2,F$5)/Get_Margin(F$3,F$2,F$5,F$1))*Get_Margin(F$3,F$2,F$5,F$1))*$D$3,ROUNDDOWN((Client_Margin($C16)*Alloted(F$3,F$2,F$5)/Get_Margin(F$3,F$2,F$5,F$1)),0),ROUNDUP((Client_Margin($C16)*Alloted(F$3,F$2,F$5)/Get_Margin(F$3,F$2,F$5,F$1)),0)),"-")</f>
        <v>-</v>
      </c>
      <c r="G16" s="14" t="str" cm="1">
        <f t="array" ref="G16">IFERROR(IF(ROUNDUP((Client_Margin($C16)*Alloted(G$3,G$2,G$5)/Get_Margin(G$3,G$2,G$5,G$1)),0)*Get_Margin(G$3,G$2,G$5,G$1)&gt;((Client_Margin($C16)*Alloted(G$3,G$2,G$5)/Get_Margin(G$3,G$2,G$5,G$1))*Get_Margin(G$3,G$2,G$5,G$1))*$D$3,ROUNDDOWN((Client_Margin($C16)*Alloted(G$3,G$2,G$5)/Get_Margin(G$3,G$2,G$5,G$1)),0),ROUNDUP((Client_Margin($C16)*Alloted(G$3,G$2,G$5)/Get_Margin(G$3,G$2,G$5,G$1)),0)),"-")</f>
        <v>-</v>
      </c>
      <c r="H16" s="14" cm="1">
        <f t="array" ref="H16">IFERROR(IF(ROUNDUP((Client_Margin($C16)*Alloted(H$3,H$2,H$5)/Get_Margin(H$3,H$2,H$5,H$1)),0)*Get_Margin(H$3,H$2,H$5,H$1)&gt;((Client_Margin($C16)*Alloted(H$3,H$2,H$5)/Get_Margin(H$3,H$2,H$5,H$1))*Get_Margin(H$3,H$2,H$5,H$1))*$D$3,ROUNDDOWN((Client_Margin($C16)*Alloted(H$3,H$2,H$5)/Get_Margin(H$3,H$2,H$5,H$1)),0),ROUNDUP((Client_Margin($C16)*Alloted(H$3,H$2,H$5)/Get_Margin(H$3,H$2,H$5,H$1)),0)),"-")</f>
        <v>3</v>
      </c>
      <c r="I16" s="14" cm="1">
        <f t="array" ref="I16">IFERROR(IF(ROUNDUP((Client_Margin($C16)*Alloted(I$3,I$2,I$5)/Get_Margin(I$3,I$2,I$5,I$1)),0)*Get_Margin(I$3,I$2,I$5,I$1)&gt;((Client_Margin($C16)*Alloted(I$3,I$2,I$5)/Get_Margin(I$3,I$2,I$5,I$1))*Get_Margin(I$3,I$2,I$5,I$1))*$D$3,ROUNDDOWN((Client_Margin($C16)*Alloted(I$3,I$2,I$5)/Get_Margin(I$3,I$2,I$5,I$1)),0),ROUNDUP((Client_Margin($C16)*Alloted(I$3,I$2,I$5)/Get_Margin(I$3,I$2,I$5,I$1)),0)),"-")</f>
        <v>1</v>
      </c>
      <c r="J16" s="14" cm="1">
        <f t="array" ref="J16">IFERROR(IF(ROUNDUP((Client_Margin($C16)*Alloted(J$3,J$2,J$5)/Get_Margin(J$3,J$2,J$5,J$1)),0)*Get_Margin(J$3,J$2,J$5,J$1)&gt;((Client_Margin($C16)*Alloted(J$3,J$2,J$5)/Get_Margin(J$3,J$2,J$5,J$1))*Get_Margin(J$3,J$2,J$5,J$1))*$D$3,ROUNDDOWN((Client_Margin($C16)*Alloted(J$3,J$2,J$5)/Get_Margin(J$3,J$2,J$5,J$1)),0),ROUNDUP((Client_Margin($C16)*Alloted(J$3,J$2,J$5)/Get_Margin(J$3,J$2,J$5,J$1)),0)),"-")</f>
        <v>1</v>
      </c>
      <c r="K16" s="14" cm="1">
        <f t="array" ref="K16">IFERROR(IF(ROUNDUP((Client_Margin($C16)*Alloted(K$3,K$2,K$5)/Get_Margin(K$3,K$2,K$5,K$1)),0)*Get_Margin(K$3,K$2,K$5,K$1)&gt;((Client_Margin($C16)*Alloted(K$3,K$2,K$5)/Get_Margin(K$3,K$2,K$5,K$1))*Get_Margin(K$3,K$2,K$5,K$1))*$D$3,ROUNDDOWN((Client_Margin($C16)*Alloted(K$3,K$2,K$5)/Get_Margin(K$3,K$2,K$5,K$1)),0),ROUNDUP((Client_Margin($C16)*Alloted(K$3,K$2,K$5)/Get_Margin(K$3,K$2,K$5,K$1)),0)),"-")</f>
        <v>0</v>
      </c>
      <c r="L16" s="14" cm="1">
        <f t="array" ref="L16">IFERROR(IF(ROUNDUP((Client_Margin($C16)*Alloted(L$3,L$2,L$5)/Get_Margin(L$3,L$2,L$5,L$1)),0)*Get_Margin(L$3,L$2,L$5,L$1)&gt;((Client_Margin($C16)*Alloted(L$3,L$2,L$5)/Get_Margin(L$3,L$2,L$5,L$1))*Get_Margin(L$3,L$2,L$5,L$1))*$D$3,ROUNDDOWN((Client_Margin($C16)*Alloted(L$3,L$2,L$5)/Get_Margin(L$3,L$2,L$5,L$1)),0),ROUNDUP((Client_Margin($C16)*Alloted(L$3,L$2,L$5)/Get_Margin(L$3,L$2,L$5,L$1)),0)),"-")</f>
        <v>0</v>
      </c>
      <c r="M16" s="14" cm="1">
        <f t="array" ref="M16">IFERROR(IF(ROUNDUP((Client_Margin($C16)*Alloted(M$3,M$2,M$5)/Get_Margin(M$3,M$2,M$5,M$1)),0)*Get_Margin(M$3,M$2,M$5,M$1)&gt;((Client_Margin($C16)*Alloted(M$3,M$2,M$5)/Get_Margin(M$3,M$2,M$5,M$1))*Get_Margin(M$3,M$2,M$5,M$1))*$D$3,ROUNDDOWN((Client_Margin($C16)*Alloted(M$3,M$2,M$5)/Get_Margin(M$3,M$2,M$5,M$1)),0),ROUNDUP((Client_Margin($C16)*Alloted(M$3,M$2,M$5)/Get_Margin(M$3,M$2,M$5,M$1)),0)),"-")</f>
        <v>0</v>
      </c>
    </row>
    <row r="17" spans="1:13" hidden="1" x14ac:dyDescent="0.25">
      <c r="A17">
        <f>_xlfn.XLOOKUP(C17,'OI QTY'!$O$5:$O$21,'OI QTY'!$N$5:$N$21,"")</f>
        <v>0</v>
      </c>
      <c r="B17">
        <f t="shared" si="2"/>
        <v>0</v>
      </c>
      <c r="C17" s="14"/>
      <c r="D17" s="14"/>
      <c r="E17" s="15">
        <f>SUM(F17:M17)</f>
        <v>0.27800000000000002</v>
      </c>
      <c r="F17" s="15" t="str" cm="1">
        <f t="array" ref="F17">IFERROR((_xlfn._xlws.FILTER(INDEX(Margin[],0,MATCH(F$1&amp;"_"&amp;F$3,Margin[#Headers],0)),(Margin[Index]=F$2)*(Margin[Strategy]=F$5))*F16)/Client_Margin($C16),"-")</f>
        <v>-</v>
      </c>
      <c r="G17" s="15" t="str" cm="1">
        <f t="array" ref="G17">IFERROR((_xlfn._xlws.FILTER(INDEX(Margin[],0,MATCH(G$1&amp;"_"&amp;G$3,Margin[#Headers],0)),(Margin[Index]=G$2)*(Margin[Strategy]=G$5))*G16)/Client_Margin($C16),"-")</f>
        <v>-</v>
      </c>
      <c r="H17" s="15" cm="1">
        <f t="array" ref="H17">IFERROR((_xlfn._xlws.FILTER(INDEX(Margin[],0,MATCH(H$1&amp;"_"&amp;H$3,Margin[#Headers],0)),(Margin[Index]=H$2)*(Margin[Strategy]=H$5))*H16)/Client_Margin($C16),"-")</f>
        <v>0.10440000000000001</v>
      </c>
      <c r="I17" s="15" cm="1">
        <f t="array" ref="I17">IFERROR((_xlfn._xlws.FILTER(INDEX(Margin[],0,MATCH(I$1&amp;"_"&amp;I$3,Margin[#Headers],0)),(Margin[Index]=I$2)*(Margin[Strategy]=I$5))*I16)/Client_Margin($C16),"-")</f>
        <v>9.3600000000000003E-2</v>
      </c>
      <c r="J17" s="15" cm="1">
        <f t="array" ref="J17">IFERROR((_xlfn._xlws.FILTER(INDEX(Margin[],0,MATCH(J$1&amp;"_"&amp;J$3,Margin[#Headers],0)),(Margin[Index]=J$2)*(Margin[Strategy]=J$5))*J16)/Client_Margin($C16),"-")</f>
        <v>0.08</v>
      </c>
      <c r="K17" s="15" cm="1">
        <f t="array" ref="K17">IFERROR((_xlfn._xlws.FILTER(INDEX(Margin[],0,MATCH(K$1&amp;"_"&amp;K$3,Margin[#Headers],0)),(Margin[Index]=K$2)*(Margin[Strategy]=K$5))*K16)/Client_Margin($C16),"-")</f>
        <v>0</v>
      </c>
      <c r="L17" s="15" cm="1">
        <f t="array" ref="L17">IFERROR((_xlfn._xlws.FILTER(INDEX(Margin[],0,MATCH(L$1&amp;"_"&amp;L$3,Margin[#Headers],0)),(Margin[Index]=L$2)*(Margin[Strategy]=L$5))*L16)/Client_Margin($C16),"-")</f>
        <v>0</v>
      </c>
      <c r="M17" s="15" cm="1">
        <f t="array" ref="M17">IFERROR((_xlfn._xlws.FILTER(INDEX(Margin[],0,MATCH(M$1&amp;"_"&amp;M$3,Margin[#Headers],0)),(Margin[Index]=M$2)*(Margin[Strategy]=M$5))*M16)/Client_Margin($C16),"-")</f>
        <v>0</v>
      </c>
    </row>
    <row r="18" spans="1:13" hidden="1" x14ac:dyDescent="0.25">
      <c r="A18" t="str">
        <f>_xlfn.XLOOKUP(C18,'OI QTY'!$O$5:$O$21,'OI QTY'!$N$5:$N$21,"")</f>
        <v/>
      </c>
      <c r="B18">
        <f t="shared" si="2"/>
        <v>1</v>
      </c>
      <c r="C18" s="14" t="s">
        <v>34</v>
      </c>
      <c r="D18" s="14" cm="1">
        <f t="array" ref="D18">(_xlfn._xlws.FILTER(Fund[Margin],Fund[Client Id]=C18))/10000000</f>
        <v>5.0999999999999996</v>
      </c>
      <c r="E18" s="17"/>
      <c r="F18" s="14" t="str" cm="1">
        <f t="array" ref="F18">IFERROR(IF(ROUNDUP((Client_Margin($C18)*Alloted(F$3,F$2,F$5)/Get_Margin(F$3,F$2,F$5,F$1)),0)*Get_Margin(F$3,F$2,F$5,F$1)&gt;((Client_Margin($C18)*Alloted(F$3,F$2,F$5)/Get_Margin(F$3,F$2,F$5,F$1))*Get_Margin(F$3,F$2,F$5,F$1))*$D$3,ROUNDDOWN((Client_Margin($C18)*Alloted(F$3,F$2,F$5)/Get_Margin(F$3,F$2,F$5,F$1)),0),ROUNDUP((Client_Margin($C18)*Alloted(F$3,F$2,F$5)/Get_Margin(F$3,F$2,F$5,F$1)),0)),"-")</f>
        <v>-</v>
      </c>
      <c r="G18" s="14" t="str" cm="1">
        <f t="array" ref="G18">IFERROR(IF(ROUNDUP((Client_Margin($C18)*Alloted(G$3,G$2,G$5)/Get_Margin(G$3,G$2,G$5,G$1)),0)*Get_Margin(G$3,G$2,G$5,G$1)&gt;((Client_Margin($C18)*Alloted(G$3,G$2,G$5)/Get_Margin(G$3,G$2,G$5,G$1))*Get_Margin(G$3,G$2,G$5,G$1))*$D$3,ROUNDDOWN((Client_Margin($C18)*Alloted(G$3,G$2,G$5)/Get_Margin(G$3,G$2,G$5,G$1)),0),ROUNDUP((Client_Margin($C18)*Alloted(G$3,G$2,G$5)/Get_Margin(G$3,G$2,G$5,G$1)),0)),"-")</f>
        <v>-</v>
      </c>
      <c r="H18" s="14" cm="1">
        <f t="array" ref="H18">IFERROR(IF(ROUNDUP((Client_Margin($C18)*Alloted(H$3,H$2,H$5)/Get_Margin(H$3,H$2,H$5,H$1)),0)*Get_Margin(H$3,H$2,H$5,H$1)&gt;((Client_Margin($C18)*Alloted(H$3,H$2,H$5)/Get_Margin(H$3,H$2,H$5,H$1))*Get_Margin(H$3,H$2,H$5,H$1))*$D$3,ROUNDDOWN((Client_Margin($C18)*Alloted(H$3,H$2,H$5)/Get_Margin(H$3,H$2,H$5,H$1)),0),ROUNDUP((Client_Margin($C18)*Alloted(H$3,H$2,H$5)/Get_Margin(H$3,H$2,H$5,H$1)),0)),"-")</f>
        <v>8</v>
      </c>
      <c r="I18" s="14" cm="1">
        <f t="array" ref="I18">IFERROR(IF(ROUNDUP((Client_Margin($C18)*Alloted(I$3,I$2,I$5)/Get_Margin(I$3,I$2,I$5,I$1)),0)*Get_Margin(I$3,I$2,I$5,I$1)&gt;((Client_Margin($C18)*Alloted(I$3,I$2,I$5)/Get_Margin(I$3,I$2,I$5,I$1))*Get_Margin(I$3,I$2,I$5,I$1))*$D$3,ROUNDDOWN((Client_Margin($C18)*Alloted(I$3,I$2,I$5)/Get_Margin(I$3,I$2,I$5,I$1)),0),ROUNDUP((Client_Margin($C18)*Alloted(I$3,I$2,I$5)/Get_Margin(I$3,I$2,I$5,I$1)),0)),"-")</f>
        <v>3</v>
      </c>
      <c r="J18" s="14" cm="1">
        <f t="array" ref="J18">IFERROR(IF(ROUNDUP((Client_Margin($C18)*Alloted(J$3,J$2,J$5)/Get_Margin(J$3,J$2,J$5,J$1)),0)*Get_Margin(J$3,J$2,J$5,J$1)&gt;((Client_Margin($C18)*Alloted(J$3,J$2,J$5)/Get_Margin(J$3,J$2,J$5,J$1))*Get_Margin(J$3,J$2,J$5,J$1))*$D$3,ROUNDDOWN((Client_Margin($C18)*Alloted(J$3,J$2,J$5)/Get_Margin(J$3,J$2,J$5,J$1)),0),ROUNDUP((Client_Margin($C18)*Alloted(J$3,J$2,J$5)/Get_Margin(J$3,J$2,J$5,J$1)),0)),"-")</f>
        <v>3</v>
      </c>
      <c r="K18" s="14" cm="1">
        <f t="array" ref="K18">IFERROR(IF(ROUNDUP((Client_Margin($C18)*Alloted(K$3,K$2,K$5)/Get_Margin(K$3,K$2,K$5,K$1)),0)*Get_Margin(K$3,K$2,K$5,K$1)&gt;((Client_Margin($C18)*Alloted(K$3,K$2,K$5)/Get_Margin(K$3,K$2,K$5,K$1))*Get_Margin(K$3,K$2,K$5,K$1))*$D$3,ROUNDDOWN((Client_Margin($C18)*Alloted(K$3,K$2,K$5)/Get_Margin(K$3,K$2,K$5,K$1)),0),ROUNDUP((Client_Margin($C18)*Alloted(K$3,K$2,K$5)/Get_Margin(K$3,K$2,K$5,K$1)),0)),"-")</f>
        <v>0</v>
      </c>
      <c r="L18" s="14" cm="1">
        <f t="array" ref="L18">IFERROR(IF(ROUNDUP((Client_Margin($C18)*Alloted(L$3,L$2,L$5)/Get_Margin(L$3,L$2,L$5,L$1)),0)*Get_Margin(L$3,L$2,L$5,L$1)&gt;((Client_Margin($C18)*Alloted(L$3,L$2,L$5)/Get_Margin(L$3,L$2,L$5,L$1))*Get_Margin(L$3,L$2,L$5,L$1))*$D$3,ROUNDDOWN((Client_Margin($C18)*Alloted(L$3,L$2,L$5)/Get_Margin(L$3,L$2,L$5,L$1)),0),ROUNDUP((Client_Margin($C18)*Alloted(L$3,L$2,L$5)/Get_Margin(L$3,L$2,L$5,L$1)),0)),"-")</f>
        <v>0</v>
      </c>
      <c r="M18" s="14" cm="1">
        <f t="array" ref="M18">IFERROR(IF(ROUNDUP((Client_Margin($C18)*Alloted(M$3,M$2,M$5)/Get_Margin(M$3,M$2,M$5,M$1)),0)*Get_Margin(M$3,M$2,M$5,M$1)&gt;((Client_Margin($C18)*Alloted(M$3,M$2,M$5)/Get_Margin(M$3,M$2,M$5,M$1))*Get_Margin(M$3,M$2,M$5,M$1))*$D$3,ROUNDDOWN((Client_Margin($C18)*Alloted(M$3,M$2,M$5)/Get_Margin(M$3,M$2,M$5,M$1)),0),ROUNDUP((Client_Margin($C18)*Alloted(M$3,M$2,M$5)/Get_Margin(M$3,M$2,M$5,M$1)),0)),"-")</f>
        <v>0</v>
      </c>
    </row>
    <row r="19" spans="1:13" hidden="1" x14ac:dyDescent="0.25">
      <c r="A19">
        <f>_xlfn.XLOOKUP(C19,'OI QTY'!$O$5:$O$21,'OI QTY'!$N$5:$N$21,"")</f>
        <v>0</v>
      </c>
      <c r="B19">
        <f t="shared" si="2"/>
        <v>0</v>
      </c>
      <c r="C19" s="14"/>
      <c r="D19" s="14"/>
      <c r="E19" s="15">
        <f>SUM(F19:M19)</f>
        <v>0.31341176470588233</v>
      </c>
      <c r="F19" s="15" t="str" cm="1">
        <f t="array" ref="F19">IFERROR((_xlfn._xlws.FILTER(INDEX(Margin[],0,MATCH(F$1&amp;"_"&amp;F$3,Margin[#Headers],0)),(Margin[Index]=F$2)*(Margin[Strategy]=F$5))*F18)/Client_Margin($C18),"-")</f>
        <v>-</v>
      </c>
      <c r="G19" s="15" t="str" cm="1">
        <f t="array" ref="G19">IFERROR((_xlfn._xlws.FILTER(INDEX(Margin[],0,MATCH(G$1&amp;"_"&amp;G$3,Margin[#Headers],0)),(Margin[Index]=G$2)*(Margin[Strategy]=G$5))*G18)/Client_Margin($C18),"-")</f>
        <v>-</v>
      </c>
      <c r="H19" s="15" cm="1">
        <f t="array" ref="H19">IFERROR((_xlfn._xlws.FILTER(INDEX(Margin[],0,MATCH(H$1&amp;"_"&amp;H$3,Margin[#Headers],0)),(Margin[Index]=H$2)*(Margin[Strategy]=H$5))*H18)/Client_Margin($C18),"-")</f>
        <v>0.10917647058823529</v>
      </c>
      <c r="I19" s="15" cm="1">
        <f t="array" ref="I19">IFERROR((_xlfn._xlws.FILTER(INDEX(Margin[],0,MATCH(I$1&amp;"_"&amp;I$3,Margin[#Headers],0)),(Margin[Index]=I$2)*(Margin[Strategy]=I$5))*I18)/Client_Margin($C18),"-")</f>
        <v>0.11011764705882353</v>
      </c>
      <c r="J19" s="15" cm="1">
        <f t="array" ref="J19">IFERROR((_xlfn._xlws.FILTER(INDEX(Margin[],0,MATCH(J$1&amp;"_"&amp;J$3,Margin[#Headers],0)),(Margin[Index]=J$2)*(Margin[Strategy]=J$5))*J18)/Client_Margin($C18),"-")</f>
        <v>9.4117647058823528E-2</v>
      </c>
      <c r="K19" s="15" cm="1">
        <f t="array" ref="K19">IFERROR((_xlfn._xlws.FILTER(INDEX(Margin[],0,MATCH(K$1&amp;"_"&amp;K$3,Margin[#Headers],0)),(Margin[Index]=K$2)*(Margin[Strategy]=K$5))*K18)/Client_Margin($C18),"-")</f>
        <v>0</v>
      </c>
      <c r="L19" s="15" cm="1">
        <f t="array" ref="L19">IFERROR((_xlfn._xlws.FILTER(INDEX(Margin[],0,MATCH(L$1&amp;"_"&amp;L$3,Margin[#Headers],0)),(Margin[Index]=L$2)*(Margin[Strategy]=L$5))*L18)/Client_Margin($C18),"-")</f>
        <v>0</v>
      </c>
      <c r="M19" s="15" cm="1">
        <f t="array" ref="M19">IFERROR((_xlfn._xlws.FILTER(INDEX(Margin[],0,MATCH(M$1&amp;"_"&amp;M$3,Margin[#Headers],0)),(Margin[Index]=M$2)*(Margin[Strategy]=M$5))*M18)/Client_Margin($C18),"-")</f>
        <v>0</v>
      </c>
    </row>
    <row r="20" spans="1:13" hidden="1" x14ac:dyDescent="0.25">
      <c r="A20" t="str">
        <f>_xlfn.XLOOKUP(C20,'OI QTY'!$O$5:$O$21,'OI QTY'!$N$5:$N$21,"")</f>
        <v/>
      </c>
      <c r="B20">
        <v>1</v>
      </c>
      <c r="C20" s="14" t="s">
        <v>117</v>
      </c>
      <c r="D20" s="14" cm="1">
        <f t="array" ref="D20">(_xlfn._xlws.FILTER(Fund[Margin],Fund[Client Id]=C20))/10000000</f>
        <v>2.8</v>
      </c>
      <c r="E20" s="17"/>
      <c r="F20" s="14" t="str" cm="1">
        <f t="array" ref="F20">IFERROR(IF(ROUNDUP((Client_Margin($C20)*Alloted(F$3,F$2,F$5)/Get_Margin(F$3,F$2,F$5,F$1)),0)*Get_Margin(F$3,F$2,F$5,F$1)&gt;((Client_Margin($C20)*Alloted(F$3,F$2,F$5)/Get_Margin(F$3,F$2,F$5,F$1))*Get_Margin(F$3,F$2,F$5,F$1))*$D$3,ROUNDDOWN((Client_Margin($C20)*Alloted(F$3,F$2,F$5)/Get_Margin(F$3,F$2,F$5,F$1)),0),ROUNDUP((Client_Margin($C20)*Alloted(F$3,F$2,F$5)/Get_Margin(F$3,F$2,F$5,F$1)),0)),"-")</f>
        <v>-</v>
      </c>
      <c r="G20" s="14" t="str" cm="1">
        <f t="array" ref="G20">IFERROR(IF(ROUNDUP((Client_Margin($C20)*Alloted(G$3,G$2,G$5)/Get_Margin(G$3,G$2,G$5,G$1)),0)*Get_Margin(G$3,G$2,G$5,G$1)&gt;((Client_Margin($C20)*Alloted(G$3,G$2,G$5)/Get_Margin(G$3,G$2,G$5,G$1))*Get_Margin(G$3,G$2,G$5,G$1))*$D$3,ROUNDDOWN((Client_Margin($C20)*Alloted(G$3,G$2,G$5)/Get_Margin(G$3,G$2,G$5,G$1)),0),ROUNDUP((Client_Margin($C20)*Alloted(G$3,G$2,G$5)/Get_Margin(G$3,G$2,G$5,G$1)),0)),"-")</f>
        <v>-</v>
      </c>
      <c r="H20" s="14" cm="1">
        <f t="array" ref="H20">IFERROR(IF(ROUNDUP((Client_Margin($C20)*Alloted(H$3,H$2,H$5)/Get_Margin(H$3,H$2,H$5,H$1)),0)*Get_Margin(H$3,H$2,H$5,H$1)&gt;((Client_Margin($C20)*Alloted(H$3,H$2,H$5)/Get_Margin(H$3,H$2,H$5,H$1))*Get_Margin(H$3,H$2,H$5,H$1))*$D$3,ROUNDDOWN((Client_Margin($C20)*Alloted(H$3,H$2,H$5)/Get_Margin(H$3,H$2,H$5,H$1)),0),ROUNDUP((Client_Margin($C20)*Alloted(H$3,H$2,H$5)/Get_Margin(H$3,H$2,H$5,H$1)),0)),"-")</f>
        <v>4</v>
      </c>
      <c r="I20" s="14" cm="1">
        <f t="array" ref="I20">IFERROR(IF(ROUNDUP((Client_Margin($C20)*Alloted(I$3,I$2,I$5)/Get_Margin(I$3,I$2,I$5,I$1)),0)*Get_Margin(I$3,I$2,I$5,I$1)&gt;((Client_Margin($C20)*Alloted(I$3,I$2,I$5)/Get_Margin(I$3,I$2,I$5,I$1))*Get_Margin(I$3,I$2,I$5,I$1))*$D$3,ROUNDDOWN((Client_Margin($C20)*Alloted(I$3,I$2,I$5)/Get_Margin(I$3,I$2,I$5,I$1)),0),ROUNDUP((Client_Margin($C20)*Alloted(I$3,I$2,I$5)/Get_Margin(I$3,I$2,I$5,I$1)),0)),"-")</f>
        <v>1</v>
      </c>
      <c r="J20" s="14" cm="1">
        <f t="array" ref="J20">IFERROR(IF(ROUNDUP((Client_Margin($C20)*Alloted(J$3,J$2,J$5)/Get_Margin(J$3,J$2,J$5,J$1)),0)*Get_Margin(J$3,J$2,J$5,J$1)&gt;((Client_Margin($C20)*Alloted(J$3,J$2,J$5)/Get_Margin(J$3,J$2,J$5,J$1))*Get_Margin(J$3,J$2,J$5,J$1))*$D$3,ROUNDDOWN((Client_Margin($C20)*Alloted(J$3,J$2,J$5)/Get_Margin(J$3,J$2,J$5,J$1)),0),ROUNDUP((Client_Margin($C20)*Alloted(J$3,J$2,J$5)/Get_Margin(J$3,J$2,J$5,J$1)),0)),"-")</f>
        <v>2</v>
      </c>
      <c r="K20" s="14" cm="1">
        <f t="array" ref="K20">IFERROR(IF(ROUNDUP((Client_Margin($C20)*Alloted(K$3,K$2,K$5)/Get_Margin(K$3,K$2,K$5,K$1)),0)*Get_Margin(K$3,K$2,K$5,K$1)&gt;((Client_Margin($C20)*Alloted(K$3,K$2,K$5)/Get_Margin(K$3,K$2,K$5,K$1))*Get_Margin(K$3,K$2,K$5,K$1))*$D$3,ROUNDDOWN((Client_Margin($C20)*Alloted(K$3,K$2,K$5)/Get_Margin(K$3,K$2,K$5,K$1)),0),ROUNDUP((Client_Margin($C20)*Alloted(K$3,K$2,K$5)/Get_Margin(K$3,K$2,K$5,K$1)),0)),"-")</f>
        <v>0</v>
      </c>
      <c r="L20" s="14" cm="1">
        <f t="array" ref="L20">IFERROR(IF(ROUNDUP((Client_Margin($C20)*Alloted(L$3,L$2,L$5)/Get_Margin(L$3,L$2,L$5,L$1)),0)*Get_Margin(L$3,L$2,L$5,L$1)&gt;((Client_Margin($C20)*Alloted(L$3,L$2,L$5)/Get_Margin(L$3,L$2,L$5,L$1))*Get_Margin(L$3,L$2,L$5,L$1))*$D$3,ROUNDDOWN((Client_Margin($C20)*Alloted(L$3,L$2,L$5)/Get_Margin(L$3,L$2,L$5,L$1)),0),ROUNDUP((Client_Margin($C20)*Alloted(L$3,L$2,L$5)/Get_Margin(L$3,L$2,L$5,L$1)),0)),"-")</f>
        <v>0</v>
      </c>
      <c r="M20" s="14" cm="1">
        <f t="array" ref="M20">IFERROR(IF(ROUNDUP((Client_Margin($C20)*Alloted(M$3,M$2,M$5)/Get_Margin(M$3,M$2,M$5,M$1)),0)*Get_Margin(M$3,M$2,M$5,M$1)&gt;((Client_Margin($C20)*Alloted(M$3,M$2,M$5)/Get_Margin(M$3,M$2,M$5,M$1))*Get_Margin(M$3,M$2,M$5,M$1))*$D$3,ROUNDDOWN((Client_Margin($C20)*Alloted(M$3,M$2,M$5)/Get_Margin(M$3,M$2,M$5,M$1)),0),ROUNDUP((Client_Margin($C20)*Alloted(M$3,M$2,M$5)/Get_Margin(M$3,M$2,M$5,M$1)),0)),"-")</f>
        <v>0</v>
      </c>
    </row>
    <row r="21" spans="1:13" hidden="1" x14ac:dyDescent="0.25">
      <c r="A21">
        <f>_xlfn.XLOOKUP(C21,'OI QTY'!$O$5:$O$21,'OI QTY'!$N$5:$N$21,"")</f>
        <v>0</v>
      </c>
      <c r="B21">
        <v>0</v>
      </c>
      <c r="C21" s="14"/>
      <c r="D21" s="14"/>
      <c r="E21" s="15">
        <f>SUM(F21:M21)</f>
        <v>0.28057142857142853</v>
      </c>
      <c r="F21" s="15" t="str" cm="1">
        <f t="array" ref="F21">IFERROR((_xlfn._xlws.FILTER(INDEX(Margin[],0,MATCH(F$1&amp;"_"&amp;F$3,Margin[#Headers],0)),(Margin[Index]=F$2)*(Margin[Strategy]=F$5))*F20)/Client_Margin($C20),"-")</f>
        <v>-</v>
      </c>
      <c r="G21" s="15" t="str" cm="1">
        <f t="array" ref="G21">IFERROR((_xlfn._xlws.FILTER(INDEX(Margin[],0,MATCH(G$1&amp;"_"&amp;G$3,Margin[#Headers],0)),(Margin[Index]=G$2)*(Margin[Strategy]=G$5))*G20)/Client_Margin($C20),"-")</f>
        <v>-</v>
      </c>
      <c r="H21" s="15" cm="1">
        <f t="array" ref="H21">IFERROR((_xlfn._xlws.FILTER(INDEX(Margin[],0,MATCH(H$1&amp;"_"&amp;H$3,Margin[#Headers],0)),(Margin[Index]=H$2)*(Margin[Strategy]=H$5))*H20)/Client_Margin($C20),"-")</f>
        <v>9.9428571428571422E-2</v>
      </c>
      <c r="I21" s="15" cm="1">
        <f t="array" ref="I21">IFERROR((_xlfn._xlws.FILTER(INDEX(Margin[],0,MATCH(I$1&amp;"_"&amp;I$3,Margin[#Headers],0)),(Margin[Index]=I$2)*(Margin[Strategy]=I$5))*I20)/Client_Margin($C20),"-")</f>
        <v>6.6857142857142851E-2</v>
      </c>
      <c r="J21" s="15" cm="1">
        <f t="array" ref="J21">IFERROR((_xlfn._xlws.FILTER(INDEX(Margin[],0,MATCH(J$1&amp;"_"&amp;J$3,Margin[#Headers],0)),(Margin[Index]=J$2)*(Margin[Strategy]=J$5))*J20)/Client_Margin($C20),"-")</f>
        <v>0.11428571428571428</v>
      </c>
      <c r="K21" s="15" cm="1">
        <f t="array" ref="K21">IFERROR((_xlfn._xlws.FILTER(INDEX(Margin[],0,MATCH(K$1&amp;"_"&amp;K$3,Margin[#Headers],0)),(Margin[Index]=K$2)*(Margin[Strategy]=K$5))*K20)/Client_Margin($C20),"-")</f>
        <v>0</v>
      </c>
      <c r="L21" s="15" cm="1">
        <f t="array" ref="L21">IFERROR((_xlfn._xlws.FILTER(INDEX(Margin[],0,MATCH(L$1&amp;"_"&amp;L$3,Margin[#Headers],0)),(Margin[Index]=L$2)*(Margin[Strategy]=L$5))*L20)/Client_Margin($C20),"-")</f>
        <v>0</v>
      </c>
      <c r="M21" s="15" cm="1">
        <f t="array" ref="M21">IFERROR((_xlfn._xlws.FILTER(INDEX(Margin[],0,MATCH(M$1&amp;"_"&amp;M$3,Margin[#Headers],0)),(Margin[Index]=M$2)*(Margin[Strategy]=M$5))*M20)/Client_Margin($C20),"-")</f>
        <v>0</v>
      </c>
    </row>
    <row r="22" spans="1:13" hidden="1" x14ac:dyDescent="0.25">
      <c r="A22" t="str">
        <f>_xlfn.XLOOKUP(C22,'OI QTY'!$O$5:$O$21,'OI QTY'!$N$5:$N$21,"")</f>
        <v/>
      </c>
      <c r="B22">
        <f t="shared" si="2"/>
        <v>1</v>
      </c>
      <c r="C22" s="14" t="s">
        <v>28</v>
      </c>
      <c r="D22" s="14" cm="1">
        <f t="array" ref="D22">(_xlfn._xlws.FILTER(Fund[Margin],Fund[Client Id]=C22))/10000000</f>
        <v>2.8</v>
      </c>
      <c r="E22" s="17"/>
      <c r="F22" s="14" t="str" cm="1">
        <f t="array" ref="F22">IFERROR(IF(ROUNDUP((Client_Margin($C22)*Alloted(F$3,F$2,F$5)/Get_Margin(F$3,F$2,F$5,F$1)),0)*Get_Margin(F$3,F$2,F$5,F$1)&gt;((Client_Margin($C22)*Alloted(F$3,F$2,F$5)/Get_Margin(F$3,F$2,F$5,F$1))*Get_Margin(F$3,F$2,F$5,F$1))*$D$3,ROUNDDOWN((Client_Margin($C22)*Alloted(F$3,F$2,F$5)/Get_Margin(F$3,F$2,F$5,F$1)),0),ROUNDUP((Client_Margin($C22)*Alloted(F$3,F$2,F$5)/Get_Margin(F$3,F$2,F$5,F$1)),0)),"-")</f>
        <v>-</v>
      </c>
      <c r="G22" s="14" t="str" cm="1">
        <f t="array" ref="G22">IFERROR(IF(ROUNDUP((Client_Margin($C22)*Alloted(G$3,G$2,G$5)/Get_Margin(G$3,G$2,G$5,G$1)),0)*Get_Margin(G$3,G$2,G$5,G$1)&gt;((Client_Margin($C22)*Alloted(G$3,G$2,G$5)/Get_Margin(G$3,G$2,G$5,G$1))*Get_Margin(G$3,G$2,G$5,G$1))*$D$3,ROUNDDOWN((Client_Margin($C22)*Alloted(G$3,G$2,G$5)/Get_Margin(G$3,G$2,G$5,G$1)),0),ROUNDUP((Client_Margin($C22)*Alloted(G$3,G$2,G$5)/Get_Margin(G$3,G$2,G$5,G$1)),0)),"-")</f>
        <v>-</v>
      </c>
      <c r="H22" s="14" cm="1">
        <f t="array" ref="H22">IFERROR(IF(ROUNDUP((Client_Margin($C22)*Alloted(H$3,H$2,H$5)/Get_Margin(H$3,H$2,H$5,H$1)),0)*Get_Margin(H$3,H$2,H$5,H$1)&gt;((Client_Margin($C22)*Alloted(H$3,H$2,H$5)/Get_Margin(H$3,H$2,H$5,H$1))*Get_Margin(H$3,H$2,H$5,H$1))*$D$3,ROUNDDOWN((Client_Margin($C22)*Alloted(H$3,H$2,H$5)/Get_Margin(H$3,H$2,H$5,H$1)),0),ROUNDUP((Client_Margin($C22)*Alloted(H$3,H$2,H$5)/Get_Margin(H$3,H$2,H$5,H$1)),0)),"-")</f>
        <v>4</v>
      </c>
      <c r="I22" s="14" cm="1">
        <f t="array" ref="I22">IFERROR(IF(ROUNDUP((Client_Margin($C22)*Alloted(I$3,I$2,I$5)/Get_Margin(I$3,I$2,I$5,I$1)),0)*Get_Margin(I$3,I$2,I$5,I$1)&gt;((Client_Margin($C22)*Alloted(I$3,I$2,I$5)/Get_Margin(I$3,I$2,I$5,I$1))*Get_Margin(I$3,I$2,I$5,I$1))*$D$3,ROUNDDOWN((Client_Margin($C22)*Alloted(I$3,I$2,I$5)/Get_Margin(I$3,I$2,I$5,I$1)),0),ROUNDUP((Client_Margin($C22)*Alloted(I$3,I$2,I$5)/Get_Margin(I$3,I$2,I$5,I$1)),0)),"-")</f>
        <v>1</v>
      </c>
      <c r="J22" s="14" cm="1">
        <f t="array" ref="J22">IFERROR(IF(ROUNDUP((Client_Margin($C22)*Alloted(J$3,J$2,J$5)/Get_Margin(J$3,J$2,J$5,J$1)),0)*Get_Margin(J$3,J$2,J$5,J$1)&gt;((Client_Margin($C22)*Alloted(J$3,J$2,J$5)/Get_Margin(J$3,J$2,J$5,J$1))*Get_Margin(J$3,J$2,J$5,J$1))*$D$3,ROUNDDOWN((Client_Margin($C22)*Alloted(J$3,J$2,J$5)/Get_Margin(J$3,J$2,J$5,J$1)),0),ROUNDUP((Client_Margin($C22)*Alloted(J$3,J$2,J$5)/Get_Margin(J$3,J$2,J$5,J$1)),0)),"-")</f>
        <v>2</v>
      </c>
      <c r="K22" s="14" cm="1">
        <f t="array" ref="K22">IFERROR(IF(ROUNDUP((Client_Margin($C22)*Alloted(K$3,K$2,K$5)/Get_Margin(K$3,K$2,K$5,K$1)),0)*Get_Margin(K$3,K$2,K$5,K$1)&gt;((Client_Margin($C22)*Alloted(K$3,K$2,K$5)/Get_Margin(K$3,K$2,K$5,K$1))*Get_Margin(K$3,K$2,K$5,K$1))*$D$3,ROUNDDOWN((Client_Margin($C22)*Alloted(K$3,K$2,K$5)/Get_Margin(K$3,K$2,K$5,K$1)),0),ROUNDUP((Client_Margin($C22)*Alloted(K$3,K$2,K$5)/Get_Margin(K$3,K$2,K$5,K$1)),0)),"-")</f>
        <v>0</v>
      </c>
      <c r="L22" s="14" cm="1">
        <f t="array" ref="L22">IFERROR(IF(ROUNDUP((Client_Margin($C22)*Alloted(L$3,L$2,L$5)/Get_Margin(L$3,L$2,L$5,L$1)),0)*Get_Margin(L$3,L$2,L$5,L$1)&gt;((Client_Margin($C22)*Alloted(L$3,L$2,L$5)/Get_Margin(L$3,L$2,L$5,L$1))*Get_Margin(L$3,L$2,L$5,L$1))*$D$3,ROUNDDOWN((Client_Margin($C22)*Alloted(L$3,L$2,L$5)/Get_Margin(L$3,L$2,L$5,L$1)),0),ROUNDUP((Client_Margin($C22)*Alloted(L$3,L$2,L$5)/Get_Margin(L$3,L$2,L$5,L$1)),0)),"-")</f>
        <v>0</v>
      </c>
      <c r="M22" s="14" cm="1">
        <f t="array" ref="M22">IFERROR(IF(ROUNDUP((Client_Margin($C22)*Alloted(M$3,M$2,M$5)/Get_Margin(M$3,M$2,M$5,M$1)),0)*Get_Margin(M$3,M$2,M$5,M$1)&gt;((Client_Margin($C22)*Alloted(M$3,M$2,M$5)/Get_Margin(M$3,M$2,M$5,M$1))*Get_Margin(M$3,M$2,M$5,M$1))*$D$3,ROUNDDOWN((Client_Margin($C22)*Alloted(M$3,M$2,M$5)/Get_Margin(M$3,M$2,M$5,M$1)),0),ROUNDUP((Client_Margin($C22)*Alloted(M$3,M$2,M$5)/Get_Margin(M$3,M$2,M$5,M$1)),0)),"-")</f>
        <v>0</v>
      </c>
    </row>
    <row r="23" spans="1:13" hidden="1" x14ac:dyDescent="0.25">
      <c r="A23">
        <f>_xlfn.XLOOKUP(C23,'OI QTY'!$O$5:$O$21,'OI QTY'!$N$5:$N$21,"")</f>
        <v>0</v>
      </c>
      <c r="B23">
        <f t="shared" si="2"/>
        <v>0</v>
      </c>
      <c r="C23" s="14"/>
      <c r="D23" s="14"/>
      <c r="E23" s="15">
        <f>SUM(F23:M23)</f>
        <v>0.28057142857142853</v>
      </c>
      <c r="F23" s="15" t="str" cm="1">
        <f t="array" ref="F23">IFERROR((_xlfn._xlws.FILTER(INDEX(Margin[],0,MATCH(F$1&amp;"_"&amp;F$3,Margin[#Headers],0)),(Margin[Index]=F$2)*(Margin[Strategy]=F$5))*F22)/Client_Margin($C22),"-")</f>
        <v>-</v>
      </c>
      <c r="G23" s="15" t="str" cm="1">
        <f t="array" ref="G23">IFERROR((_xlfn._xlws.FILTER(INDEX(Margin[],0,MATCH(G$1&amp;"_"&amp;G$3,Margin[#Headers],0)),(Margin[Index]=G$2)*(Margin[Strategy]=G$5))*G22)/Client_Margin($C22),"-")</f>
        <v>-</v>
      </c>
      <c r="H23" s="15" cm="1">
        <f t="array" ref="H23">IFERROR((_xlfn._xlws.FILTER(INDEX(Margin[],0,MATCH(H$1&amp;"_"&amp;H$3,Margin[#Headers],0)),(Margin[Index]=H$2)*(Margin[Strategy]=H$5))*H22)/Client_Margin($C22),"-")</f>
        <v>9.9428571428571422E-2</v>
      </c>
      <c r="I23" s="15" cm="1">
        <f t="array" ref="I23">IFERROR((_xlfn._xlws.FILTER(INDEX(Margin[],0,MATCH(I$1&amp;"_"&amp;I$3,Margin[#Headers],0)),(Margin[Index]=I$2)*(Margin[Strategy]=I$5))*I22)/Client_Margin($C22),"-")</f>
        <v>6.6857142857142851E-2</v>
      </c>
      <c r="J23" s="15" cm="1">
        <f t="array" ref="J23">IFERROR((_xlfn._xlws.FILTER(INDEX(Margin[],0,MATCH(J$1&amp;"_"&amp;J$3,Margin[#Headers],0)),(Margin[Index]=J$2)*(Margin[Strategy]=J$5))*J22)/Client_Margin($C22),"-")</f>
        <v>0.11428571428571428</v>
      </c>
      <c r="K23" s="15" cm="1">
        <f t="array" ref="K23">IFERROR((_xlfn._xlws.FILTER(INDEX(Margin[],0,MATCH(K$1&amp;"_"&amp;K$3,Margin[#Headers],0)),(Margin[Index]=K$2)*(Margin[Strategy]=K$5))*K22)/Client_Margin($C22),"-")</f>
        <v>0</v>
      </c>
      <c r="L23" s="15" cm="1">
        <f t="array" ref="L23">IFERROR((_xlfn._xlws.FILTER(INDEX(Margin[],0,MATCH(L$1&amp;"_"&amp;L$3,Margin[#Headers],0)),(Margin[Index]=L$2)*(Margin[Strategy]=L$5))*L22)/Client_Margin($C22),"-")</f>
        <v>0</v>
      </c>
      <c r="M23" s="15" cm="1">
        <f t="array" ref="M23">IFERROR((_xlfn._xlws.FILTER(INDEX(Margin[],0,MATCH(M$1&amp;"_"&amp;M$3,Margin[#Headers],0)),(Margin[Index]=M$2)*(Margin[Strategy]=M$5))*M22)/Client_Margin($C22),"-")</f>
        <v>0</v>
      </c>
    </row>
    <row r="24" spans="1:13" x14ac:dyDescent="0.25">
      <c r="A24" t="str">
        <f>_xlfn.XLOOKUP(C24,'OI QTY'!$O$5:$O$21,'OI QTY'!$N$5:$N$21,"")</f>
        <v>K</v>
      </c>
      <c r="B24">
        <f t="shared" si="2"/>
        <v>1</v>
      </c>
      <c r="C24" s="14" t="s">
        <v>122</v>
      </c>
      <c r="D24" s="14" cm="1">
        <f t="array" ref="D24">(_xlfn._xlws.FILTER(Fund[Margin],Fund[Client Id]=C24))/10000000</f>
        <v>2.65</v>
      </c>
      <c r="E24" s="17"/>
      <c r="F24" s="14" t="str" cm="1">
        <f t="array" ref="F24">IFERROR(IF(ROUNDUP((Client_Margin($C24)*Alloted(F$3,F$2,F$5)/Get_Margin(F$3,F$2,F$5,F$1)),0)*Get_Margin(F$3,F$2,F$5,F$1)&gt;((Client_Margin($C24)*Alloted(F$3,F$2,F$5)/Get_Margin(F$3,F$2,F$5,F$1))*Get_Margin(F$3,F$2,F$5,F$1))*$D$3,ROUNDDOWN((Client_Margin($C24)*Alloted(F$3,F$2,F$5)/Get_Margin(F$3,F$2,F$5,F$1)),0),ROUNDUP((Client_Margin($C24)*Alloted(F$3,F$2,F$5)/Get_Margin(F$3,F$2,F$5,F$1)),0)),"-")</f>
        <v>-</v>
      </c>
      <c r="G24" s="14" t="str" cm="1">
        <f t="array" ref="G24">IFERROR(IF(ROUNDUP((Client_Margin($C24)*Alloted(G$3,G$2,G$5)/Get_Margin(G$3,G$2,G$5,G$1)),0)*Get_Margin(G$3,G$2,G$5,G$1)&gt;((Client_Margin($C24)*Alloted(G$3,G$2,G$5)/Get_Margin(G$3,G$2,G$5,G$1))*Get_Margin(G$3,G$2,G$5,G$1))*$D$3,ROUNDDOWN((Client_Margin($C24)*Alloted(G$3,G$2,G$5)/Get_Margin(G$3,G$2,G$5,G$1)),0),ROUNDUP((Client_Margin($C24)*Alloted(G$3,G$2,G$5)/Get_Margin(G$3,G$2,G$5,G$1)),0)),"-")</f>
        <v>-</v>
      </c>
      <c r="H24" s="14" cm="1">
        <f t="array" ref="H24">IFERROR(IF(ROUNDUP((Client_Margin($C24)*Alloted(H$3,H$2,H$5)/Get_Margin(H$3,H$2,H$5,H$1)),0)*Get_Margin(H$3,H$2,H$5,H$1)&gt;((Client_Margin($C24)*Alloted(H$3,H$2,H$5)/Get_Margin(H$3,H$2,H$5,H$1))*Get_Margin(H$3,H$2,H$5,H$1))*$D$3,ROUNDDOWN((Client_Margin($C24)*Alloted(H$3,H$2,H$5)/Get_Margin(H$3,H$2,H$5,H$1)),0),ROUNDUP((Client_Margin($C24)*Alloted(H$3,H$2,H$5)/Get_Margin(H$3,H$2,H$5,H$1)),0)),"-")</f>
        <v>4</v>
      </c>
      <c r="I24" s="14" cm="1">
        <f t="array" ref="I24">IFERROR(IF(ROUNDUP((Client_Margin($C24)*Alloted(I$3,I$2,I$5)/Get_Margin(I$3,I$2,I$5,I$1)),0)*Get_Margin(I$3,I$2,I$5,I$1)&gt;((Client_Margin($C24)*Alloted(I$3,I$2,I$5)/Get_Margin(I$3,I$2,I$5,I$1))*Get_Margin(I$3,I$2,I$5,I$1))*$D$3,ROUNDDOWN((Client_Margin($C24)*Alloted(I$3,I$2,I$5)/Get_Margin(I$3,I$2,I$5,I$1)),0),ROUNDUP((Client_Margin($C24)*Alloted(I$3,I$2,I$5)/Get_Margin(I$3,I$2,I$5,I$1)),0)),"-")</f>
        <v>1</v>
      </c>
      <c r="J24" s="14" cm="1">
        <f t="array" ref="J24">IFERROR(IF(ROUNDUP((Client_Margin($C24)*Alloted(J$3,J$2,J$5)/Get_Margin(J$3,J$2,J$5,J$1)),0)*Get_Margin(J$3,J$2,J$5,J$1)&gt;((Client_Margin($C24)*Alloted(J$3,J$2,J$5)/Get_Margin(J$3,J$2,J$5,J$1))*Get_Margin(J$3,J$2,J$5,J$1))*$D$3,ROUNDDOWN((Client_Margin($C24)*Alloted(J$3,J$2,J$5)/Get_Margin(J$3,J$2,J$5,J$1)),0),ROUNDUP((Client_Margin($C24)*Alloted(J$3,J$2,J$5)/Get_Margin(J$3,J$2,J$5,J$1)),0)),"-")</f>
        <v>1</v>
      </c>
      <c r="K24" s="14" cm="1">
        <f t="array" ref="K24">IFERROR(IF(ROUNDUP((Client_Margin($C24)*Alloted(K$3,K$2,K$5)/Get_Margin(K$3,K$2,K$5,K$1)),0)*Get_Margin(K$3,K$2,K$5,K$1)&gt;((Client_Margin($C24)*Alloted(K$3,K$2,K$5)/Get_Margin(K$3,K$2,K$5,K$1))*Get_Margin(K$3,K$2,K$5,K$1))*$D$3,ROUNDDOWN((Client_Margin($C24)*Alloted(K$3,K$2,K$5)/Get_Margin(K$3,K$2,K$5,K$1)),0),ROUNDUP((Client_Margin($C24)*Alloted(K$3,K$2,K$5)/Get_Margin(K$3,K$2,K$5,K$1)),0)),"-")</f>
        <v>0</v>
      </c>
      <c r="L24" s="14" cm="1">
        <f t="array" ref="L24">IFERROR(IF(ROUNDUP((Client_Margin($C24)*Alloted(L$3,L$2,L$5)/Get_Margin(L$3,L$2,L$5,L$1)),0)*Get_Margin(L$3,L$2,L$5,L$1)&gt;((Client_Margin($C24)*Alloted(L$3,L$2,L$5)/Get_Margin(L$3,L$2,L$5,L$1))*Get_Margin(L$3,L$2,L$5,L$1))*$D$3,ROUNDDOWN((Client_Margin($C24)*Alloted(L$3,L$2,L$5)/Get_Margin(L$3,L$2,L$5,L$1)),0),ROUNDUP((Client_Margin($C24)*Alloted(L$3,L$2,L$5)/Get_Margin(L$3,L$2,L$5,L$1)),0)),"-")</f>
        <v>0</v>
      </c>
      <c r="M24" s="14" cm="1">
        <f t="array" ref="M24">IFERROR(IF(ROUNDUP((Client_Margin($C24)*Alloted(M$3,M$2,M$5)/Get_Margin(M$3,M$2,M$5,M$1)),0)*Get_Margin(M$3,M$2,M$5,M$1)&gt;((Client_Margin($C24)*Alloted(M$3,M$2,M$5)/Get_Margin(M$3,M$2,M$5,M$1))*Get_Margin(M$3,M$2,M$5,M$1))*$D$3,ROUNDDOWN((Client_Margin($C24)*Alloted(M$3,M$2,M$5)/Get_Margin(M$3,M$2,M$5,M$1)),0),ROUNDUP((Client_Margin($C24)*Alloted(M$3,M$2,M$5)/Get_Margin(M$3,M$2,M$5,M$1)),0)),"-")</f>
        <v>0</v>
      </c>
    </row>
    <row r="25" spans="1:13" hidden="1" x14ac:dyDescent="0.25">
      <c r="A25">
        <f>_xlfn.XLOOKUP(C25,'OI QTY'!$O$5:$O$21,'OI QTY'!$N$5:$N$21,"")</f>
        <v>0</v>
      </c>
      <c r="B25">
        <f t="shared" si="2"/>
        <v>0</v>
      </c>
      <c r="C25" s="14"/>
      <c r="D25" s="14"/>
      <c r="E25" s="15">
        <f>SUM(F25:M25)</f>
        <v>0.23607547169811322</v>
      </c>
      <c r="F25" s="15" t="str" cm="1">
        <f t="array" ref="F25">IFERROR((_xlfn._xlws.FILTER(INDEX(Margin[],0,MATCH(F$1&amp;"_"&amp;F$3,Margin[#Headers],0)),(Margin[Index]=F$2)*(Margin[Strategy]=F$5))*F24)/Client_Margin($C24),"-")</f>
        <v>-</v>
      </c>
      <c r="G25" s="15" t="str" cm="1">
        <f t="array" ref="G25">IFERROR((_xlfn._xlws.FILTER(INDEX(Margin[],0,MATCH(G$1&amp;"_"&amp;G$3,Margin[#Headers],0)),(Margin[Index]=G$2)*(Margin[Strategy]=G$5))*G24)/Client_Margin($C24),"-")</f>
        <v>-</v>
      </c>
      <c r="H25" s="15" cm="1">
        <f t="array" ref="H25">IFERROR((_xlfn._xlws.FILTER(INDEX(Margin[],0,MATCH(H$1&amp;"_"&amp;H$3,Margin[#Headers],0)),(Margin[Index]=H$2)*(Margin[Strategy]=H$5))*H24)/Client_Margin($C24),"-")</f>
        <v>0.1050566037735849</v>
      </c>
      <c r="I25" s="15" cm="1">
        <f t="array" ref="I25">IFERROR((_xlfn._xlws.FILTER(INDEX(Margin[],0,MATCH(I$1&amp;"_"&amp;I$3,Margin[#Headers],0)),(Margin[Index]=I$2)*(Margin[Strategy]=I$5))*I24)/Client_Margin($C24),"-")</f>
        <v>7.064150943396226E-2</v>
      </c>
      <c r="J25" s="15" cm="1">
        <f t="array" ref="J25">IFERROR((_xlfn._xlws.FILTER(INDEX(Margin[],0,MATCH(J$1&amp;"_"&amp;J$3,Margin[#Headers],0)),(Margin[Index]=J$2)*(Margin[Strategy]=J$5))*J24)/Client_Margin($C24),"-")</f>
        <v>6.0377358490566038E-2</v>
      </c>
      <c r="K25" s="15" cm="1">
        <f t="array" ref="K25">IFERROR((_xlfn._xlws.FILTER(INDEX(Margin[],0,MATCH(K$1&amp;"_"&amp;K$3,Margin[#Headers],0)),(Margin[Index]=K$2)*(Margin[Strategy]=K$5))*K24)/Client_Margin($C24),"-")</f>
        <v>0</v>
      </c>
      <c r="L25" s="15" cm="1">
        <f t="array" ref="L25">IFERROR((_xlfn._xlws.FILTER(INDEX(Margin[],0,MATCH(L$1&amp;"_"&amp;L$3,Margin[#Headers],0)),(Margin[Index]=L$2)*(Margin[Strategy]=L$5))*L24)/Client_Margin($C24),"-")</f>
        <v>0</v>
      </c>
      <c r="M25" s="15" cm="1">
        <f t="array" ref="M25">IFERROR((_xlfn._xlws.FILTER(INDEX(Margin[],0,MATCH(M$1&amp;"_"&amp;M$3,Margin[#Headers],0)),(Margin[Index]=M$2)*(Margin[Strategy]=M$5))*M24)/Client_Margin($C24),"-")</f>
        <v>0</v>
      </c>
    </row>
    <row r="26" spans="1:13" hidden="1" x14ac:dyDescent="0.25">
      <c r="A26" t="str">
        <f>_xlfn.XLOOKUP(C26,'OI QTY'!$O$5:$O$21,'OI QTY'!$N$5:$N$21,"")</f>
        <v/>
      </c>
      <c r="B26">
        <f t="shared" si="2"/>
        <v>1</v>
      </c>
      <c r="C26" s="14" t="s">
        <v>53</v>
      </c>
      <c r="D26" s="14" cm="1">
        <f t="array" ref="D26">(_xlfn._xlws.FILTER(Fund[Margin],Fund[Client Id]=C26))/10000000</f>
        <v>2.4</v>
      </c>
      <c r="E26" s="17"/>
      <c r="F26" s="14" t="str" cm="1">
        <f t="array" ref="F26">IFERROR(IF(ROUNDUP((Client_Margin($C26)*Alloted(F$3,F$2,F$5)/Get_Margin(F$3,F$2,F$5,F$1)),0)*Get_Margin(F$3,F$2,F$5,F$1)&gt;((Client_Margin($C26)*Alloted(F$3,F$2,F$5)/Get_Margin(F$3,F$2,F$5,F$1))*Get_Margin(F$3,F$2,F$5,F$1))*$D$3,ROUNDDOWN((Client_Margin($C26)*Alloted(F$3,F$2,F$5)/Get_Margin(F$3,F$2,F$5,F$1)),0),ROUNDUP((Client_Margin($C26)*Alloted(F$3,F$2,F$5)/Get_Margin(F$3,F$2,F$5,F$1)),0)),"-")</f>
        <v>-</v>
      </c>
      <c r="G26" s="14" t="str" cm="1">
        <f t="array" ref="G26">IFERROR(IF(ROUNDUP((Client_Margin($C26)*Alloted(G$3,G$2,G$5)/Get_Margin(G$3,G$2,G$5,G$1)),0)*Get_Margin(G$3,G$2,G$5,G$1)&gt;((Client_Margin($C26)*Alloted(G$3,G$2,G$5)/Get_Margin(G$3,G$2,G$5,G$1))*Get_Margin(G$3,G$2,G$5,G$1))*$D$3,ROUNDDOWN((Client_Margin($C26)*Alloted(G$3,G$2,G$5)/Get_Margin(G$3,G$2,G$5,G$1)),0),ROUNDUP((Client_Margin($C26)*Alloted(G$3,G$2,G$5)/Get_Margin(G$3,G$2,G$5,G$1)),0)),"-")</f>
        <v>-</v>
      </c>
      <c r="H26" s="14" cm="1">
        <f t="array" ref="H26">IFERROR(IF(ROUNDUP((Client_Margin($C26)*Alloted(H$3,H$2,H$5)/Get_Margin(H$3,H$2,H$5,H$1)),0)*Get_Margin(H$3,H$2,H$5,H$1)&gt;((Client_Margin($C26)*Alloted(H$3,H$2,H$5)/Get_Margin(H$3,H$2,H$5,H$1))*Get_Margin(H$3,H$2,H$5,H$1))*$D$3,ROUNDDOWN((Client_Margin($C26)*Alloted(H$3,H$2,H$5)/Get_Margin(H$3,H$2,H$5,H$1)),0),ROUNDUP((Client_Margin($C26)*Alloted(H$3,H$2,H$5)/Get_Margin(H$3,H$2,H$5,H$1)),0)),"-")</f>
        <v>3</v>
      </c>
      <c r="I26" s="14" cm="1">
        <f t="array" ref="I26">IFERROR(IF(ROUNDUP((Client_Margin($C26)*Alloted(I$3,I$2,I$5)/Get_Margin(I$3,I$2,I$5,I$1)),0)*Get_Margin(I$3,I$2,I$5,I$1)&gt;((Client_Margin($C26)*Alloted(I$3,I$2,I$5)/Get_Margin(I$3,I$2,I$5,I$1))*Get_Margin(I$3,I$2,I$5,I$1))*$D$3,ROUNDDOWN((Client_Margin($C26)*Alloted(I$3,I$2,I$5)/Get_Margin(I$3,I$2,I$5,I$1)),0),ROUNDUP((Client_Margin($C26)*Alloted(I$3,I$2,I$5)/Get_Margin(I$3,I$2,I$5,I$1)),0)),"-")</f>
        <v>1</v>
      </c>
      <c r="J26" s="14" cm="1">
        <f t="array" ref="J26">IFERROR(IF(ROUNDUP((Client_Margin($C26)*Alloted(J$3,J$2,J$5)/Get_Margin(J$3,J$2,J$5,J$1)),0)*Get_Margin(J$3,J$2,J$5,J$1)&gt;((Client_Margin($C26)*Alloted(J$3,J$2,J$5)/Get_Margin(J$3,J$2,J$5,J$1))*Get_Margin(J$3,J$2,J$5,J$1))*$D$3,ROUNDDOWN((Client_Margin($C26)*Alloted(J$3,J$2,J$5)/Get_Margin(J$3,J$2,J$5,J$1)),0),ROUNDUP((Client_Margin($C26)*Alloted(J$3,J$2,J$5)/Get_Margin(J$3,J$2,J$5,J$1)),0)),"-")</f>
        <v>1</v>
      </c>
      <c r="K26" s="14" cm="1">
        <f t="array" ref="K26">IFERROR(IF(ROUNDUP((Client_Margin($C26)*Alloted(K$3,K$2,K$5)/Get_Margin(K$3,K$2,K$5,K$1)),0)*Get_Margin(K$3,K$2,K$5,K$1)&gt;((Client_Margin($C26)*Alloted(K$3,K$2,K$5)/Get_Margin(K$3,K$2,K$5,K$1))*Get_Margin(K$3,K$2,K$5,K$1))*$D$3,ROUNDDOWN((Client_Margin($C26)*Alloted(K$3,K$2,K$5)/Get_Margin(K$3,K$2,K$5,K$1)),0),ROUNDUP((Client_Margin($C26)*Alloted(K$3,K$2,K$5)/Get_Margin(K$3,K$2,K$5,K$1)),0)),"-")</f>
        <v>0</v>
      </c>
      <c r="L26" s="14" cm="1">
        <f t="array" ref="L26">IFERROR(IF(ROUNDUP((Client_Margin($C26)*Alloted(L$3,L$2,L$5)/Get_Margin(L$3,L$2,L$5,L$1)),0)*Get_Margin(L$3,L$2,L$5,L$1)&gt;((Client_Margin($C26)*Alloted(L$3,L$2,L$5)/Get_Margin(L$3,L$2,L$5,L$1))*Get_Margin(L$3,L$2,L$5,L$1))*$D$3,ROUNDDOWN((Client_Margin($C26)*Alloted(L$3,L$2,L$5)/Get_Margin(L$3,L$2,L$5,L$1)),0),ROUNDUP((Client_Margin($C26)*Alloted(L$3,L$2,L$5)/Get_Margin(L$3,L$2,L$5,L$1)),0)),"-")</f>
        <v>0</v>
      </c>
      <c r="M26" s="14" cm="1">
        <f t="array" ref="M26">IFERROR(IF(ROUNDUP((Client_Margin($C26)*Alloted(M$3,M$2,M$5)/Get_Margin(M$3,M$2,M$5,M$1)),0)*Get_Margin(M$3,M$2,M$5,M$1)&gt;((Client_Margin($C26)*Alloted(M$3,M$2,M$5)/Get_Margin(M$3,M$2,M$5,M$1))*Get_Margin(M$3,M$2,M$5,M$1))*$D$3,ROUNDDOWN((Client_Margin($C26)*Alloted(M$3,M$2,M$5)/Get_Margin(M$3,M$2,M$5,M$1)),0),ROUNDUP((Client_Margin($C26)*Alloted(M$3,M$2,M$5)/Get_Margin(M$3,M$2,M$5,M$1)),0)),"-")</f>
        <v>0</v>
      </c>
    </row>
    <row r="27" spans="1:13" hidden="1" x14ac:dyDescent="0.25">
      <c r="A27">
        <f>_xlfn.XLOOKUP(C27,'OI QTY'!$O$5:$O$21,'OI QTY'!$N$5:$N$21,"")</f>
        <v>0</v>
      </c>
      <c r="B27">
        <f t="shared" si="2"/>
        <v>0</v>
      </c>
      <c r="C27" s="14"/>
      <c r="D27" s="14"/>
      <c r="E27" s="15">
        <f>SUM(F27:M27)</f>
        <v>0.23166666666666663</v>
      </c>
      <c r="F27" s="15" t="str" cm="1">
        <f t="array" ref="F27">IFERROR((_xlfn._xlws.FILTER(INDEX(Margin[],0,MATCH(F$1&amp;"_"&amp;F$3,Margin[#Headers],0)),(Margin[Index]=F$2)*(Margin[Strategy]=F$5))*F26)/Client_Margin($C26),"-")</f>
        <v>-</v>
      </c>
      <c r="G27" s="15" t="str" cm="1">
        <f t="array" ref="G27">IFERROR((_xlfn._xlws.FILTER(INDEX(Margin[],0,MATCH(G$1&amp;"_"&amp;G$3,Margin[#Headers],0)),(Margin[Index]=G$2)*(Margin[Strategy]=G$5))*G26)/Client_Margin($C26),"-")</f>
        <v>-</v>
      </c>
      <c r="H27" s="15" cm="1">
        <f t="array" ref="H27">IFERROR((_xlfn._xlws.FILTER(INDEX(Margin[],0,MATCH(H$1&amp;"_"&amp;H$3,Margin[#Headers],0)),(Margin[Index]=H$2)*(Margin[Strategy]=H$5))*H26)/Client_Margin($C26),"-")</f>
        <v>8.6999999999999994E-2</v>
      </c>
      <c r="I27" s="15" cm="1">
        <f t="array" ref="I27">IFERROR((_xlfn._xlws.FILTER(INDEX(Margin[],0,MATCH(I$1&amp;"_"&amp;I$3,Margin[#Headers],0)),(Margin[Index]=I$2)*(Margin[Strategy]=I$5))*I26)/Client_Margin($C26),"-")</f>
        <v>7.8E-2</v>
      </c>
      <c r="J27" s="15" cm="1">
        <f t="array" ref="J27">IFERROR((_xlfn._xlws.FILTER(INDEX(Margin[],0,MATCH(J$1&amp;"_"&amp;J$3,Margin[#Headers],0)),(Margin[Index]=J$2)*(Margin[Strategy]=J$5))*J26)/Client_Margin($C26),"-")</f>
        <v>6.6666666666666666E-2</v>
      </c>
      <c r="K27" s="15" cm="1">
        <f t="array" ref="K27">IFERROR((_xlfn._xlws.FILTER(INDEX(Margin[],0,MATCH(K$1&amp;"_"&amp;K$3,Margin[#Headers],0)),(Margin[Index]=K$2)*(Margin[Strategy]=K$5))*K26)/Client_Margin($C26),"-")</f>
        <v>0</v>
      </c>
      <c r="L27" s="15" cm="1">
        <f t="array" ref="L27">IFERROR((_xlfn._xlws.FILTER(INDEX(Margin[],0,MATCH(L$1&amp;"_"&amp;L$3,Margin[#Headers],0)),(Margin[Index]=L$2)*(Margin[Strategy]=L$5))*L26)/Client_Margin($C26),"-")</f>
        <v>0</v>
      </c>
      <c r="M27" s="15" cm="1">
        <f t="array" ref="M27">IFERROR((_xlfn._xlws.FILTER(INDEX(Margin[],0,MATCH(M$1&amp;"_"&amp;M$3,Margin[#Headers],0)),(Margin[Index]=M$2)*(Margin[Strategy]=M$5))*M26)/Client_Margin($C26),"-")</f>
        <v>0</v>
      </c>
    </row>
    <row r="28" spans="1:13" x14ac:dyDescent="0.25">
      <c r="A28" t="str">
        <f>_xlfn.XLOOKUP(C28,'OI QTY'!$O$5:$O$21,'OI QTY'!$N$5:$N$21,"")</f>
        <v>K</v>
      </c>
      <c r="B28">
        <f>IF(C28="",0,1)</f>
        <v>1</v>
      </c>
      <c r="C28" s="14" t="s">
        <v>129</v>
      </c>
      <c r="D28" s="14" cm="1">
        <f t="array" ref="D28">(_xlfn._xlws.FILTER(Fund[Margin],Fund[Client Id]=C28))/10000000</f>
        <v>2.4</v>
      </c>
      <c r="E28" s="17"/>
      <c r="F28" s="14" t="str" cm="1">
        <f t="array" ref="F28">IFERROR(IF(ROUNDUP((Client_Margin($C28)*Alloted(F$3,F$2,F$5)/Get_Margin(F$3,F$2,F$5,F$1)),0)*Get_Margin(F$3,F$2,F$5,F$1)&gt;((Client_Margin($C28)*Alloted(F$3,F$2,F$5)/Get_Margin(F$3,F$2,F$5,F$1))*Get_Margin(F$3,F$2,F$5,F$1))*$D$3,ROUNDDOWN((Client_Margin($C28)*Alloted(F$3,F$2,F$5)/Get_Margin(F$3,F$2,F$5,F$1)),0),ROUNDUP((Client_Margin($C28)*Alloted(F$3,F$2,F$5)/Get_Margin(F$3,F$2,F$5,F$1)),0)),"-")</f>
        <v>-</v>
      </c>
      <c r="G28" s="14" t="str" cm="1">
        <f t="array" ref="G28">IFERROR(IF(ROUNDUP((Client_Margin($C28)*Alloted(G$3,G$2,G$5)/Get_Margin(G$3,G$2,G$5,G$1)),0)*Get_Margin(G$3,G$2,G$5,G$1)&gt;((Client_Margin($C28)*Alloted(G$3,G$2,G$5)/Get_Margin(G$3,G$2,G$5,G$1))*Get_Margin(G$3,G$2,G$5,G$1))*$D$3,ROUNDDOWN((Client_Margin($C28)*Alloted(G$3,G$2,G$5)/Get_Margin(G$3,G$2,G$5,G$1)),0),ROUNDUP((Client_Margin($C28)*Alloted(G$3,G$2,G$5)/Get_Margin(G$3,G$2,G$5,G$1)),0)),"-")</f>
        <v>-</v>
      </c>
      <c r="H28" s="14" cm="1">
        <f t="array" ref="H28">IFERROR(IF(ROUNDUP((Client_Margin($C28)*Alloted(H$3,H$2,H$5)/Get_Margin(H$3,H$2,H$5,H$1)),0)*Get_Margin(H$3,H$2,H$5,H$1)&gt;((Client_Margin($C28)*Alloted(H$3,H$2,H$5)/Get_Margin(H$3,H$2,H$5,H$1))*Get_Margin(H$3,H$2,H$5,H$1))*$D$3,ROUNDDOWN((Client_Margin($C28)*Alloted(H$3,H$2,H$5)/Get_Margin(H$3,H$2,H$5,H$1)),0),ROUNDUP((Client_Margin($C28)*Alloted(H$3,H$2,H$5)/Get_Margin(H$3,H$2,H$5,H$1)),0)),"-")</f>
        <v>3</v>
      </c>
      <c r="I28" s="14" cm="1">
        <f t="array" ref="I28">IFERROR(IF(ROUNDUP((Client_Margin($C28)*Alloted(I$3,I$2,I$5)/Get_Margin(I$3,I$2,I$5,I$1)),0)*Get_Margin(I$3,I$2,I$5,I$1)&gt;((Client_Margin($C28)*Alloted(I$3,I$2,I$5)/Get_Margin(I$3,I$2,I$5,I$1))*Get_Margin(I$3,I$2,I$5,I$1))*$D$3,ROUNDDOWN((Client_Margin($C28)*Alloted(I$3,I$2,I$5)/Get_Margin(I$3,I$2,I$5,I$1)),0),ROUNDUP((Client_Margin($C28)*Alloted(I$3,I$2,I$5)/Get_Margin(I$3,I$2,I$5,I$1)),0)),"-")</f>
        <v>1</v>
      </c>
      <c r="J28" s="14" cm="1">
        <f t="array" ref="J28">IFERROR(IF(ROUNDUP((Client_Margin($C28)*Alloted(J$3,J$2,J$5)/Get_Margin(J$3,J$2,J$5,J$1)),0)*Get_Margin(J$3,J$2,J$5,J$1)&gt;((Client_Margin($C28)*Alloted(J$3,J$2,J$5)/Get_Margin(J$3,J$2,J$5,J$1))*Get_Margin(J$3,J$2,J$5,J$1))*$D$3,ROUNDDOWN((Client_Margin($C28)*Alloted(J$3,J$2,J$5)/Get_Margin(J$3,J$2,J$5,J$1)),0),ROUNDUP((Client_Margin($C28)*Alloted(J$3,J$2,J$5)/Get_Margin(J$3,J$2,J$5,J$1)),0)),"-")</f>
        <v>1</v>
      </c>
      <c r="K28" s="14" cm="1">
        <f t="array" ref="K28">IFERROR(IF(ROUNDUP((Client_Margin($C28)*Alloted(K$3,K$2,K$5)/Get_Margin(K$3,K$2,K$5,K$1)),0)*Get_Margin(K$3,K$2,K$5,K$1)&gt;((Client_Margin($C28)*Alloted(K$3,K$2,K$5)/Get_Margin(K$3,K$2,K$5,K$1))*Get_Margin(K$3,K$2,K$5,K$1))*$D$3,ROUNDDOWN((Client_Margin($C28)*Alloted(K$3,K$2,K$5)/Get_Margin(K$3,K$2,K$5,K$1)),0),ROUNDUP((Client_Margin($C28)*Alloted(K$3,K$2,K$5)/Get_Margin(K$3,K$2,K$5,K$1)),0)),"-")</f>
        <v>0</v>
      </c>
      <c r="L28" s="14" cm="1">
        <f t="array" ref="L28">IFERROR(IF(ROUNDUP((Client_Margin($C28)*Alloted(L$3,L$2,L$5)/Get_Margin(L$3,L$2,L$5,L$1)),0)*Get_Margin(L$3,L$2,L$5,L$1)&gt;((Client_Margin($C28)*Alloted(L$3,L$2,L$5)/Get_Margin(L$3,L$2,L$5,L$1))*Get_Margin(L$3,L$2,L$5,L$1))*$D$3,ROUNDDOWN((Client_Margin($C28)*Alloted(L$3,L$2,L$5)/Get_Margin(L$3,L$2,L$5,L$1)),0),ROUNDUP((Client_Margin($C28)*Alloted(L$3,L$2,L$5)/Get_Margin(L$3,L$2,L$5,L$1)),0)),"-")</f>
        <v>0</v>
      </c>
      <c r="M28" s="14" cm="1">
        <f t="array" ref="M28">IFERROR(IF(ROUNDUP((Client_Margin($C28)*Alloted(M$3,M$2,M$5)/Get_Margin(M$3,M$2,M$5,M$1)),0)*Get_Margin(M$3,M$2,M$5,M$1)&gt;((Client_Margin($C28)*Alloted(M$3,M$2,M$5)/Get_Margin(M$3,M$2,M$5,M$1))*Get_Margin(M$3,M$2,M$5,M$1))*$D$3,ROUNDDOWN((Client_Margin($C28)*Alloted(M$3,M$2,M$5)/Get_Margin(M$3,M$2,M$5,M$1)),0),ROUNDUP((Client_Margin($C28)*Alloted(M$3,M$2,M$5)/Get_Margin(M$3,M$2,M$5,M$1)),0)),"-")</f>
        <v>0</v>
      </c>
    </row>
    <row r="29" spans="1:13" hidden="1" x14ac:dyDescent="0.25">
      <c r="A29">
        <f>_xlfn.XLOOKUP(C29,'OI QTY'!$O$5:$O$21,'OI QTY'!$N$5:$N$21,"")</f>
        <v>0</v>
      </c>
      <c r="B29">
        <f>IF(C29="",0,1)</f>
        <v>0</v>
      </c>
      <c r="C29" s="14"/>
      <c r="D29" s="14"/>
      <c r="E29" s="15">
        <f>SUM(F29:M29)</f>
        <v>0.23166666666666663</v>
      </c>
      <c r="F29" s="15" t="str" cm="1">
        <f t="array" ref="F29">IFERROR((_xlfn._xlws.FILTER(INDEX(Margin[],0,MATCH(F$1&amp;"_"&amp;F$3,Margin[#Headers],0)),(Margin[Index]=F$2)*(Margin[Strategy]=F$5))*F28)/Client_Margin($C28),"-")</f>
        <v>-</v>
      </c>
      <c r="G29" s="15" t="str" cm="1">
        <f t="array" ref="G29">IFERROR((_xlfn._xlws.FILTER(INDEX(Margin[],0,MATCH(G$1&amp;"_"&amp;G$3,Margin[#Headers],0)),(Margin[Index]=G$2)*(Margin[Strategy]=G$5))*G28)/Client_Margin($C28),"-")</f>
        <v>-</v>
      </c>
      <c r="H29" s="15" cm="1">
        <f t="array" ref="H29">IFERROR((_xlfn._xlws.FILTER(INDEX(Margin[],0,MATCH(H$1&amp;"_"&amp;H$3,Margin[#Headers],0)),(Margin[Index]=H$2)*(Margin[Strategy]=H$5))*H28)/Client_Margin($C28),"-")</f>
        <v>8.6999999999999994E-2</v>
      </c>
      <c r="I29" s="15" cm="1">
        <f t="array" ref="I29">IFERROR((_xlfn._xlws.FILTER(INDEX(Margin[],0,MATCH(I$1&amp;"_"&amp;I$3,Margin[#Headers],0)),(Margin[Index]=I$2)*(Margin[Strategy]=I$5))*I28)/Client_Margin($C28),"-")</f>
        <v>7.8E-2</v>
      </c>
      <c r="J29" s="15" cm="1">
        <f t="array" ref="J29">IFERROR((_xlfn._xlws.FILTER(INDEX(Margin[],0,MATCH(J$1&amp;"_"&amp;J$3,Margin[#Headers],0)),(Margin[Index]=J$2)*(Margin[Strategy]=J$5))*J28)/Client_Margin($C28),"-")</f>
        <v>6.6666666666666666E-2</v>
      </c>
      <c r="K29" s="15" cm="1">
        <f t="array" ref="K29">IFERROR((_xlfn._xlws.FILTER(INDEX(Margin[],0,MATCH(K$1&amp;"_"&amp;K$3,Margin[#Headers],0)),(Margin[Index]=K$2)*(Margin[Strategy]=K$5))*K28)/Client_Margin($C28),"-")</f>
        <v>0</v>
      </c>
      <c r="L29" s="15" cm="1">
        <f t="array" ref="L29">IFERROR((_xlfn._xlws.FILTER(INDEX(Margin[],0,MATCH(L$1&amp;"_"&amp;L$3,Margin[#Headers],0)),(Margin[Index]=L$2)*(Margin[Strategy]=L$5))*L28)/Client_Margin($C28),"-")</f>
        <v>0</v>
      </c>
      <c r="M29" s="15" cm="1">
        <f t="array" ref="M29">IFERROR((_xlfn._xlws.FILTER(INDEX(Margin[],0,MATCH(M$1&amp;"_"&amp;M$3,Margin[#Headers],0)),(Margin[Index]=M$2)*(Margin[Strategy]=M$5))*M28)/Client_Margin($C28),"-")</f>
        <v>0</v>
      </c>
    </row>
    <row r="30" spans="1:13" x14ac:dyDescent="0.25">
      <c r="A30" t="str">
        <f>_xlfn.XLOOKUP(C30,'OI QTY'!$O$5:$O$21,'OI QTY'!$N$5:$N$21,"")</f>
        <v>K</v>
      </c>
      <c r="B30">
        <f t="shared" ref="B30:B31" si="3">IF(C30="",0,1)</f>
        <v>1</v>
      </c>
      <c r="C30" s="14" t="s">
        <v>114</v>
      </c>
      <c r="D30" s="14" cm="1">
        <f t="array" ref="D30">(_xlfn._xlws.FILTER(Fund[Margin],Fund[Client Id]=C30))/10000000</f>
        <v>1.85</v>
      </c>
      <c r="E30" s="17"/>
      <c r="F30" s="14" t="str" cm="1">
        <f t="array" ref="F30">IFERROR(IF(ROUNDUP((Client_Margin($C30)*Alloted(F$3,F$2,F$5)/Get_Margin(F$3,F$2,F$5,F$1)),0)*Get_Margin(F$3,F$2,F$5,F$1)&gt;((Client_Margin($C30)*Alloted(F$3,F$2,F$5)/Get_Margin(F$3,F$2,F$5,F$1))*Get_Margin(F$3,F$2,F$5,F$1))*$D$3,ROUNDDOWN((Client_Margin($C30)*Alloted(F$3,F$2,F$5)/Get_Margin(F$3,F$2,F$5,F$1)),0),ROUNDUP((Client_Margin($C30)*Alloted(F$3,F$2,F$5)/Get_Margin(F$3,F$2,F$5,F$1)),0)),"-")</f>
        <v>-</v>
      </c>
      <c r="G30" s="14" t="str" cm="1">
        <f t="array" ref="G30">IFERROR(IF(ROUNDUP((Client_Margin($C30)*Alloted(G$3,G$2,G$5)/Get_Margin(G$3,G$2,G$5,G$1)),0)*Get_Margin(G$3,G$2,G$5,G$1)&gt;((Client_Margin($C30)*Alloted(G$3,G$2,G$5)/Get_Margin(G$3,G$2,G$5,G$1))*Get_Margin(G$3,G$2,G$5,G$1))*$D$3,ROUNDDOWN((Client_Margin($C30)*Alloted(G$3,G$2,G$5)/Get_Margin(G$3,G$2,G$5,G$1)),0),ROUNDUP((Client_Margin($C30)*Alloted(G$3,G$2,G$5)/Get_Margin(G$3,G$2,G$5,G$1)),0)),"-")</f>
        <v>-</v>
      </c>
      <c r="H30" s="14" cm="1">
        <f t="array" ref="H30">IFERROR(IF(ROUNDUP((Client_Margin($C30)*Alloted(H$3,H$2,H$5)/Get_Margin(H$3,H$2,H$5,H$1)),0)*Get_Margin(H$3,H$2,H$5,H$1)&gt;((Client_Margin($C30)*Alloted(H$3,H$2,H$5)/Get_Margin(H$3,H$2,H$5,H$1))*Get_Margin(H$3,H$2,H$5,H$1))*$D$3,ROUNDDOWN((Client_Margin($C30)*Alloted(H$3,H$2,H$5)/Get_Margin(H$3,H$2,H$5,H$1)),0),ROUNDUP((Client_Margin($C30)*Alloted(H$3,H$2,H$5)/Get_Margin(H$3,H$2,H$5,H$1)),0)),"-")</f>
        <v>3</v>
      </c>
      <c r="I30" s="14" cm="1">
        <f t="array" ref="I30">IFERROR(IF(ROUNDUP((Client_Margin($C30)*Alloted(I$3,I$2,I$5)/Get_Margin(I$3,I$2,I$5,I$1)),0)*Get_Margin(I$3,I$2,I$5,I$1)&gt;((Client_Margin($C30)*Alloted(I$3,I$2,I$5)/Get_Margin(I$3,I$2,I$5,I$1))*Get_Margin(I$3,I$2,I$5,I$1))*$D$3,ROUNDDOWN((Client_Margin($C30)*Alloted(I$3,I$2,I$5)/Get_Margin(I$3,I$2,I$5,I$1)),0),ROUNDUP((Client_Margin($C30)*Alloted(I$3,I$2,I$5)/Get_Margin(I$3,I$2,I$5,I$1)),0)),"-")</f>
        <v>1</v>
      </c>
      <c r="J30" s="14" cm="1">
        <f t="array" ref="J30">IFERROR(IF(ROUNDUP((Client_Margin($C30)*Alloted(J$3,J$2,J$5)/Get_Margin(J$3,J$2,J$5,J$1)),0)*Get_Margin(J$3,J$2,J$5,J$1)&gt;((Client_Margin($C30)*Alloted(J$3,J$2,J$5)/Get_Margin(J$3,J$2,J$5,J$1))*Get_Margin(J$3,J$2,J$5,J$1))*$D$3,ROUNDDOWN((Client_Margin($C30)*Alloted(J$3,J$2,J$5)/Get_Margin(J$3,J$2,J$5,J$1)),0),ROUNDUP((Client_Margin($C30)*Alloted(J$3,J$2,J$5)/Get_Margin(J$3,J$2,J$5,J$1)),0)),"-")</f>
        <v>1</v>
      </c>
      <c r="K30" s="14" cm="1">
        <f t="array" ref="K30">IFERROR(IF(ROUNDUP((Client_Margin($C30)*Alloted(K$3,K$2,K$5)/Get_Margin(K$3,K$2,K$5,K$1)),0)*Get_Margin(K$3,K$2,K$5,K$1)&gt;((Client_Margin($C30)*Alloted(K$3,K$2,K$5)/Get_Margin(K$3,K$2,K$5,K$1))*Get_Margin(K$3,K$2,K$5,K$1))*$D$3,ROUNDDOWN((Client_Margin($C30)*Alloted(K$3,K$2,K$5)/Get_Margin(K$3,K$2,K$5,K$1)),0),ROUNDUP((Client_Margin($C30)*Alloted(K$3,K$2,K$5)/Get_Margin(K$3,K$2,K$5,K$1)),0)),"-")</f>
        <v>0</v>
      </c>
      <c r="L30" s="14" cm="1">
        <f t="array" ref="L30">IFERROR(IF(ROUNDUP((Client_Margin($C30)*Alloted(L$3,L$2,L$5)/Get_Margin(L$3,L$2,L$5,L$1)),0)*Get_Margin(L$3,L$2,L$5,L$1)&gt;((Client_Margin($C30)*Alloted(L$3,L$2,L$5)/Get_Margin(L$3,L$2,L$5,L$1))*Get_Margin(L$3,L$2,L$5,L$1))*$D$3,ROUNDDOWN((Client_Margin($C30)*Alloted(L$3,L$2,L$5)/Get_Margin(L$3,L$2,L$5,L$1)),0),ROUNDUP((Client_Margin($C30)*Alloted(L$3,L$2,L$5)/Get_Margin(L$3,L$2,L$5,L$1)),0)),"-")</f>
        <v>0</v>
      </c>
      <c r="M30" s="41">
        <v>0</v>
      </c>
    </row>
    <row r="31" spans="1:13" hidden="1" x14ac:dyDescent="0.25">
      <c r="A31">
        <f>_xlfn.XLOOKUP(C31,'OI QTY'!$O$5:$O$21,'OI QTY'!$N$5:$N$21,"")</f>
        <v>0</v>
      </c>
      <c r="B31">
        <f t="shared" si="3"/>
        <v>0</v>
      </c>
      <c r="C31" s="14"/>
      <c r="D31" s="14"/>
      <c r="E31" s="15">
        <f>SUM(F31:M31)</f>
        <v>0.30054054054054058</v>
      </c>
      <c r="F31" s="15" t="str" cm="1">
        <f t="array" ref="F31">IFERROR((_xlfn._xlws.FILTER(INDEX(Margin[],0,MATCH(F$1&amp;"_"&amp;F$3,Margin[#Headers],0)),(Margin[Index]=F$2)*(Margin[Strategy]=F$5))*F30)/Client_Margin($C30),"-")</f>
        <v>-</v>
      </c>
      <c r="G31" s="15" t="str" cm="1">
        <f t="array" ref="G31">IFERROR((_xlfn._xlws.FILTER(INDEX(Margin[],0,MATCH(G$1&amp;"_"&amp;G$3,Margin[#Headers],0)),(Margin[Index]=G$2)*(Margin[Strategy]=G$5))*G30)/Client_Margin($C30),"-")</f>
        <v>-</v>
      </c>
      <c r="H31" s="15" cm="1">
        <f t="array" ref="H31">IFERROR((_xlfn._xlws.FILTER(INDEX(Margin[],0,MATCH(H$1&amp;"_"&amp;H$3,Margin[#Headers],0)),(Margin[Index]=H$2)*(Margin[Strategy]=H$5))*H30)/Client_Margin($C30),"-")</f>
        <v>0.11286486486486487</v>
      </c>
      <c r="I31" s="15" cm="1">
        <f t="array" ref="I31">IFERROR((_xlfn._xlws.FILTER(INDEX(Margin[],0,MATCH(I$1&amp;"_"&amp;I$3,Margin[#Headers],0)),(Margin[Index]=I$2)*(Margin[Strategy]=I$5))*I30)/Client_Margin($C30),"-")</f>
        <v>0.10118918918918919</v>
      </c>
      <c r="J31" s="15" cm="1">
        <f t="array" ref="J31">IFERROR((_xlfn._xlws.FILTER(INDEX(Margin[],0,MATCH(J$1&amp;"_"&amp;J$3,Margin[#Headers],0)),(Margin[Index]=J$2)*(Margin[Strategy]=J$5))*J30)/Client_Margin($C30),"-")</f>
        <v>8.6486486486486491E-2</v>
      </c>
      <c r="K31" s="15" cm="1">
        <f t="array" ref="K31">IFERROR((_xlfn._xlws.FILTER(INDEX(Margin[],0,MATCH(K$1&amp;"_"&amp;K$3,Margin[#Headers],0)),(Margin[Index]=K$2)*(Margin[Strategy]=K$5))*K30)/Client_Margin($C30),"-")</f>
        <v>0</v>
      </c>
      <c r="L31" s="15" cm="1">
        <f t="array" ref="L31">IFERROR((_xlfn._xlws.FILTER(INDEX(Margin[],0,MATCH(L$1&amp;"_"&amp;L$3,Margin[#Headers],0)),(Margin[Index]=L$2)*(Margin[Strategy]=L$5))*L30)/Client_Margin($C30),"-")</f>
        <v>0</v>
      </c>
      <c r="M31" s="15" cm="1">
        <f t="array" ref="M31">IFERROR((_xlfn._xlws.FILTER(INDEX(Margin[],0,MATCH(M$1&amp;"_"&amp;M$3,Margin[#Headers],0)),(Margin[Index]=M$2)*(Margin[Strategy]=M$5))*M30)/Client_Margin($C30),"-")</f>
        <v>0</v>
      </c>
    </row>
    <row r="32" spans="1:13" x14ac:dyDescent="0.25">
      <c r="A32" t="str">
        <f>_xlfn.XLOOKUP(C32,'OI QTY'!$O$5:$O$21,'OI QTY'!$N$5:$N$21,"")</f>
        <v>K</v>
      </c>
      <c r="B32">
        <f t="shared" ref="B32:B43" si="4">IF(C32="",0,1)</f>
        <v>1</v>
      </c>
      <c r="C32" s="14" t="s">
        <v>130</v>
      </c>
      <c r="D32" s="14" cm="1">
        <f t="array" ref="D32">(_xlfn._xlws.FILTER(Fund[Margin],Fund[Client Id]=C32))/10000000</f>
        <v>1.8</v>
      </c>
      <c r="E32" s="17"/>
      <c r="F32" s="14" t="str" cm="1">
        <f t="array" ref="F32">IFERROR(IF(ROUNDUP((Client_Margin($C32)*Alloted(F$3,F$2,F$5)/Get_Margin(F$3,F$2,F$5,F$1)),0)*Get_Margin(F$3,F$2,F$5,F$1)&gt;((Client_Margin($C32)*Alloted(F$3,F$2,F$5)/Get_Margin(F$3,F$2,F$5,F$1))*Get_Margin(F$3,F$2,F$5,F$1))*$D$3,ROUNDDOWN((Client_Margin($C32)*Alloted(F$3,F$2,F$5)/Get_Margin(F$3,F$2,F$5,F$1)),0),ROUNDUP((Client_Margin($C32)*Alloted(F$3,F$2,F$5)/Get_Margin(F$3,F$2,F$5,F$1)),0)),"-")</f>
        <v>-</v>
      </c>
      <c r="G32" s="14" t="str" cm="1">
        <f t="array" ref="G32">IFERROR(IF(ROUNDUP((Client_Margin($C32)*Alloted(G$3,G$2,G$5)/Get_Margin(G$3,G$2,G$5,G$1)),0)*Get_Margin(G$3,G$2,G$5,G$1)&gt;((Client_Margin($C32)*Alloted(G$3,G$2,G$5)/Get_Margin(G$3,G$2,G$5,G$1))*Get_Margin(G$3,G$2,G$5,G$1))*$D$3,ROUNDDOWN((Client_Margin($C32)*Alloted(G$3,G$2,G$5)/Get_Margin(G$3,G$2,G$5,G$1)),0),ROUNDUP((Client_Margin($C32)*Alloted(G$3,G$2,G$5)/Get_Margin(G$3,G$2,G$5,G$1)),0)),"-")</f>
        <v>-</v>
      </c>
      <c r="H32" s="14" cm="1">
        <f t="array" ref="H32">IFERROR(IF(ROUNDUP((Client_Margin($C32)*Alloted(H$3,H$2,H$5)/Get_Margin(H$3,H$2,H$5,H$1)),0)*Get_Margin(H$3,H$2,H$5,H$1)&gt;((Client_Margin($C32)*Alloted(H$3,H$2,H$5)/Get_Margin(H$3,H$2,H$5,H$1))*Get_Margin(H$3,H$2,H$5,H$1))*$D$3,ROUNDDOWN((Client_Margin($C32)*Alloted(H$3,H$2,H$5)/Get_Margin(H$3,H$2,H$5,H$1)),0),ROUNDUP((Client_Margin($C32)*Alloted(H$3,H$2,H$5)/Get_Margin(H$3,H$2,H$5,H$1)),0)),"-")</f>
        <v>2</v>
      </c>
      <c r="I32" s="14" cm="1">
        <f t="array" ref="I32">IFERROR(IF(ROUNDUP((Client_Margin($C32)*Alloted(I$3,I$2,I$5)/Get_Margin(I$3,I$2,I$5,I$1)),0)*Get_Margin(I$3,I$2,I$5,I$1)&gt;((Client_Margin($C32)*Alloted(I$3,I$2,I$5)/Get_Margin(I$3,I$2,I$5,I$1))*Get_Margin(I$3,I$2,I$5,I$1))*$D$3,ROUNDDOWN((Client_Margin($C32)*Alloted(I$3,I$2,I$5)/Get_Margin(I$3,I$2,I$5,I$1)),0),ROUNDUP((Client_Margin($C32)*Alloted(I$3,I$2,I$5)/Get_Margin(I$3,I$2,I$5,I$1)),0)),"-")</f>
        <v>1</v>
      </c>
      <c r="J32" s="14" cm="1">
        <f t="array" ref="J32">IFERROR(IF(ROUNDUP((Client_Margin($C32)*Alloted(J$3,J$2,J$5)/Get_Margin(J$3,J$2,J$5,J$1)),0)*Get_Margin(J$3,J$2,J$5,J$1)&gt;((Client_Margin($C32)*Alloted(J$3,J$2,J$5)/Get_Margin(J$3,J$2,J$5,J$1))*Get_Margin(J$3,J$2,J$5,J$1))*$D$3,ROUNDDOWN((Client_Margin($C32)*Alloted(J$3,J$2,J$5)/Get_Margin(J$3,J$2,J$5,J$1)),0),ROUNDUP((Client_Margin($C32)*Alloted(J$3,J$2,J$5)/Get_Margin(J$3,J$2,J$5,J$1)),0)),"-")</f>
        <v>1</v>
      </c>
      <c r="K32" s="14" cm="1">
        <f t="array" ref="K32">IFERROR(IF(ROUNDUP((Client_Margin($C32)*Alloted(K$3,K$2,K$5)/Get_Margin(K$3,K$2,K$5,K$1)),0)*Get_Margin(K$3,K$2,K$5,K$1)&gt;((Client_Margin($C32)*Alloted(K$3,K$2,K$5)/Get_Margin(K$3,K$2,K$5,K$1))*Get_Margin(K$3,K$2,K$5,K$1))*$D$3,ROUNDDOWN((Client_Margin($C32)*Alloted(K$3,K$2,K$5)/Get_Margin(K$3,K$2,K$5,K$1)),0),ROUNDUP((Client_Margin($C32)*Alloted(K$3,K$2,K$5)/Get_Margin(K$3,K$2,K$5,K$1)),0)),"-")</f>
        <v>0</v>
      </c>
      <c r="L32" s="14" cm="1">
        <f t="array" ref="L32">IFERROR(IF(ROUNDUP((Client_Margin($C32)*Alloted(L$3,L$2,L$5)/Get_Margin(L$3,L$2,L$5,L$1)),0)*Get_Margin(L$3,L$2,L$5,L$1)&gt;((Client_Margin($C32)*Alloted(L$3,L$2,L$5)/Get_Margin(L$3,L$2,L$5,L$1))*Get_Margin(L$3,L$2,L$5,L$1))*$D$3,ROUNDDOWN((Client_Margin($C32)*Alloted(L$3,L$2,L$5)/Get_Margin(L$3,L$2,L$5,L$1)),0),ROUNDUP((Client_Margin($C32)*Alloted(L$3,L$2,L$5)/Get_Margin(L$3,L$2,L$5,L$1)),0)),"-")</f>
        <v>0</v>
      </c>
      <c r="M32" s="41">
        <v>0</v>
      </c>
    </row>
    <row r="33" spans="1:13" hidden="1" x14ac:dyDescent="0.25">
      <c r="A33">
        <f>_xlfn.XLOOKUP(C33,'OI QTY'!$O$5:$O$21,'OI QTY'!$N$5:$N$21,"")</f>
        <v>0</v>
      </c>
      <c r="B33">
        <f t="shared" si="4"/>
        <v>0</v>
      </c>
      <c r="C33" s="14"/>
      <c r="D33" s="14"/>
      <c r="E33" s="15">
        <f>SUM(F33:M33)</f>
        <v>0.27022222222222225</v>
      </c>
      <c r="F33" s="15" t="str" cm="1">
        <f t="array" ref="F33">IFERROR((_xlfn._xlws.FILTER(INDEX(Margin[],0,MATCH(F$1&amp;"_"&amp;F$3,Margin[#Headers],0)),(Margin[Index]=F$2)*(Margin[Strategy]=F$5))*F32)/Client_Margin($C32),"-")</f>
        <v>-</v>
      </c>
      <c r="G33" s="15" t="str" cm="1">
        <f t="array" ref="G33">IFERROR((_xlfn._xlws.FILTER(INDEX(Margin[],0,MATCH(G$1&amp;"_"&amp;G$3,Margin[#Headers],0)),(Margin[Index]=G$2)*(Margin[Strategy]=G$5))*G32)/Client_Margin($C32),"-")</f>
        <v>-</v>
      </c>
      <c r="H33" s="15" cm="1">
        <f t="array" ref="H33">IFERROR((_xlfn._xlws.FILTER(INDEX(Margin[],0,MATCH(H$1&amp;"_"&amp;H$3,Margin[#Headers],0)),(Margin[Index]=H$2)*(Margin[Strategy]=H$5))*H32)/Client_Margin($C32),"-")</f>
        <v>7.7333333333333337E-2</v>
      </c>
      <c r="I33" s="15" cm="1">
        <f t="array" ref="I33">IFERROR((_xlfn._xlws.FILTER(INDEX(Margin[],0,MATCH(I$1&amp;"_"&amp;I$3,Margin[#Headers],0)),(Margin[Index]=I$2)*(Margin[Strategy]=I$5))*I32)/Client_Margin($C32),"-")</f>
        <v>0.104</v>
      </c>
      <c r="J33" s="15" cm="1">
        <f t="array" ref="J33">IFERROR((_xlfn._xlws.FILTER(INDEX(Margin[],0,MATCH(J$1&amp;"_"&amp;J$3,Margin[#Headers],0)),(Margin[Index]=J$2)*(Margin[Strategy]=J$5))*J32)/Client_Margin($C32),"-")</f>
        <v>8.8888888888888892E-2</v>
      </c>
      <c r="K33" s="15" cm="1">
        <f t="array" ref="K33">IFERROR((_xlfn._xlws.FILTER(INDEX(Margin[],0,MATCH(K$1&amp;"_"&amp;K$3,Margin[#Headers],0)),(Margin[Index]=K$2)*(Margin[Strategy]=K$5))*K32)/Client_Margin($C32),"-")</f>
        <v>0</v>
      </c>
      <c r="L33" s="15" cm="1">
        <f t="array" ref="L33">IFERROR((_xlfn._xlws.FILTER(INDEX(Margin[],0,MATCH(L$1&amp;"_"&amp;L$3,Margin[#Headers],0)),(Margin[Index]=L$2)*(Margin[Strategy]=L$5))*L32)/Client_Margin($C32),"-")</f>
        <v>0</v>
      </c>
      <c r="M33" s="15" cm="1">
        <f t="array" ref="M33">IFERROR((_xlfn._xlws.FILTER(INDEX(Margin[],0,MATCH(M$1&amp;"_"&amp;M$3,Margin[#Headers],0)),(Margin[Index]=M$2)*(Margin[Strategy]=M$5))*M32)/Client_Margin($C32),"-")</f>
        <v>0</v>
      </c>
    </row>
    <row r="34" spans="1:13" x14ac:dyDescent="0.25">
      <c r="A34" t="str">
        <f>_xlfn.XLOOKUP(C34,'OI QTY'!$O$5:$O$21,'OI QTY'!$N$5:$N$21,"")</f>
        <v>K</v>
      </c>
      <c r="B34">
        <f t="shared" si="4"/>
        <v>1</v>
      </c>
      <c r="C34" s="14" t="s">
        <v>113</v>
      </c>
      <c r="D34" s="14" cm="1">
        <f t="array" ref="D34">(_xlfn._xlws.FILTER(Fund[Margin],Fund[Client Id]=C34))/10000000</f>
        <v>1.3</v>
      </c>
      <c r="E34" s="17"/>
      <c r="F34" s="14" t="str" cm="1">
        <f t="array" ref="F34">IFERROR(IF(ROUNDUP((Client_Margin($C34)*Alloted(F$3,F$2,F$5)/Get_Margin(F$3,F$2,F$5,F$1)),0)*Get_Margin(F$3,F$2,F$5,F$1)&gt;((Client_Margin($C34)*Alloted(F$3,F$2,F$5)/Get_Margin(F$3,F$2,F$5,F$1))*Get_Margin(F$3,F$2,F$5,F$1))*$D$3,ROUNDDOWN((Client_Margin($C34)*Alloted(F$3,F$2,F$5)/Get_Margin(F$3,F$2,F$5,F$1)),0),ROUNDUP((Client_Margin($C34)*Alloted(F$3,F$2,F$5)/Get_Margin(F$3,F$2,F$5,F$1)),0)),"-")</f>
        <v>-</v>
      </c>
      <c r="G34" s="14" t="str" cm="1">
        <f t="array" ref="G34">IFERROR(IF(ROUNDUP((Client_Margin($C34)*Alloted(G$3,G$2,G$5)/Get_Margin(G$3,G$2,G$5,G$1)),0)*Get_Margin(G$3,G$2,G$5,G$1)&gt;((Client_Margin($C34)*Alloted(G$3,G$2,G$5)/Get_Margin(G$3,G$2,G$5,G$1))*Get_Margin(G$3,G$2,G$5,G$1))*$D$3,ROUNDDOWN((Client_Margin($C34)*Alloted(G$3,G$2,G$5)/Get_Margin(G$3,G$2,G$5,G$1)),0),ROUNDUP((Client_Margin($C34)*Alloted(G$3,G$2,G$5)/Get_Margin(G$3,G$2,G$5,G$1)),0)),"-")</f>
        <v>-</v>
      </c>
      <c r="H34" s="14" cm="1">
        <f t="array" ref="H34">IFERROR(IF(ROUNDUP((Client_Margin($C34)*Alloted(H$3,H$2,H$5)/Get_Margin(H$3,H$2,H$5,H$1)),0)*Get_Margin(H$3,H$2,H$5,H$1)&gt;((Client_Margin($C34)*Alloted(H$3,H$2,H$5)/Get_Margin(H$3,H$2,H$5,H$1))*Get_Margin(H$3,H$2,H$5,H$1))*$D$3,ROUNDDOWN((Client_Margin($C34)*Alloted(H$3,H$2,H$5)/Get_Margin(H$3,H$2,H$5,H$1)),0),ROUNDUP((Client_Margin($C34)*Alloted(H$3,H$2,H$5)/Get_Margin(H$3,H$2,H$5,H$1)),0)),"-")</f>
        <v>2</v>
      </c>
      <c r="I34" s="41">
        <v>1</v>
      </c>
      <c r="J34" s="14" cm="1">
        <f t="array" ref="J34">IFERROR(IF(ROUNDUP((Client_Margin($C34)*Alloted(J$3,J$2,J$5)/Get_Margin(J$3,J$2,J$5,J$1)),0)*Get_Margin(J$3,J$2,J$5,J$1)&gt;((Client_Margin($C34)*Alloted(J$3,J$2,J$5)/Get_Margin(J$3,J$2,J$5,J$1))*Get_Margin(J$3,J$2,J$5,J$1))*$D$3,ROUNDDOWN((Client_Margin($C34)*Alloted(J$3,J$2,J$5)/Get_Margin(J$3,J$2,J$5,J$1)),0),ROUNDUP((Client_Margin($C34)*Alloted(J$3,J$2,J$5)/Get_Margin(J$3,J$2,J$5,J$1)),0)),"-")</f>
        <v>0</v>
      </c>
      <c r="K34" s="14" cm="1">
        <f t="array" ref="K34">IFERROR(IF(ROUNDUP((Client_Margin($C34)*Alloted(K$3,K$2,K$5)/Get_Margin(K$3,K$2,K$5,K$1)),0)*Get_Margin(K$3,K$2,K$5,K$1)&gt;((Client_Margin($C34)*Alloted(K$3,K$2,K$5)/Get_Margin(K$3,K$2,K$5,K$1))*Get_Margin(K$3,K$2,K$5,K$1))*$D$3,ROUNDDOWN((Client_Margin($C34)*Alloted(K$3,K$2,K$5)/Get_Margin(K$3,K$2,K$5,K$1)),0),ROUNDUP((Client_Margin($C34)*Alloted(K$3,K$2,K$5)/Get_Margin(K$3,K$2,K$5,K$1)),0)),"-")</f>
        <v>0</v>
      </c>
      <c r="L34" s="14" cm="1">
        <f t="array" ref="L34">IFERROR(IF(ROUNDUP((Client_Margin($C34)*Alloted(L$3,L$2,L$5)/Get_Margin(L$3,L$2,L$5,L$1)),0)*Get_Margin(L$3,L$2,L$5,L$1)&gt;((Client_Margin($C34)*Alloted(L$3,L$2,L$5)/Get_Margin(L$3,L$2,L$5,L$1))*Get_Margin(L$3,L$2,L$5,L$1))*$D$3,ROUNDDOWN((Client_Margin($C34)*Alloted(L$3,L$2,L$5)/Get_Margin(L$3,L$2,L$5,L$1)),0),ROUNDUP((Client_Margin($C34)*Alloted(L$3,L$2,L$5)/Get_Margin(L$3,L$2,L$5,L$1)),0)),"-")</f>
        <v>0</v>
      </c>
      <c r="M34" s="41">
        <v>0</v>
      </c>
    </row>
    <row r="35" spans="1:13" hidden="1" x14ac:dyDescent="0.25">
      <c r="A35">
        <f>_xlfn.XLOOKUP(C35,'OI QTY'!$O$5:$O$21,'OI QTY'!$N$5:$N$21,"")</f>
        <v>0</v>
      </c>
      <c r="B35">
        <f t="shared" si="4"/>
        <v>0</v>
      </c>
      <c r="C35" s="14"/>
      <c r="D35" s="14"/>
      <c r="E35" s="15">
        <f>SUM(F35:M35)</f>
        <v>0.25107692307692309</v>
      </c>
      <c r="F35" s="15" t="str" cm="1">
        <f t="array" ref="F35">IFERROR((_xlfn._xlws.FILTER(INDEX(Margin[],0,MATCH(F$1&amp;"_"&amp;F$3,Margin[#Headers],0)),(Margin[Index]=F$2)*(Margin[Strategy]=F$5))*F34)/Client_Margin($C34),"-")</f>
        <v>-</v>
      </c>
      <c r="G35" s="15" t="str" cm="1">
        <f t="array" ref="G35">IFERROR((_xlfn._xlws.FILTER(INDEX(Margin[],0,MATCH(G$1&amp;"_"&amp;G$3,Margin[#Headers],0)),(Margin[Index]=G$2)*(Margin[Strategy]=G$5))*G34)/Client_Margin($C34),"-")</f>
        <v>-</v>
      </c>
      <c r="H35" s="15" cm="1">
        <f t="array" ref="H35">IFERROR((_xlfn._xlws.FILTER(INDEX(Margin[],0,MATCH(H$1&amp;"_"&amp;H$3,Margin[#Headers],0)),(Margin[Index]=H$2)*(Margin[Strategy]=H$5))*H34)/Client_Margin($C34),"-")</f>
        <v>0.10707692307692308</v>
      </c>
      <c r="I35" s="15" cm="1">
        <f t="array" ref="I35">IFERROR((_xlfn._xlws.FILTER(INDEX(Margin[],0,MATCH(I$1&amp;"_"&amp;I$3,Margin[#Headers],0)),(Margin[Index]=I$2)*(Margin[Strategy]=I$5))*I34)/Client_Margin($C34),"-")</f>
        <v>0.14399999999999999</v>
      </c>
      <c r="J35" s="15" cm="1">
        <f t="array" ref="J35">IFERROR((_xlfn._xlws.FILTER(INDEX(Margin[],0,MATCH(J$1&amp;"_"&amp;J$3,Margin[#Headers],0)),(Margin[Index]=J$2)*(Margin[Strategy]=J$5))*J34)/Client_Margin($C34),"-")</f>
        <v>0</v>
      </c>
      <c r="K35" s="15" cm="1">
        <f t="array" ref="K35">IFERROR((_xlfn._xlws.FILTER(INDEX(Margin[],0,MATCH(K$1&amp;"_"&amp;K$3,Margin[#Headers],0)),(Margin[Index]=K$2)*(Margin[Strategy]=K$5))*K34)/Client_Margin($C34),"-")</f>
        <v>0</v>
      </c>
      <c r="L35" s="15" cm="1">
        <f t="array" ref="L35">IFERROR((_xlfn._xlws.FILTER(INDEX(Margin[],0,MATCH(L$1&amp;"_"&amp;L$3,Margin[#Headers],0)),(Margin[Index]=L$2)*(Margin[Strategy]=L$5))*L34)/Client_Margin($C34),"-")</f>
        <v>0</v>
      </c>
      <c r="M35" s="15" cm="1">
        <f t="array" ref="M35">IFERROR((_xlfn._xlws.FILTER(INDEX(Margin[],0,MATCH(M$1&amp;"_"&amp;M$3,Margin[#Headers],0)),(Margin[Index]=M$2)*(Margin[Strategy]=M$5))*M34)/Client_Margin($C34),"-")</f>
        <v>0</v>
      </c>
    </row>
    <row r="36" spans="1:13" hidden="1" x14ac:dyDescent="0.25">
      <c r="A36" t="str">
        <f>_xlfn.XLOOKUP(C36,'OI QTY'!$O$5:$O$21,'OI QTY'!$N$5:$N$21,"")</f>
        <v/>
      </c>
      <c r="B36">
        <f t="shared" si="4"/>
        <v>1</v>
      </c>
      <c r="C36" s="14" t="s">
        <v>38</v>
      </c>
      <c r="D36" s="14" cm="1">
        <f t="array" ref="D36">(_xlfn._xlws.FILTER(Fund[Margin],Fund[Client Id]=C36))/10000000</f>
        <v>1.5</v>
      </c>
      <c r="E36" s="17"/>
      <c r="F36" s="14" t="str" cm="1">
        <f t="array" ref="F36">IFERROR(IF(ROUNDUP((Client_Margin($C36)*Alloted(F$3,F$2,F$5)/Get_Margin(F$3,F$2,F$5,F$1)),0)*Get_Margin(F$3,F$2,F$5,F$1)&gt;((Client_Margin($C36)*Alloted(F$3,F$2,F$5)/Get_Margin(F$3,F$2,F$5,F$1))*Get_Margin(F$3,F$2,F$5,F$1))*$D$3,ROUNDDOWN((Client_Margin($C36)*Alloted(F$3,F$2,F$5)/Get_Margin(F$3,F$2,F$5,F$1)),0),ROUNDUP((Client_Margin($C36)*Alloted(F$3,F$2,F$5)/Get_Margin(F$3,F$2,F$5,F$1)),0)),"-")</f>
        <v>-</v>
      </c>
      <c r="G36" s="14" t="str" cm="1">
        <f t="array" ref="G36">IFERROR(IF(ROUNDUP((Client_Margin($C36)*Alloted(G$3,G$2,G$5)/Get_Margin(G$3,G$2,G$5,G$1)),0)*Get_Margin(G$3,G$2,G$5,G$1)&gt;((Client_Margin($C36)*Alloted(G$3,G$2,G$5)/Get_Margin(G$3,G$2,G$5,G$1))*Get_Margin(G$3,G$2,G$5,G$1))*$D$3,ROUNDDOWN((Client_Margin($C36)*Alloted(G$3,G$2,G$5)/Get_Margin(G$3,G$2,G$5,G$1)),0),ROUNDUP((Client_Margin($C36)*Alloted(G$3,G$2,G$5)/Get_Margin(G$3,G$2,G$5,G$1)),0)),"-")</f>
        <v>-</v>
      </c>
      <c r="H36" s="14" cm="1">
        <f t="array" ref="H36">IFERROR(IF(ROUNDUP((Client_Margin($C36)*Alloted(H$3,H$2,H$5)/Get_Margin(H$3,H$2,H$5,H$1)),0)*Get_Margin(H$3,H$2,H$5,H$1)&gt;((Client_Margin($C36)*Alloted(H$3,H$2,H$5)/Get_Margin(H$3,H$2,H$5,H$1))*Get_Margin(H$3,H$2,H$5,H$1))*$D$3,ROUNDDOWN((Client_Margin($C36)*Alloted(H$3,H$2,H$5)/Get_Margin(H$3,H$2,H$5,H$1)),0),ROUNDUP((Client_Margin($C36)*Alloted(H$3,H$2,H$5)/Get_Margin(H$3,H$2,H$5,H$1)),0)),"-")</f>
        <v>2</v>
      </c>
      <c r="I36" s="41">
        <v>1</v>
      </c>
      <c r="J36" s="14" cm="1">
        <f t="array" ref="J36">IFERROR(IF(ROUNDUP((Client_Margin($C36)*Alloted(J$3,J$2,J$5)/Get_Margin(J$3,J$2,J$5,J$1)),0)*Get_Margin(J$3,J$2,J$5,J$1)&gt;((Client_Margin($C36)*Alloted(J$3,J$2,J$5)/Get_Margin(J$3,J$2,J$5,J$1))*Get_Margin(J$3,J$2,J$5,J$1))*$D$3,ROUNDDOWN((Client_Margin($C36)*Alloted(J$3,J$2,J$5)/Get_Margin(J$3,J$2,J$5,J$1)),0),ROUNDUP((Client_Margin($C36)*Alloted(J$3,J$2,J$5)/Get_Margin(J$3,J$2,J$5,J$1)),0)),"-")</f>
        <v>1</v>
      </c>
      <c r="K36" s="14" cm="1">
        <f t="array" ref="K36">IFERROR(IF(ROUNDUP((Client_Margin($C36)*Alloted(K$3,K$2,K$5)/Get_Margin(K$3,K$2,K$5,K$1)),0)*Get_Margin(K$3,K$2,K$5,K$1)&gt;((Client_Margin($C36)*Alloted(K$3,K$2,K$5)/Get_Margin(K$3,K$2,K$5,K$1))*Get_Margin(K$3,K$2,K$5,K$1))*$D$3,ROUNDDOWN((Client_Margin($C36)*Alloted(K$3,K$2,K$5)/Get_Margin(K$3,K$2,K$5,K$1)),0),ROUNDUP((Client_Margin($C36)*Alloted(K$3,K$2,K$5)/Get_Margin(K$3,K$2,K$5,K$1)),0)),"-")</f>
        <v>0</v>
      </c>
      <c r="L36" s="14" cm="1">
        <f t="array" ref="L36">IFERROR(IF(ROUNDUP((Client_Margin($C36)*Alloted(L$3,L$2,L$5)/Get_Margin(L$3,L$2,L$5,L$1)),0)*Get_Margin(L$3,L$2,L$5,L$1)&gt;((Client_Margin($C36)*Alloted(L$3,L$2,L$5)/Get_Margin(L$3,L$2,L$5,L$1))*Get_Margin(L$3,L$2,L$5,L$1))*$D$3,ROUNDDOWN((Client_Margin($C36)*Alloted(L$3,L$2,L$5)/Get_Margin(L$3,L$2,L$5,L$1)),0),ROUNDUP((Client_Margin($C36)*Alloted(L$3,L$2,L$5)/Get_Margin(L$3,L$2,L$5,L$1)),0)),"-")</f>
        <v>0</v>
      </c>
      <c r="M36" s="41">
        <v>0</v>
      </c>
    </row>
    <row r="37" spans="1:13" hidden="1" x14ac:dyDescent="0.25">
      <c r="A37">
        <f>_xlfn.XLOOKUP(C37,'OI QTY'!$O$5:$O$21,'OI QTY'!$N$5:$N$21,"")</f>
        <v>0</v>
      </c>
      <c r="B37">
        <f t="shared" si="4"/>
        <v>0</v>
      </c>
      <c r="C37" s="14"/>
      <c r="D37" s="14"/>
      <c r="E37" s="15">
        <f>SUM(F37:M37)</f>
        <v>0.32426666666666665</v>
      </c>
      <c r="F37" s="15" t="str" cm="1">
        <f t="array" ref="F37">IFERROR((_xlfn._xlws.FILTER(INDEX(Margin[],0,MATCH(F$1&amp;"_"&amp;F$3,Margin[#Headers],0)),(Margin[Index]=F$2)*(Margin[Strategy]=F$5))*F36)/Client_Margin($C36),"-")</f>
        <v>-</v>
      </c>
      <c r="G37" s="15" t="str" cm="1">
        <f t="array" ref="G37">IFERROR((_xlfn._xlws.FILTER(INDEX(Margin[],0,MATCH(G$1&amp;"_"&amp;G$3,Margin[#Headers],0)),(Margin[Index]=G$2)*(Margin[Strategy]=G$5))*G36)/Client_Margin($C36),"-")</f>
        <v>-</v>
      </c>
      <c r="H37" s="15" cm="1">
        <f t="array" ref="H37">IFERROR((_xlfn._xlws.FILTER(INDEX(Margin[],0,MATCH(H$1&amp;"_"&amp;H$3,Margin[#Headers],0)),(Margin[Index]=H$2)*(Margin[Strategy]=H$5))*H36)/Client_Margin($C36),"-")</f>
        <v>9.2799999999999994E-2</v>
      </c>
      <c r="I37" s="15" cm="1">
        <f t="array" ref="I37">IFERROR((_xlfn._xlws.FILTER(INDEX(Margin[],0,MATCH(I$1&amp;"_"&amp;I$3,Margin[#Headers],0)),(Margin[Index]=I$2)*(Margin[Strategy]=I$5))*I36)/Client_Margin($C36),"-")</f>
        <v>0.12479999999999999</v>
      </c>
      <c r="J37" s="15" cm="1">
        <f t="array" ref="J37">IFERROR((_xlfn._xlws.FILTER(INDEX(Margin[],0,MATCH(J$1&amp;"_"&amp;J$3,Margin[#Headers],0)),(Margin[Index]=J$2)*(Margin[Strategy]=J$5))*J36)/Client_Margin($C36),"-")</f>
        <v>0.10666666666666667</v>
      </c>
      <c r="K37" s="15" cm="1">
        <f t="array" ref="K37">IFERROR((_xlfn._xlws.FILTER(INDEX(Margin[],0,MATCH(K$1&amp;"_"&amp;K$3,Margin[#Headers],0)),(Margin[Index]=K$2)*(Margin[Strategy]=K$5))*K36)/Client_Margin($C36),"-")</f>
        <v>0</v>
      </c>
      <c r="L37" s="15" cm="1">
        <f t="array" ref="L37">IFERROR((_xlfn._xlws.FILTER(INDEX(Margin[],0,MATCH(L$1&amp;"_"&amp;L$3,Margin[#Headers],0)),(Margin[Index]=L$2)*(Margin[Strategy]=L$5))*L36)/Client_Margin($C36),"-")</f>
        <v>0</v>
      </c>
      <c r="M37" s="15" cm="1">
        <f t="array" ref="M37">IFERROR((_xlfn._xlws.FILTER(INDEX(Margin[],0,MATCH(M$1&amp;"_"&amp;M$3,Margin[#Headers],0)),(Margin[Index]=M$2)*(Margin[Strategy]=M$5))*M36)/Client_Margin($C36),"-")</f>
        <v>0</v>
      </c>
    </row>
    <row r="38" spans="1:13" x14ac:dyDescent="0.25">
      <c r="A38" t="str">
        <f>_xlfn.XLOOKUP(C38,'OI QTY'!$O$5:$O$21,'OI QTY'!$N$5:$N$21,"")</f>
        <v>K</v>
      </c>
      <c r="B38">
        <f t="shared" si="4"/>
        <v>1</v>
      </c>
      <c r="C38" s="14" t="s">
        <v>121</v>
      </c>
      <c r="D38" s="14" cm="1">
        <f t="array" ref="D38">(_xlfn._xlws.FILTER(Fund[Margin],Fund[Client Id]=C38))/10000000</f>
        <v>1.6</v>
      </c>
      <c r="E38" s="17"/>
      <c r="F38" s="14" t="str" cm="1">
        <f t="array" ref="F38">IFERROR(IF(ROUNDUP((Client_Margin($C38)*Alloted(F$3,F$2,F$5)/Get_Margin(F$3,F$2,F$5,F$1)),0)*Get_Margin(F$3,F$2,F$5,F$1)&gt;((Client_Margin($C38)*Alloted(F$3,F$2,F$5)/Get_Margin(F$3,F$2,F$5,F$1))*Get_Margin(F$3,F$2,F$5,F$1))*$D$3,ROUNDDOWN((Client_Margin($C38)*Alloted(F$3,F$2,F$5)/Get_Margin(F$3,F$2,F$5,F$1)),0),ROUNDUP((Client_Margin($C38)*Alloted(F$3,F$2,F$5)/Get_Margin(F$3,F$2,F$5,F$1)),0)),"-")</f>
        <v>-</v>
      </c>
      <c r="G38" s="14" t="str" cm="1">
        <f t="array" ref="G38">IFERROR(IF(ROUNDUP((Client_Margin($C38)*Alloted(G$3,G$2,G$5)/Get_Margin(G$3,G$2,G$5,G$1)),0)*Get_Margin(G$3,G$2,G$5,G$1)&gt;((Client_Margin($C38)*Alloted(G$3,G$2,G$5)/Get_Margin(G$3,G$2,G$5,G$1))*Get_Margin(G$3,G$2,G$5,G$1))*$D$3,ROUNDDOWN((Client_Margin($C38)*Alloted(G$3,G$2,G$5)/Get_Margin(G$3,G$2,G$5,G$1)),0),ROUNDUP((Client_Margin($C38)*Alloted(G$3,G$2,G$5)/Get_Margin(G$3,G$2,G$5,G$1)),0)),"-")</f>
        <v>-</v>
      </c>
      <c r="H38" s="14" cm="1">
        <f t="array" ref="H38">IFERROR(IF(ROUNDUP((Client_Margin($C38)*Alloted(H$3,H$2,H$5)/Get_Margin(H$3,H$2,H$5,H$1)),0)*Get_Margin(H$3,H$2,H$5,H$1)&gt;((Client_Margin($C38)*Alloted(H$3,H$2,H$5)/Get_Margin(H$3,H$2,H$5,H$1))*Get_Margin(H$3,H$2,H$5,H$1))*$D$3,ROUNDDOWN((Client_Margin($C38)*Alloted(H$3,H$2,H$5)/Get_Margin(H$3,H$2,H$5,H$1)),0),ROUNDUP((Client_Margin($C38)*Alloted(H$3,H$2,H$5)/Get_Margin(H$3,H$2,H$5,H$1)),0)),"-")</f>
        <v>2</v>
      </c>
      <c r="I38" s="41">
        <v>1</v>
      </c>
      <c r="J38" s="14" cm="1">
        <f t="array" ref="J38">IFERROR(IF(ROUNDUP((Client_Margin($C38)*Alloted(J$3,J$2,J$5)/Get_Margin(J$3,J$2,J$5,J$1)),0)*Get_Margin(J$3,J$2,J$5,J$1)&gt;((Client_Margin($C38)*Alloted(J$3,J$2,J$5)/Get_Margin(J$3,J$2,J$5,J$1))*Get_Margin(J$3,J$2,J$5,J$1))*$D$3,ROUNDDOWN((Client_Margin($C38)*Alloted(J$3,J$2,J$5)/Get_Margin(J$3,J$2,J$5,J$1)),0),ROUNDUP((Client_Margin($C38)*Alloted(J$3,J$2,J$5)/Get_Margin(J$3,J$2,J$5,J$1)),0)),"-")</f>
        <v>1</v>
      </c>
      <c r="K38" s="14" cm="1">
        <f t="array" ref="K38">IFERROR(IF(ROUNDUP((Client_Margin($C38)*Alloted(K$3,K$2,K$5)/Get_Margin(K$3,K$2,K$5,K$1)),0)*Get_Margin(K$3,K$2,K$5,K$1)&gt;((Client_Margin($C38)*Alloted(K$3,K$2,K$5)/Get_Margin(K$3,K$2,K$5,K$1))*Get_Margin(K$3,K$2,K$5,K$1))*$D$3,ROUNDDOWN((Client_Margin($C38)*Alloted(K$3,K$2,K$5)/Get_Margin(K$3,K$2,K$5,K$1)),0),ROUNDUP((Client_Margin($C38)*Alloted(K$3,K$2,K$5)/Get_Margin(K$3,K$2,K$5,K$1)),0)),"-")</f>
        <v>0</v>
      </c>
      <c r="L38" s="14" cm="1">
        <f t="array" ref="L38">IFERROR(IF(ROUNDUP((Client_Margin($C38)*Alloted(L$3,L$2,L$5)/Get_Margin(L$3,L$2,L$5,L$1)),0)*Get_Margin(L$3,L$2,L$5,L$1)&gt;((Client_Margin($C38)*Alloted(L$3,L$2,L$5)/Get_Margin(L$3,L$2,L$5,L$1))*Get_Margin(L$3,L$2,L$5,L$1))*$D$3,ROUNDDOWN((Client_Margin($C38)*Alloted(L$3,L$2,L$5)/Get_Margin(L$3,L$2,L$5,L$1)),0),ROUNDUP((Client_Margin($C38)*Alloted(L$3,L$2,L$5)/Get_Margin(L$3,L$2,L$5,L$1)),0)),"-")</f>
        <v>0</v>
      </c>
      <c r="M38" s="41">
        <v>0</v>
      </c>
    </row>
    <row r="39" spans="1:13" hidden="1" x14ac:dyDescent="0.25">
      <c r="A39">
        <f>_xlfn.XLOOKUP(C39,'OI QTY'!$O$5:$O$21,'OI QTY'!$N$5:$N$21,"")</f>
        <v>0</v>
      </c>
      <c r="B39">
        <f t="shared" si="4"/>
        <v>0</v>
      </c>
      <c r="C39" s="14"/>
      <c r="D39" s="14"/>
      <c r="E39" s="15">
        <f>SUM(F39:M39)</f>
        <v>0.30400000000000005</v>
      </c>
      <c r="F39" s="15" t="str" cm="1">
        <f t="array" ref="F39">IFERROR((_xlfn._xlws.FILTER(INDEX(Margin[],0,MATCH(F$1&amp;"_"&amp;F$3,Margin[#Headers],0)),(Margin[Index]=F$2)*(Margin[Strategy]=F$5))*F38)/Client_Margin($C38),"-")</f>
        <v>-</v>
      </c>
      <c r="G39" s="15" t="str" cm="1">
        <f t="array" ref="G39">IFERROR((_xlfn._xlws.FILTER(INDEX(Margin[],0,MATCH(G$1&amp;"_"&amp;G$3,Margin[#Headers],0)),(Margin[Index]=G$2)*(Margin[Strategy]=G$5))*G38)/Client_Margin($C38),"-")</f>
        <v>-</v>
      </c>
      <c r="H39" s="15" cm="1">
        <f t="array" ref="H39">IFERROR((_xlfn._xlws.FILTER(INDEX(Margin[],0,MATCH(H$1&amp;"_"&amp;H$3,Margin[#Headers],0)),(Margin[Index]=H$2)*(Margin[Strategy]=H$5))*H38)/Client_Margin($C38),"-")</f>
        <v>8.6999999999999994E-2</v>
      </c>
      <c r="I39" s="15" cm="1">
        <f t="array" ref="I39">IFERROR((_xlfn._xlws.FILTER(INDEX(Margin[],0,MATCH(I$1&amp;"_"&amp;I$3,Margin[#Headers],0)),(Margin[Index]=I$2)*(Margin[Strategy]=I$5))*I38)/Client_Margin($C38),"-")</f>
        <v>0.11700000000000001</v>
      </c>
      <c r="J39" s="15" cm="1">
        <f t="array" ref="J39">IFERROR((_xlfn._xlws.FILTER(INDEX(Margin[],0,MATCH(J$1&amp;"_"&amp;J$3,Margin[#Headers],0)),(Margin[Index]=J$2)*(Margin[Strategy]=J$5))*J38)/Client_Margin($C38),"-")</f>
        <v>0.1</v>
      </c>
      <c r="K39" s="15" cm="1">
        <f t="array" ref="K39">IFERROR((_xlfn._xlws.FILTER(INDEX(Margin[],0,MATCH(K$1&amp;"_"&amp;K$3,Margin[#Headers],0)),(Margin[Index]=K$2)*(Margin[Strategy]=K$5))*K38)/Client_Margin($C38),"-")</f>
        <v>0</v>
      </c>
      <c r="L39" s="15" cm="1">
        <f t="array" ref="L39">IFERROR((_xlfn._xlws.FILTER(INDEX(Margin[],0,MATCH(L$1&amp;"_"&amp;L$3,Margin[#Headers],0)),(Margin[Index]=L$2)*(Margin[Strategy]=L$5))*L38)/Client_Margin($C38),"-")</f>
        <v>0</v>
      </c>
      <c r="M39" s="15" cm="1">
        <f t="array" ref="M39">IFERROR((_xlfn._xlws.FILTER(INDEX(Margin[],0,MATCH(M$1&amp;"_"&amp;M$3,Margin[#Headers],0)),(Margin[Index]=M$2)*(Margin[Strategy]=M$5))*M38)/Client_Margin($C38),"-")</f>
        <v>0</v>
      </c>
    </row>
    <row r="40" spans="1:13" hidden="1" x14ac:dyDescent="0.25">
      <c r="A40" t="str">
        <f>_xlfn.XLOOKUP(C40,'OI QTY'!$O$5:$O$21,'OI QTY'!$N$5:$N$21,"")</f>
        <v/>
      </c>
      <c r="B40">
        <v>1</v>
      </c>
      <c r="C40" s="14" t="s">
        <v>115</v>
      </c>
      <c r="D40" s="14" cm="1">
        <f t="array" ref="D40">(_xlfn._xlws.FILTER(Fund[Margin],Fund[Client Id]=C40))/10000000</f>
        <v>1.45</v>
      </c>
      <c r="E40" s="17"/>
      <c r="F40" s="14" t="str" cm="1">
        <f t="array" ref="F40">IFERROR(IF(ROUNDUP((Client_Margin($C40)*Alloted(F$3,F$2,F$5)/Get_Margin(F$3,F$2,F$5,F$1)),0)*Get_Margin(F$3,F$2,F$5,F$1)&gt;((Client_Margin($C40)*Alloted(F$3,F$2,F$5)/Get_Margin(F$3,F$2,F$5,F$1))*Get_Margin(F$3,F$2,F$5,F$1))*$D$3,ROUNDDOWN((Client_Margin($C40)*Alloted(F$3,F$2,F$5)/Get_Margin(F$3,F$2,F$5,F$1)),0),ROUNDUP((Client_Margin($C40)*Alloted(F$3,F$2,F$5)/Get_Margin(F$3,F$2,F$5,F$1)),0)),"-")</f>
        <v>-</v>
      </c>
      <c r="G40" s="14" t="str" cm="1">
        <f t="array" ref="G40">IFERROR(IF(ROUNDUP((Client_Margin($C40)*Alloted(G$3,G$2,G$5)/Get_Margin(G$3,G$2,G$5,G$1)),0)*Get_Margin(G$3,G$2,G$5,G$1)&gt;((Client_Margin($C40)*Alloted(G$3,G$2,G$5)/Get_Margin(G$3,G$2,G$5,G$1))*Get_Margin(G$3,G$2,G$5,G$1))*$D$3,ROUNDDOWN((Client_Margin($C40)*Alloted(G$3,G$2,G$5)/Get_Margin(G$3,G$2,G$5,G$1)),0),ROUNDUP((Client_Margin($C40)*Alloted(G$3,G$2,G$5)/Get_Margin(G$3,G$2,G$5,G$1)),0)),"-")</f>
        <v>-</v>
      </c>
      <c r="H40" s="14" cm="1">
        <f t="array" ref="H40">IFERROR(IF(ROUNDUP((Client_Margin($C40)*Alloted(H$3,H$2,H$5)/Get_Margin(H$3,H$2,H$5,H$1)),0)*Get_Margin(H$3,H$2,H$5,H$1)&gt;((Client_Margin($C40)*Alloted(H$3,H$2,H$5)/Get_Margin(H$3,H$2,H$5,H$1))*Get_Margin(H$3,H$2,H$5,H$1))*$D$3,ROUNDDOWN((Client_Margin($C40)*Alloted(H$3,H$2,H$5)/Get_Margin(H$3,H$2,H$5,H$1)),0),ROUNDUP((Client_Margin($C40)*Alloted(H$3,H$2,H$5)/Get_Margin(H$3,H$2,H$5,H$1)),0)),"-")</f>
        <v>2</v>
      </c>
      <c r="I40" s="41">
        <v>1</v>
      </c>
      <c r="J40" s="14" cm="1">
        <f t="array" ref="J40">IFERROR(IF(ROUNDUP((Client_Margin($C40)*Alloted(J$3,J$2,J$5)/Get_Margin(J$3,J$2,J$5,J$1)),0)*Get_Margin(J$3,J$2,J$5,J$1)&gt;((Client_Margin($C40)*Alloted(J$3,J$2,J$5)/Get_Margin(J$3,J$2,J$5,J$1))*Get_Margin(J$3,J$2,J$5,J$1))*$D$3,ROUNDDOWN((Client_Margin($C40)*Alloted(J$3,J$2,J$5)/Get_Margin(J$3,J$2,J$5,J$1)),0),ROUNDUP((Client_Margin($C40)*Alloted(J$3,J$2,J$5)/Get_Margin(J$3,J$2,J$5,J$1)),0)),"-")</f>
        <v>1</v>
      </c>
      <c r="K40" s="14" cm="1">
        <f t="array" ref="K40">IFERROR(IF(ROUNDUP((Client_Margin($C40)*Alloted(K$3,K$2,K$5)/Get_Margin(K$3,K$2,K$5,K$1)),0)*Get_Margin(K$3,K$2,K$5,K$1)&gt;((Client_Margin($C40)*Alloted(K$3,K$2,K$5)/Get_Margin(K$3,K$2,K$5,K$1))*Get_Margin(K$3,K$2,K$5,K$1))*$D$3,ROUNDDOWN((Client_Margin($C40)*Alloted(K$3,K$2,K$5)/Get_Margin(K$3,K$2,K$5,K$1)),0),ROUNDUP((Client_Margin($C40)*Alloted(K$3,K$2,K$5)/Get_Margin(K$3,K$2,K$5,K$1)),0)),"-")</f>
        <v>0</v>
      </c>
      <c r="L40" s="14" cm="1">
        <f t="array" ref="L40">IFERROR(IF(ROUNDUP((Client_Margin($C40)*Alloted(L$3,L$2,L$5)/Get_Margin(L$3,L$2,L$5,L$1)),0)*Get_Margin(L$3,L$2,L$5,L$1)&gt;((Client_Margin($C40)*Alloted(L$3,L$2,L$5)/Get_Margin(L$3,L$2,L$5,L$1))*Get_Margin(L$3,L$2,L$5,L$1))*$D$3,ROUNDDOWN((Client_Margin($C40)*Alloted(L$3,L$2,L$5)/Get_Margin(L$3,L$2,L$5,L$1)),0),ROUNDUP((Client_Margin($C40)*Alloted(L$3,L$2,L$5)/Get_Margin(L$3,L$2,L$5,L$1)),0)),"-")</f>
        <v>0</v>
      </c>
      <c r="M40" s="41">
        <v>0</v>
      </c>
    </row>
    <row r="41" spans="1:13" hidden="1" x14ac:dyDescent="0.25">
      <c r="A41">
        <f>_xlfn.XLOOKUP(C41,'OI QTY'!$O$5:$O$21,'OI QTY'!$N$5:$N$21,"")</f>
        <v>0</v>
      </c>
      <c r="B41">
        <v>0</v>
      </c>
      <c r="C41" s="14"/>
      <c r="D41" s="14"/>
      <c r="E41" s="15">
        <f>SUM(F41:M41)</f>
        <v>0.33544827586206893</v>
      </c>
      <c r="F41" s="15" t="str" cm="1">
        <f t="array" ref="F41">IFERROR((_xlfn._xlws.FILTER(INDEX(Margin[],0,MATCH(F$1&amp;"_"&amp;F$3,Margin[#Headers],0)),(Margin[Index]=F$2)*(Margin[Strategy]=F$5))*F40)/Client_Margin($C40),"-")</f>
        <v>-</v>
      </c>
      <c r="G41" s="15" t="str" cm="1">
        <f t="array" ref="G41">IFERROR((_xlfn._xlws.FILTER(INDEX(Margin[],0,MATCH(G$1&amp;"_"&amp;G$3,Margin[#Headers],0)),(Margin[Index]=G$2)*(Margin[Strategy]=G$5))*G40)/Client_Margin($C40),"-")</f>
        <v>-</v>
      </c>
      <c r="H41" s="15" cm="1">
        <f t="array" ref="H41">IFERROR((_xlfn._xlws.FILTER(INDEX(Margin[],0,MATCH(H$1&amp;"_"&amp;H$3,Margin[#Headers],0)),(Margin[Index]=H$2)*(Margin[Strategy]=H$5))*H40)/Client_Margin($C40),"-")</f>
        <v>9.6000000000000002E-2</v>
      </c>
      <c r="I41" s="15" cm="1">
        <f t="array" ref="I41">IFERROR((_xlfn._xlws.FILTER(INDEX(Margin[],0,MATCH(I$1&amp;"_"&amp;I$3,Margin[#Headers],0)),(Margin[Index]=I$2)*(Margin[Strategy]=I$5))*I40)/Client_Margin($C40),"-")</f>
        <v>0.12910344827586206</v>
      </c>
      <c r="J41" s="15" cm="1">
        <f t="array" ref="J41">IFERROR((_xlfn._xlws.FILTER(INDEX(Margin[],0,MATCH(J$1&amp;"_"&amp;J$3,Margin[#Headers],0)),(Margin[Index]=J$2)*(Margin[Strategy]=J$5))*J40)/Client_Margin($C40),"-")</f>
        <v>0.1103448275862069</v>
      </c>
      <c r="K41" s="15" cm="1">
        <f t="array" ref="K41">IFERROR((_xlfn._xlws.FILTER(INDEX(Margin[],0,MATCH(K$1&amp;"_"&amp;K$3,Margin[#Headers],0)),(Margin[Index]=K$2)*(Margin[Strategy]=K$5))*K40)/Client_Margin($C40),"-")</f>
        <v>0</v>
      </c>
      <c r="L41" s="15" cm="1">
        <f t="array" ref="L41">IFERROR((_xlfn._xlws.FILTER(INDEX(Margin[],0,MATCH(L$1&amp;"_"&amp;L$3,Margin[#Headers],0)),(Margin[Index]=L$2)*(Margin[Strategy]=L$5))*L40)/Client_Margin($C40),"-")</f>
        <v>0</v>
      </c>
      <c r="M41" s="15" cm="1">
        <f t="array" ref="M41">IFERROR((_xlfn._xlws.FILTER(INDEX(Margin[],0,MATCH(M$1&amp;"_"&amp;M$3,Margin[#Headers],0)),(Margin[Index]=M$2)*(Margin[Strategy]=M$5))*M40)/Client_Margin($C40),"-")</f>
        <v>0</v>
      </c>
    </row>
    <row r="42" spans="1:13" hidden="1" x14ac:dyDescent="0.25">
      <c r="A42" t="str">
        <f>_xlfn.XLOOKUP(C42,'OI QTY'!$O$5:$O$21,'OI QTY'!$N$5:$N$21,"")</f>
        <v/>
      </c>
      <c r="B42">
        <f t="shared" si="4"/>
        <v>1</v>
      </c>
      <c r="C42" s="14" t="s">
        <v>40</v>
      </c>
      <c r="D42" s="14" cm="1">
        <f t="array" ref="D42">(_xlfn._xlws.FILTER(Fund[Margin],Fund[Client Id]=C42))/10000000</f>
        <v>1.3</v>
      </c>
      <c r="E42" s="17"/>
      <c r="F42" s="14" t="str" cm="1">
        <f t="array" ref="F42">IFERROR(IF(ROUNDUP((Client_Margin($C42)*Alloted(F$3,F$2,F$5)/Get_Margin(F$3,F$2,F$5,F$1)),0)*Get_Margin(F$3,F$2,F$5,F$1)&gt;((Client_Margin($C42)*Alloted(F$3,F$2,F$5)/Get_Margin(F$3,F$2,F$5,F$1))*Get_Margin(F$3,F$2,F$5,F$1))*$D$3,ROUNDDOWN((Client_Margin($C42)*Alloted(F$3,F$2,F$5)/Get_Margin(F$3,F$2,F$5,F$1)),0),ROUNDUP((Client_Margin($C42)*Alloted(F$3,F$2,F$5)/Get_Margin(F$3,F$2,F$5,F$1)),0)),"-")</f>
        <v>-</v>
      </c>
      <c r="G42" s="14" t="str" cm="1">
        <f t="array" ref="G42">IFERROR(IF(ROUNDUP((Client_Margin($C42)*Alloted(G$3,G$2,G$5)/Get_Margin(G$3,G$2,G$5,G$1)),0)*Get_Margin(G$3,G$2,G$5,G$1)&gt;((Client_Margin($C42)*Alloted(G$3,G$2,G$5)/Get_Margin(G$3,G$2,G$5,G$1))*Get_Margin(G$3,G$2,G$5,G$1))*$D$3,ROUNDDOWN((Client_Margin($C42)*Alloted(G$3,G$2,G$5)/Get_Margin(G$3,G$2,G$5,G$1)),0),ROUNDUP((Client_Margin($C42)*Alloted(G$3,G$2,G$5)/Get_Margin(G$3,G$2,G$5,G$1)),0)),"-")</f>
        <v>-</v>
      </c>
      <c r="H42" s="14" cm="1">
        <f t="array" ref="H42">IFERROR(IF(ROUNDUP((Client_Margin($C42)*Alloted(H$3,H$2,H$5)/Get_Margin(H$3,H$2,H$5,H$1)),0)*Get_Margin(H$3,H$2,H$5,H$1)&gt;((Client_Margin($C42)*Alloted(H$3,H$2,H$5)/Get_Margin(H$3,H$2,H$5,H$1))*Get_Margin(H$3,H$2,H$5,H$1))*$D$3,ROUNDDOWN((Client_Margin($C42)*Alloted(H$3,H$2,H$5)/Get_Margin(H$3,H$2,H$5,H$1)),0),ROUNDUP((Client_Margin($C42)*Alloted(H$3,H$2,H$5)/Get_Margin(H$3,H$2,H$5,H$1)),0)),"-")</f>
        <v>2</v>
      </c>
      <c r="I42" s="41">
        <v>1</v>
      </c>
      <c r="J42" s="41">
        <v>1</v>
      </c>
      <c r="K42" s="14" cm="1">
        <f t="array" ref="K42">IFERROR(IF(ROUNDUP((Client_Margin($C42)*Alloted(K$3,K$2,K$5)/Get_Margin(K$3,K$2,K$5,K$1)),0)*Get_Margin(K$3,K$2,K$5,K$1)&gt;((Client_Margin($C42)*Alloted(K$3,K$2,K$5)/Get_Margin(K$3,K$2,K$5,K$1))*Get_Margin(K$3,K$2,K$5,K$1))*$D$3,ROUNDDOWN((Client_Margin($C42)*Alloted(K$3,K$2,K$5)/Get_Margin(K$3,K$2,K$5,K$1)),0),ROUNDUP((Client_Margin($C42)*Alloted(K$3,K$2,K$5)/Get_Margin(K$3,K$2,K$5,K$1)),0)),"-")</f>
        <v>0</v>
      </c>
      <c r="L42" s="14" cm="1">
        <f t="array" ref="L42">IFERROR(IF(ROUNDUP((Client_Margin($C42)*Alloted(L$3,L$2,L$5)/Get_Margin(L$3,L$2,L$5,L$1)),0)*Get_Margin(L$3,L$2,L$5,L$1)&gt;((Client_Margin($C42)*Alloted(L$3,L$2,L$5)/Get_Margin(L$3,L$2,L$5,L$1))*Get_Margin(L$3,L$2,L$5,L$1))*$D$3,ROUNDDOWN((Client_Margin($C42)*Alloted(L$3,L$2,L$5)/Get_Margin(L$3,L$2,L$5,L$1)),0),ROUNDUP((Client_Margin($C42)*Alloted(L$3,L$2,L$5)/Get_Margin(L$3,L$2,L$5,L$1)),0)),"-")</f>
        <v>0</v>
      </c>
      <c r="M42" s="41">
        <v>0</v>
      </c>
    </row>
    <row r="43" spans="1:13" hidden="1" x14ac:dyDescent="0.25">
      <c r="B43">
        <f t="shared" si="4"/>
        <v>0</v>
      </c>
      <c r="C43" s="14"/>
      <c r="D43" s="14"/>
      <c r="E43" s="15">
        <f>SUM(F43:M43)</f>
        <v>0.37415384615384617</v>
      </c>
      <c r="F43" s="15" t="str" cm="1">
        <f t="array" ref="F43">IFERROR((_xlfn._xlws.FILTER(INDEX(Margin[],0,MATCH(F$1&amp;"_"&amp;F$3,Margin[#Headers],0)),(Margin[Index]=F$2)*(Margin[Strategy]=F$5))*F42)/Client_Margin($C42),"-")</f>
        <v>-</v>
      </c>
      <c r="G43" s="15" t="str" cm="1">
        <f t="array" ref="G43">IFERROR((_xlfn._xlws.FILTER(INDEX(Margin[],0,MATCH(G$1&amp;"_"&amp;G$3,Margin[#Headers],0)),(Margin[Index]=G$2)*(Margin[Strategy]=G$5))*G42)/Client_Margin($C42),"-")</f>
        <v>-</v>
      </c>
      <c r="H43" s="15" cm="1">
        <f t="array" ref="H43">IFERROR((_xlfn._xlws.FILTER(INDEX(Margin[],0,MATCH(H$1&amp;"_"&amp;H$3,Margin[#Headers],0)),(Margin[Index]=H$2)*(Margin[Strategy]=H$5))*H42)/Client_Margin($C42),"-")</f>
        <v>0.10707692307692308</v>
      </c>
      <c r="I43" s="15" cm="1">
        <f t="array" ref="I43">IFERROR((_xlfn._xlws.FILTER(INDEX(Margin[],0,MATCH(I$1&amp;"_"&amp;I$3,Margin[#Headers],0)),(Margin[Index]=I$2)*(Margin[Strategy]=I$5))*I42)/Client_Margin($C42),"-")</f>
        <v>0.14399999999999999</v>
      </c>
      <c r="J43" s="15" cm="1">
        <f t="array" ref="J43">IFERROR((_xlfn._xlws.FILTER(INDEX(Margin[],0,MATCH(J$1&amp;"_"&amp;J$3,Margin[#Headers],0)),(Margin[Index]=J$2)*(Margin[Strategy]=J$5))*J42)/Client_Margin($C42),"-")</f>
        <v>0.12307692307692308</v>
      </c>
      <c r="K43" s="15" cm="1">
        <f t="array" ref="K43">IFERROR((_xlfn._xlws.FILTER(INDEX(Margin[],0,MATCH(K$1&amp;"_"&amp;K$3,Margin[#Headers],0)),(Margin[Index]=K$2)*(Margin[Strategy]=K$5))*K42)/Client_Margin($C42),"-")</f>
        <v>0</v>
      </c>
      <c r="L43" s="15" cm="1">
        <f t="array" ref="L43">IFERROR((_xlfn._xlws.FILTER(INDEX(Margin[],0,MATCH(L$1&amp;"_"&amp;L$3,Margin[#Headers],0)),(Margin[Index]=L$2)*(Margin[Strategy]=L$5))*L42)/Client_Margin($C42),"-")</f>
        <v>0</v>
      </c>
      <c r="M43" s="15" cm="1">
        <f t="array" ref="M43">IFERROR((_xlfn._xlws.FILTER(INDEX(Margin[],0,MATCH(M$1&amp;"_"&amp;M$3,Margin[#Headers],0)),(Margin[Index]=M$2)*(Margin[Strategy]=M$5))*M42)/Client_Margin($C42),"-")</f>
        <v>0</v>
      </c>
    </row>
  </sheetData>
  <autoFilter ref="A5:M43" xr:uid="{27914264-8D89-4BCA-A9D3-71AE7D88A7CB}">
    <filterColumn colId="0">
      <filters>
        <filter val="H"/>
        <filter val="K"/>
        <filter val="M"/>
      </filters>
    </filterColumn>
  </autoFilter>
  <conditionalFormatting sqref="E7:M7">
    <cfRule type="expression" dxfId="73" priority="16">
      <formula>E7&gt;E$4</formula>
    </cfRule>
  </conditionalFormatting>
  <conditionalFormatting sqref="E9:M9">
    <cfRule type="expression" dxfId="72" priority="15">
      <formula>E9&gt;E$4</formula>
    </cfRule>
  </conditionalFormatting>
  <conditionalFormatting sqref="E11:M11">
    <cfRule type="expression" dxfId="71" priority="14">
      <formula>E11&gt;E$4</formula>
    </cfRule>
  </conditionalFormatting>
  <conditionalFormatting sqref="E13:M13 E15:M15">
    <cfRule type="expression" dxfId="70" priority="13">
      <formula>E13&gt;E$4</formula>
    </cfRule>
  </conditionalFormatting>
  <conditionalFormatting sqref="E17:M17">
    <cfRule type="expression" dxfId="69" priority="12">
      <formula>E17&gt;E$4</formula>
    </cfRule>
  </conditionalFormatting>
  <conditionalFormatting sqref="E19:M19 E21:M21">
    <cfRule type="expression" dxfId="68" priority="11">
      <formula>E19&gt;E$4</formula>
    </cfRule>
  </conditionalFormatting>
  <conditionalFormatting sqref="E23:M23">
    <cfRule type="expression" dxfId="67" priority="10">
      <formula>E23&gt;E$4</formula>
    </cfRule>
  </conditionalFormatting>
  <conditionalFormatting sqref="E25:M25">
    <cfRule type="expression" dxfId="66" priority="9">
      <formula>E25&gt;E$4</formula>
    </cfRule>
  </conditionalFormatting>
  <conditionalFormatting sqref="E27:M27">
    <cfRule type="expression" dxfId="65" priority="8">
      <formula>E27&gt;E$4</formula>
    </cfRule>
  </conditionalFormatting>
  <conditionalFormatting sqref="E29:M29">
    <cfRule type="expression" dxfId="64" priority="7">
      <formula>E29&gt;E$4</formula>
    </cfRule>
  </conditionalFormatting>
  <conditionalFormatting sqref="E31:M31">
    <cfRule type="expression" dxfId="63" priority="6">
      <formula>E31&gt;E$4</formula>
    </cfRule>
  </conditionalFormatting>
  <conditionalFormatting sqref="E33:M33">
    <cfRule type="expression" dxfId="62" priority="4">
      <formula>E33&gt;E$4</formula>
    </cfRule>
  </conditionalFormatting>
  <conditionalFormatting sqref="E35:M35">
    <cfRule type="expression" dxfId="61" priority="3">
      <formula>E35&gt;E$4</formula>
    </cfRule>
  </conditionalFormatting>
  <conditionalFormatting sqref="E37:M37 E39:M39 E41:M41">
    <cfRule type="expression" dxfId="60" priority="2">
      <formula>E37&gt;E$4</formula>
    </cfRule>
  </conditionalFormatting>
  <conditionalFormatting sqref="E43:M43">
    <cfRule type="expression" dxfId="59" priority="1">
      <formula>E43&gt;E$4</formula>
    </cfRule>
  </conditionalFormatting>
  <dataValidations count="2">
    <dataValidation type="list" allowBlank="1" showInputMessage="1" showErrorMessage="1" sqref="F1:M1" xr:uid="{02C31F86-7913-4696-8BE6-F8A55841D280}">
      <formula1>"Expiry,N.Expiry"</formula1>
    </dataValidation>
    <dataValidation type="list" allowBlank="1" showInputMessage="1" showErrorMessage="1" sqref="F3:M3" xr:uid="{1FD11167-F4E8-4B32-8A0C-D70A44EEAB8B}">
      <formula1>"W.O.H,W.H"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66E6-21EF-4A54-B30A-CDD04654CD43}">
  <sheetPr codeName="Sheet3"/>
  <dimension ref="A1:U72"/>
  <sheetViews>
    <sheetView zoomScale="90" zoomScaleNormal="90" workbookViewId="0">
      <selection activeCell="L14" sqref="L14"/>
    </sheetView>
  </sheetViews>
  <sheetFormatPr defaultRowHeight="15" x14ac:dyDescent="0.25"/>
  <cols>
    <col min="2" max="2" width="2" bestFit="1" customWidth="1"/>
    <col min="3" max="3" width="13.5703125" style="4" bestFit="1" customWidth="1"/>
    <col min="4" max="4" width="10" style="4" bestFit="1" customWidth="1"/>
    <col min="5" max="5" width="8.140625" bestFit="1" customWidth="1"/>
    <col min="6" max="6" width="7.85546875" bestFit="1" customWidth="1"/>
    <col min="7" max="7" width="8.140625" bestFit="1" customWidth="1"/>
    <col min="8" max="10" width="16.85546875" bestFit="1" customWidth="1"/>
    <col min="11" max="11" width="11.7109375" bestFit="1" customWidth="1"/>
    <col min="12" max="12" width="8" bestFit="1" customWidth="1"/>
    <col min="13" max="13" width="13" bestFit="1" customWidth="1"/>
    <col min="14" max="14" width="12.85546875" bestFit="1" customWidth="1"/>
    <col min="15" max="15" width="13.7109375" bestFit="1" customWidth="1"/>
    <col min="17" max="17" width="15.28515625" bestFit="1" customWidth="1"/>
  </cols>
  <sheetData>
    <row r="1" spans="1:21" x14ac:dyDescent="0.25">
      <c r="F1" s="4" t="s">
        <v>104</v>
      </c>
      <c r="G1" s="4" t="s">
        <v>105</v>
      </c>
      <c r="H1" s="4" t="s">
        <v>105</v>
      </c>
      <c r="I1" s="4" t="s">
        <v>105</v>
      </c>
      <c r="J1" s="4" t="s">
        <v>105</v>
      </c>
      <c r="K1" s="4" t="s">
        <v>104</v>
      </c>
      <c r="L1" s="4" t="s">
        <v>104</v>
      </c>
      <c r="M1" s="4" t="s">
        <v>105</v>
      </c>
      <c r="N1" s="4" t="s">
        <v>105</v>
      </c>
      <c r="O1" s="4" t="s">
        <v>104</v>
      </c>
    </row>
    <row r="2" spans="1:21" x14ac:dyDescent="0.25">
      <c r="C2"/>
      <c r="D2"/>
      <c r="F2" s="4" t="s">
        <v>14</v>
      </c>
      <c r="G2" s="4" t="s">
        <v>14</v>
      </c>
      <c r="H2" s="4" t="s">
        <v>15</v>
      </c>
      <c r="I2" s="4" t="s">
        <v>81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  <c r="O2" s="4" t="s">
        <v>14</v>
      </c>
    </row>
    <row r="3" spans="1:21" x14ac:dyDescent="0.25">
      <c r="C3"/>
      <c r="D3">
        <v>1.1499999999999999</v>
      </c>
      <c r="F3" s="4" t="s">
        <v>103</v>
      </c>
      <c r="G3" s="4" t="s">
        <v>103</v>
      </c>
      <c r="H3" s="4" t="s">
        <v>103</v>
      </c>
      <c r="I3" s="4" t="s">
        <v>102</v>
      </c>
      <c r="J3" s="4" t="s">
        <v>103</v>
      </c>
      <c r="K3" s="4" t="s">
        <v>103</v>
      </c>
      <c r="L3" s="4" t="s">
        <v>103</v>
      </c>
      <c r="M3" s="4" t="s">
        <v>103</v>
      </c>
      <c r="N3" s="4" t="s">
        <v>103</v>
      </c>
      <c r="O3" s="4" t="s">
        <v>103</v>
      </c>
      <c r="T3" s="4"/>
      <c r="U3" s="4"/>
    </row>
    <row r="4" spans="1:21" x14ac:dyDescent="0.25">
      <c r="E4" s="37">
        <f>SUM(F4:O4)</f>
        <v>0.89999999999999991</v>
      </c>
      <c r="F4" s="38" cm="1">
        <f t="array" ref="F4">IF('Tue(NF)'!F3="W.H",_xlfn._xlws.FILTER(Margin[Strategy allotment % with hedge],(Margin[Strategy]='Tue(NF)'!F$5)*(Margin[Index]='Tue(NF)'!F$2)),_xlfn._xlws.FILTER(Margin[Strategy allotment % without hedge],(Margin[Strategy]='Tue(NF)'!F$5)*(Margin[Index]='Tue(NF)'!F$2)))</f>
        <v>0</v>
      </c>
      <c r="G4" s="38" cm="1">
        <f t="array" ref="G4">IF('Tue(NF)'!G3="W.H",_xlfn._xlws.FILTER(Margin[Strategy allotment % with hedge],(Margin[Strategy]='Tue(NF)'!G$5)*(Margin[Index]='Tue(NF)'!G$2)),_xlfn._xlws.FILTER(Margin[Strategy allotment % without hedge],(Margin[Strategy]='Tue(NF)'!G$5)*(Margin[Index]='Tue(NF)'!G$2)))</f>
        <v>0.05</v>
      </c>
      <c r="H4" s="38" cm="1">
        <f t="array" ref="H4">IF('Tue(NF)'!H3="W.H",_xlfn._xlws.FILTER(Margin[Strategy allotment % with hedge],(Margin[Strategy]='Tue(NF)'!H$5)*(Margin[Index]='Tue(NF)'!H$2)),_xlfn._xlws.FILTER(Margin[Strategy allotment % without hedge],(Margin[Strategy]='Tue(NF)'!H$5)*(Margin[Index]='Tue(NF)'!H$2)))</f>
        <v>0.1</v>
      </c>
      <c r="I4" s="38" cm="1">
        <f t="array" ref="I4">IF('Tue(NF)'!I3="W.H",_xlfn._xlws.FILTER(Margin[Strategy allotment % with hedge],(Margin[Strategy]='Tue(NF)'!I$5)*(Margin[Index]='Tue(NF)'!I$2)),_xlfn._xlws.FILTER(Margin[Strategy allotment % without hedge],(Margin[Strategy]='Tue(NF)'!I$5)*(Margin[Index]='Tue(NF)'!I$2)))</f>
        <v>0.1</v>
      </c>
      <c r="J4" s="38" cm="1">
        <f t="array" ref="J4">IF('Tue(NF)'!J3="W.H",_xlfn._xlws.FILTER(Margin[Strategy allotment % with hedge],(Margin[Strategy]='Tue(NF)'!J$5)*(Margin[Index]='Tue(NF)'!J$2)),_xlfn._xlws.FILTER(Margin[Strategy allotment % without hedge],(Margin[Strategy]='Tue(NF)'!J$5)*(Margin[Index]='Tue(NF)'!J$2)))</f>
        <v>0.1</v>
      </c>
      <c r="K4" s="38" cm="1">
        <f t="array" ref="K4">IF('Tue(NF)'!K3="W.H",_xlfn._xlws.FILTER(Margin[Strategy allotment % with hedge],(Margin[Strategy]='Tue(NF)'!K$5)*(Margin[Index]='Tue(NF)'!K$2)),_xlfn._xlws.FILTER(Margin[Strategy allotment % without hedge],(Margin[Strategy]='Tue(NF)'!K$5)*(Margin[Index]='Tue(NF)'!K$2)))</f>
        <v>0.1</v>
      </c>
      <c r="L4" s="38" cm="1">
        <f t="array" ref="L4">IF('Tue(NF)'!L3="W.H",_xlfn._xlws.FILTER(Margin[Strategy allotment % with hedge],(Margin[Strategy]='Tue(NF)'!L$5)*(Margin[Index]='Tue(NF)'!L$2)),_xlfn._xlws.FILTER(Margin[Strategy allotment % without hedge],(Margin[Strategy]='Tue(NF)'!L$5)*(Margin[Index]='Tue(NF)'!L$2)))</f>
        <v>0.45</v>
      </c>
      <c r="M4" s="38" cm="1">
        <f t="array" ref="M4">IF('Tue(NF)'!M3="W.H",_xlfn._xlws.FILTER(Margin[Strategy allotment % with hedge],(Margin[Strategy]='Tue(NF)'!M$5)*(Margin[Index]='Tue(NF)'!M$2)),_xlfn._xlws.FILTER(Margin[Strategy allotment % without hedge],(Margin[Strategy]='Tue(NF)'!M$5)*(Margin[Index]='Tue(NF)'!M$2)))</f>
        <v>0</v>
      </c>
      <c r="N4" s="38" cm="1">
        <f t="array" ref="N4">IF('Tue(NF)'!N3="W.H",_xlfn._xlws.FILTER(Margin[Strategy allotment % with hedge],(Margin[Strategy]='Tue(NF)'!N$5)*(Margin[Index]='Tue(NF)'!N$2)),_xlfn._xlws.FILTER(Margin[Strategy allotment % without hedge],(Margin[Strategy]='Tue(NF)'!N$5)*(Margin[Index]='Tue(NF)'!N$2)))</f>
        <v>0</v>
      </c>
      <c r="O4" s="38" cm="1">
        <f t="array" ref="O4">IF('Tue(NF)'!O3="W.H",_xlfn._xlws.FILTER(Margin[Strategy allotment % with hedge],(Margin[Strategy]='Tue(NF)'!O$5)*(Margin[Index]='Tue(NF)'!O$2)),_xlfn._xlws.FILTER(Margin[Strategy allotment % without hedge],(Margin[Strategy]='Tue(NF)'!O$5)*(Margin[Index]='Tue(NF)'!O$2)))</f>
        <v>0</v>
      </c>
    </row>
    <row r="5" spans="1:21" x14ac:dyDescent="0.25">
      <c r="C5" s="16" t="s">
        <v>50</v>
      </c>
      <c r="D5" s="16" t="s">
        <v>51</v>
      </c>
      <c r="E5" s="16" t="s">
        <v>52</v>
      </c>
      <c r="F5" s="16" t="s">
        <v>67</v>
      </c>
      <c r="G5" s="16" t="s">
        <v>66</v>
      </c>
      <c r="H5" s="16" t="s">
        <v>70</v>
      </c>
      <c r="I5" s="16" t="s">
        <v>70</v>
      </c>
      <c r="J5" s="16" t="s">
        <v>70</v>
      </c>
      <c r="K5" s="16" t="s">
        <v>68</v>
      </c>
      <c r="L5" s="16" t="s">
        <v>1</v>
      </c>
      <c r="M5" s="16" t="s">
        <v>2</v>
      </c>
      <c r="N5" s="16" t="s">
        <v>3</v>
      </c>
      <c r="O5" s="16" t="s">
        <v>4</v>
      </c>
    </row>
    <row r="6" spans="1:21" x14ac:dyDescent="0.25">
      <c r="A6" t="str">
        <f>_xlfn.XLOOKUP(C6,'OI QTY'!$O$5:$O$21,'OI QTY'!$N$5:$N$21,"")</f>
        <v>H</v>
      </c>
      <c r="B6">
        <f>IF(C6="",0,1)</f>
        <v>1</v>
      </c>
      <c r="C6" s="14" t="s">
        <v>20</v>
      </c>
      <c r="D6" s="14" cm="1">
        <f t="array" ref="D6">(_xlfn._xlws.FILTER(Fund[Margin],Fund[Client Id]=C6))/10000000</f>
        <v>7.5</v>
      </c>
      <c r="E6" s="14"/>
      <c r="F6" s="14" t="str" cm="1">
        <f t="array" ref="F6">IFERROR(IF(ROUNDUP((Client_Margin($C6)*Alloted(F$3,F$2,F$5)/Get_Margin(F$3,F$2,F$5,F$1)),0)*Get_Margin(F$3,F$2,F$5,F$1)&gt;((Client_Margin($C6)*Alloted(F$3,F$2,F$5)/Get_Margin(F$3,F$2,F$5,F$1))*Get_Margin(F$3,F$2,F$5,F$1))*$D$3,ROUNDDOWN((Client_Margin($C6)*Alloted(F$3,F$2,F$5)/Get_Margin(F$3,F$2,F$5,F$1)),0),ROUNDUP((Client_Margin($C6)*Alloted(F$3,F$2,F$5)/Get_Margin(F$3,F$2,F$5,F$1)),0)),"-")</f>
        <v>-</v>
      </c>
      <c r="G6" s="14" cm="1">
        <f t="array" ref="G6">IFERROR(IF(ROUNDUP((Client_Margin($C6)*Alloted(G$3,G$2,G$5)/Get_Margin(G$3,G$2,G$5,G$1)),0)*Get_Margin(G$3,G$2,G$5,G$1)&gt;((Client_Margin($C6)*Alloted(G$3,G$2,G$5)/Get_Margin(G$3,G$2,G$5,G$1))*Get_Margin(G$3,G$2,G$5,G$1))*$D$3,ROUNDDOWN((Client_Margin($C6)*Alloted(G$3,G$2,G$5)/Get_Margin(G$3,G$2,G$5,G$1)),0),ROUNDUP((Client_Margin($C6)*Alloted(G$3,G$2,G$5)/Get_Margin(G$3,G$2,G$5,G$1)),0)),"-")</f>
        <v>24</v>
      </c>
      <c r="H6" s="14" cm="1">
        <f t="array" ref="H6">IFERROR(IF(ROUNDUP((Client_Margin($C6)*Alloted(H$3,H$2,H$5)/Get_Margin(H$3,H$2,H$5,H$1)),0)*Get_Margin(H$3,H$2,H$5,H$1)&gt;((Client_Margin($C6)*Alloted(H$3,H$2,H$5)/Get_Margin(H$3,H$2,H$5,H$1))*Get_Margin(H$3,H$2,H$5,H$1))*$D$3,ROUNDDOWN((Client_Margin($C6)*Alloted(H$3,H$2,H$5)/Get_Margin(H$3,H$2,H$5,H$1)),0),ROUNDUP((Client_Margin($C6)*Alloted(H$3,H$2,H$5)/Get_Margin(H$3,H$2,H$5,H$1)),0)),"-")</f>
        <v>11</v>
      </c>
      <c r="I6" s="14" cm="1">
        <f t="array" ref="I6">IFERROR(IF(ROUNDUP((Client_Margin($C6)*Alloted(I$3,I$2,I$5)/Get_Margin(I$3,I$2,I$5,I$1)),0)*Get_Margin(I$3,I$2,I$5,I$1)&gt;((Client_Margin($C6)*Alloted(I$3,I$2,I$5)/Get_Margin(I$3,I$2,I$5,I$1))*Get_Margin(I$3,I$2,I$5,I$1))*$D$3,ROUNDDOWN((Client_Margin($C6)*Alloted(I$3,I$2,I$5)/Get_Margin(I$3,I$2,I$5,I$1)),0),ROUNDUP((Client_Margin($C6)*Alloted(I$3,I$2,I$5)/Get_Margin(I$3,I$2,I$5,I$1)),0)),"-")</f>
        <v>4</v>
      </c>
      <c r="J6" s="14" cm="1">
        <f t="array" ref="J6">IFERROR(IF(ROUNDUP((Client_Margin($C6)*Alloted(J$3,J$2,J$5)/Get_Margin(J$3,J$2,J$5,J$1)),0)*Get_Margin(J$3,J$2,J$5,J$1)&gt;((Client_Margin($C6)*Alloted(J$3,J$2,J$5)/Get_Margin(J$3,J$2,J$5,J$1))*Get_Margin(J$3,J$2,J$5,J$1))*$D$3,ROUNDDOWN((Client_Margin($C6)*Alloted(J$3,J$2,J$5)/Get_Margin(J$3,J$2,J$5,J$1)),0),ROUNDUP((Client_Margin($C6)*Alloted(J$3,J$2,J$5)/Get_Margin(J$3,J$2,J$5,J$1)),0)),"-")</f>
        <v>5</v>
      </c>
      <c r="K6" s="14" cm="1">
        <f t="array" ref="K6">IFERROR(IF(ROUNDUP((Client_Margin($C6)*Alloted(K$3,K$2,K$5)/Get_Margin(K$3,K$2,K$5,K$1)),0)*Get_Margin(K$3,K$2,K$5,K$1)&gt;((Client_Margin($C6)*Alloted(K$3,K$2,K$5)/Get_Margin(K$3,K$2,K$5,K$1))*Get_Margin(K$3,K$2,K$5,K$1))*$D$3,ROUNDDOWN((Client_Margin($C6)*Alloted(K$3,K$2,K$5)/Get_Margin(K$3,K$2,K$5,K$1)),0),ROUNDUP((Client_Margin($C6)*Alloted(K$3,K$2,K$5)/Get_Margin(K$3,K$2,K$5,K$1)),0)),"-")</f>
        <v>3</v>
      </c>
      <c r="L6" s="14" cm="1">
        <f t="array" ref="L6">IFERROR(IF(ROUNDUP((Client_Margin($C6)*Alloted(L$3,L$2,L$5)/Get_Margin(L$3,L$2,L$5,L$1)),0)*Get_Margin(L$3,L$2,L$5,L$1)&gt;((Client_Margin($C6)*Alloted(L$3,L$2,L$5)/Get_Margin(L$3,L$2,L$5,L$1))*Get_Margin(L$3,L$2,L$5,L$1))*$D$3,ROUNDDOWN((Client_Margin($C6)*Alloted(L$3,L$2,L$5)/Get_Margin(L$3,L$2,L$5,L$1)),0),ROUNDUP((Client_Margin($C6)*Alloted(L$3,L$2,L$5)/Get_Margin(L$3,L$2,L$5,L$1)),0)),"-")</f>
        <v>36</v>
      </c>
      <c r="M6" s="14" cm="1">
        <f t="array" ref="M6">IFERROR(IF(ROUNDUP((Client_Margin($C6)*Alloted(M$3,M$2,M$5)/Get_Margin(M$3,M$2,M$5,M$1)),0)*Get_Margin(M$3,M$2,M$5,M$1)&gt;((Client_Margin($C6)*Alloted(M$3,M$2,M$5)/Get_Margin(M$3,M$2,M$5,M$1))*Get_Margin(M$3,M$2,M$5,M$1))*$D$3,ROUNDDOWN((Client_Margin($C6)*Alloted(M$3,M$2,M$5)/Get_Margin(M$3,M$2,M$5,M$1)),0),ROUNDUP((Client_Margin($C6)*Alloted(M$3,M$2,M$5)/Get_Margin(M$3,M$2,M$5,M$1)),0)),"-")</f>
        <v>0</v>
      </c>
      <c r="N6" s="14" cm="1">
        <f t="array" ref="N6">IFERROR(IF(ROUNDUP((Client_Margin($C6)*Alloted(N$3,N$2,N$5)/Get_Margin(N$3,N$2,N$5,N$1)),0)*Get_Margin(N$3,N$2,N$5,N$1)&gt;((Client_Margin($C6)*Alloted(N$3,N$2,N$5)/Get_Margin(N$3,N$2,N$5,N$1))*Get_Margin(N$3,N$2,N$5,N$1))*$D$3,ROUNDDOWN((Client_Margin($C6)*Alloted(N$3,N$2,N$5)/Get_Margin(N$3,N$2,N$5,N$1)),0),ROUNDUP((Client_Margin($C6)*Alloted(N$3,N$2,N$5)/Get_Margin(N$3,N$2,N$5,N$1)),0)),"-")</f>
        <v>0</v>
      </c>
      <c r="O6" s="14" cm="1">
        <f t="array" ref="O6">IFERROR(IF(ROUNDUP((Client_Margin($C6)*Alloted(O$3,O$2,O$5)/Get_Margin(O$3,O$2,O$5,O$1)),0)*Get_Margin(O$3,O$2,O$5,O$1)&gt;((Client_Margin($C6)*Alloted(O$3,O$2,O$5)/Get_Margin(O$3,O$2,O$5,O$1))*Get_Margin(O$3,O$2,O$5,O$1))*$D$3,ROUNDDOWN((Client_Margin($C6)*Alloted(O$3,O$2,O$5)/Get_Margin(O$3,O$2,O$5,O$1)),0),ROUNDUP((Client_Margin($C6)*Alloted(O$3,O$2,O$5)/Get_Margin(O$3,O$2,O$5,O$1)),0)),"-")</f>
        <v>0</v>
      </c>
    </row>
    <row r="7" spans="1:21" x14ac:dyDescent="0.25">
      <c r="A7">
        <f>_xlfn.XLOOKUP(C7,'OI QTY'!$O$5:$O$21,'OI QTY'!$N$5:$N$21,"")</f>
        <v>0</v>
      </c>
      <c r="B7">
        <f t="shared" ref="B7:B11" si="0">IF(C7="",0,1)</f>
        <v>0</v>
      </c>
      <c r="C7" s="14"/>
      <c r="D7" s="14"/>
      <c r="E7" s="15">
        <f>SUM(F7:O7)</f>
        <v>0.92618666666666671</v>
      </c>
      <c r="F7" s="15" t="str" cm="1">
        <f t="array" ref="F7">IFERROR((_xlfn._xlws.FILTER(INDEX(Margin[],0,MATCH(F$1&amp;"_"&amp;F$3,Margin[#Headers],0)),(Margin[Index]=F$2)*(Margin[Strategy]=F$5))*F6)/Client_Margin($C6),"-")</f>
        <v>-</v>
      </c>
      <c r="G7" s="15" cm="1">
        <f t="array" ref="G7">IFERROR((_xlfn._xlws.FILTER(INDEX(Margin[],0,MATCH(G$1&amp;"_"&amp;G$3,Margin[#Headers],0)),(Margin[Index]=G$2)*(Margin[Strategy]=G$5))*G6)/Client_Margin($C6),"-")</f>
        <v>5.1200000000000002E-2</v>
      </c>
      <c r="H7" s="15" cm="1">
        <f t="array" ref="H7">IFERROR((_xlfn._xlws.FILTER(INDEX(Margin[],0,MATCH(H$1&amp;"_"&amp;H$3,Margin[#Headers],0)),(Margin[Index]=H$2)*(Margin[Strategy]=H$5))*H6)/Client_Margin($C6),"-")</f>
        <v>0.10208</v>
      </c>
      <c r="I7" s="15" cm="1">
        <f t="array" ref="I7">IFERROR((_xlfn._xlws.FILTER(INDEX(Margin[],0,MATCH(I$1&amp;"_"&amp;I$3,Margin[#Headers],0)),(Margin[Index]=I$2)*(Margin[Strategy]=I$5))*I6)/Client_Margin($C6),"-")</f>
        <v>9.9839999999999998E-2</v>
      </c>
      <c r="J7" s="15" cm="1">
        <f t="array" ref="J7">IFERROR((_xlfn._xlws.FILTER(INDEX(Margin[],0,MATCH(J$1&amp;"_"&amp;J$3,Margin[#Headers],0)),(Margin[Index]=J$2)*(Margin[Strategy]=J$5))*J6)/Client_Margin($C6),"-")</f>
        <v>0.10666666666666667</v>
      </c>
      <c r="K7" s="15" cm="1">
        <f t="array" ref="K7">IFERROR((_xlfn._xlws.FILTER(INDEX(Margin[],0,MATCH(K$1&amp;"_"&amp;K$3,Margin[#Headers],0)),(Margin[Index]=K$2)*(Margin[Strategy]=K$5))*K6)/Client_Margin($C6),"-")</f>
        <v>0.1056</v>
      </c>
      <c r="L7" s="15" cm="1">
        <f t="array" ref="L7">IFERROR((_xlfn._xlws.FILTER(INDEX(Margin[],0,MATCH(L$1&amp;"_"&amp;L$3,Margin[#Headers],0)),(Margin[Index]=L$2)*(Margin[Strategy]=L$5))*L6)/Client_Margin($C6),"-")</f>
        <v>0.46079999999999999</v>
      </c>
      <c r="M7" s="15" cm="1">
        <f t="array" ref="M7">IFERROR((_xlfn._xlws.FILTER(INDEX(Margin[],0,MATCH(M$1&amp;"_"&amp;M$3,Margin[#Headers],0)),(Margin[Index]=M$2)*(Margin[Strategy]=M$5))*M6)/Client_Margin($C6),"-")</f>
        <v>0</v>
      </c>
      <c r="N7" s="15" cm="1">
        <f t="array" ref="N7">IFERROR((_xlfn._xlws.FILTER(INDEX(Margin[],0,MATCH(N$1&amp;"_"&amp;N$3,Margin[#Headers],0)),(Margin[Index]=N$2)*(Margin[Strategy]=N$5))*N6)/Client_Margin($C6),"-")</f>
        <v>0</v>
      </c>
      <c r="O7" s="15" cm="1">
        <f t="array" ref="O7">IFERROR((_xlfn._xlws.FILTER(INDEX(Margin[],0,MATCH(O$1&amp;"_"&amp;O$3,Margin[#Headers],0)),(Margin[Index]=O$2)*(Margin[Strategy]=O$5))*O6)/Client_Margin($C6),"-")</f>
        <v>0</v>
      </c>
    </row>
    <row r="8" spans="1:21" x14ac:dyDescent="0.25">
      <c r="A8" t="str">
        <f>_xlfn.XLOOKUP(C8,'OI QTY'!$O$5:$O$21,'OI QTY'!$N$5:$N$21,"")</f>
        <v/>
      </c>
      <c r="B8">
        <f t="shared" si="0"/>
        <v>1</v>
      </c>
      <c r="C8" s="14" t="s">
        <v>46</v>
      </c>
      <c r="D8" s="14" cm="1">
        <f t="array" ref="D8">(_xlfn._xlws.FILTER(Fund[Margin],Fund[Client Id]=C8))/10000000</f>
        <v>6.8</v>
      </c>
      <c r="E8" s="17"/>
      <c r="F8" s="14" t="str" cm="1">
        <f t="array" ref="F8">IFERROR(IF(ROUNDUP((Client_Margin($C8)*Alloted(F$3,F$2,F$5)/Get_Margin(F$3,F$2,F$5,F$1)),0)*Get_Margin(F$3,F$2,F$5,F$1)&gt;((Client_Margin($C8)*Alloted(F$3,F$2,F$5)/Get_Margin(F$3,F$2,F$5,F$1))*Get_Margin(F$3,F$2,F$5,F$1))*$D$3,ROUNDDOWN((Client_Margin($C8)*Alloted(F$3,F$2,F$5)/Get_Margin(F$3,F$2,F$5,F$1)),0),ROUNDUP((Client_Margin($C8)*Alloted(F$3,F$2,F$5)/Get_Margin(F$3,F$2,F$5,F$1)),0)),"-")</f>
        <v>-</v>
      </c>
      <c r="G8" s="14" cm="1">
        <f t="array" ref="G8">IFERROR(IF(ROUNDUP((Client_Margin($C8)*Alloted(G$3,G$2,G$5)/Get_Margin(G$3,G$2,G$5,G$1)),0)*Get_Margin(G$3,G$2,G$5,G$1)&gt;((Client_Margin($C8)*Alloted(G$3,G$2,G$5)/Get_Margin(G$3,G$2,G$5,G$1))*Get_Margin(G$3,G$2,G$5,G$1))*$D$3,ROUNDDOWN((Client_Margin($C8)*Alloted(G$3,G$2,G$5)/Get_Margin(G$3,G$2,G$5,G$1)),0),ROUNDUP((Client_Margin($C8)*Alloted(G$3,G$2,G$5)/Get_Margin(G$3,G$2,G$5,G$1)),0)),"-")</f>
        <v>22</v>
      </c>
      <c r="H8" s="14" cm="1">
        <f t="array" ref="H8">IFERROR(IF(ROUNDUP((Client_Margin($C8)*Alloted(H$3,H$2,H$5)/Get_Margin(H$3,H$2,H$5,H$1)),0)*Get_Margin(H$3,H$2,H$5,H$1)&gt;((Client_Margin($C8)*Alloted(H$3,H$2,H$5)/Get_Margin(H$3,H$2,H$5,H$1))*Get_Margin(H$3,H$2,H$5,H$1))*$D$3,ROUNDDOWN((Client_Margin($C8)*Alloted(H$3,H$2,H$5)/Get_Margin(H$3,H$2,H$5,H$1)),0),ROUNDUP((Client_Margin($C8)*Alloted(H$3,H$2,H$5)/Get_Margin(H$3,H$2,H$5,H$1)),0)),"-")</f>
        <v>10</v>
      </c>
      <c r="I8" s="14" cm="1">
        <f t="array" ref="I8">IFERROR(IF(ROUNDUP((Client_Margin($C8)*Alloted(I$3,I$2,I$5)/Get_Margin(I$3,I$2,I$5,I$1)),0)*Get_Margin(I$3,I$2,I$5,I$1)&gt;((Client_Margin($C8)*Alloted(I$3,I$2,I$5)/Get_Margin(I$3,I$2,I$5,I$1))*Get_Margin(I$3,I$2,I$5,I$1))*$D$3,ROUNDDOWN((Client_Margin($C8)*Alloted(I$3,I$2,I$5)/Get_Margin(I$3,I$2,I$5,I$1)),0),ROUNDUP((Client_Margin($C8)*Alloted(I$3,I$2,I$5)/Get_Margin(I$3,I$2,I$5,I$1)),0)),"-")</f>
        <v>4</v>
      </c>
      <c r="J8" s="14" cm="1">
        <f t="array" ref="J8">IFERROR(IF(ROUNDUP((Client_Margin($C8)*Alloted(J$3,J$2,J$5)/Get_Margin(J$3,J$2,J$5,J$1)),0)*Get_Margin(J$3,J$2,J$5,J$1)&gt;((Client_Margin($C8)*Alloted(J$3,J$2,J$5)/Get_Margin(J$3,J$2,J$5,J$1))*Get_Margin(J$3,J$2,J$5,J$1))*$D$3,ROUNDDOWN((Client_Margin($C8)*Alloted(J$3,J$2,J$5)/Get_Margin(J$3,J$2,J$5,J$1)),0),ROUNDUP((Client_Margin($C8)*Alloted(J$3,J$2,J$5)/Get_Margin(J$3,J$2,J$5,J$1)),0)),"-")</f>
        <v>4</v>
      </c>
      <c r="K8" s="14" cm="1">
        <f t="array" ref="K8">IFERROR(IF(ROUNDUP((Client_Margin($C8)*Alloted(K$3,K$2,K$5)/Get_Margin(K$3,K$2,K$5,K$1)),0)*Get_Margin(K$3,K$2,K$5,K$1)&gt;((Client_Margin($C8)*Alloted(K$3,K$2,K$5)/Get_Margin(K$3,K$2,K$5,K$1))*Get_Margin(K$3,K$2,K$5,K$1))*$D$3,ROUNDDOWN((Client_Margin($C8)*Alloted(K$3,K$2,K$5)/Get_Margin(K$3,K$2,K$5,K$1)),0),ROUNDUP((Client_Margin($C8)*Alloted(K$3,K$2,K$5)/Get_Margin(K$3,K$2,K$5,K$1)),0)),"-")</f>
        <v>2</v>
      </c>
      <c r="L8" s="14" cm="1">
        <f t="array" ref="L8">IFERROR(IF(ROUNDUP((Client_Margin($C8)*Alloted(L$3,L$2,L$5)/Get_Margin(L$3,L$2,L$5,L$1)),0)*Get_Margin(L$3,L$2,L$5,L$1)&gt;((Client_Margin($C8)*Alloted(L$3,L$2,L$5)/Get_Margin(L$3,L$2,L$5,L$1))*Get_Margin(L$3,L$2,L$5,L$1))*$D$3,ROUNDDOWN((Client_Margin($C8)*Alloted(L$3,L$2,L$5)/Get_Margin(L$3,L$2,L$5,L$1)),0),ROUNDUP((Client_Margin($C8)*Alloted(L$3,L$2,L$5)/Get_Margin(L$3,L$2,L$5,L$1)),0)),"-")</f>
        <v>32</v>
      </c>
      <c r="M8" s="14" cm="1">
        <f t="array" ref="M8">IFERROR(IF(ROUNDUP((Client_Margin($C8)*Alloted(M$3,M$2,M$5)/Get_Margin(M$3,M$2,M$5,M$1)),0)*Get_Margin(M$3,M$2,M$5,M$1)&gt;((Client_Margin($C8)*Alloted(M$3,M$2,M$5)/Get_Margin(M$3,M$2,M$5,M$1))*Get_Margin(M$3,M$2,M$5,M$1))*$D$3,ROUNDDOWN((Client_Margin($C8)*Alloted(M$3,M$2,M$5)/Get_Margin(M$3,M$2,M$5,M$1)),0),ROUNDUP((Client_Margin($C8)*Alloted(M$3,M$2,M$5)/Get_Margin(M$3,M$2,M$5,M$1)),0)),"-")</f>
        <v>0</v>
      </c>
      <c r="N8" s="14" cm="1">
        <f t="array" ref="N8">IFERROR(IF(ROUNDUP((Client_Margin($C8)*Alloted(N$3,N$2,N$5)/Get_Margin(N$3,N$2,N$5,N$1)),0)*Get_Margin(N$3,N$2,N$5,N$1)&gt;((Client_Margin($C8)*Alloted(N$3,N$2,N$5)/Get_Margin(N$3,N$2,N$5,N$1))*Get_Margin(N$3,N$2,N$5,N$1))*$D$3,ROUNDDOWN((Client_Margin($C8)*Alloted(N$3,N$2,N$5)/Get_Margin(N$3,N$2,N$5,N$1)),0),ROUNDUP((Client_Margin($C8)*Alloted(N$3,N$2,N$5)/Get_Margin(N$3,N$2,N$5,N$1)),0)),"-")</f>
        <v>0</v>
      </c>
      <c r="O8" s="14" cm="1">
        <f t="array" ref="O8">IFERROR(IF(ROUNDUP((Client_Margin($C8)*Alloted(O$3,O$2,O$5)/Get_Margin(O$3,O$2,O$5,O$1)),0)*Get_Margin(O$3,O$2,O$5,O$1)&gt;((Client_Margin($C8)*Alloted(O$3,O$2,O$5)/Get_Margin(O$3,O$2,O$5,O$1))*Get_Margin(O$3,O$2,O$5,O$1))*$D$3,ROUNDDOWN((Client_Margin($C8)*Alloted(O$3,O$2,O$5)/Get_Margin(O$3,O$2,O$5,O$1)),0),ROUNDUP((Client_Margin($C8)*Alloted(O$3,O$2,O$5)/Get_Margin(O$3,O$2,O$5,O$1)),0)),"-")</f>
        <v>0</v>
      </c>
    </row>
    <row r="9" spans="1:21" x14ac:dyDescent="0.25">
      <c r="A9">
        <f>_xlfn.XLOOKUP(C9,'OI QTY'!$O$5:$O$21,'OI QTY'!$N$5:$N$21,"")</f>
        <v>0</v>
      </c>
      <c r="B9">
        <f t="shared" si="0"/>
        <v>0</v>
      </c>
      <c r="C9" s="14"/>
      <c r="D9" s="14"/>
      <c r="E9" s="15">
        <f>SUM(F9:O9)</f>
        <v>0.88776470588235301</v>
      </c>
      <c r="F9" s="15" t="str" cm="1">
        <f t="array" ref="F9">IFERROR((_xlfn._xlws.FILTER(INDEX(Margin[],0,MATCH(F$1&amp;"_"&amp;F$3,Margin[#Headers],0)),(Margin[Index]=F$2)*(Margin[Strategy]=F$5))*F8)/Client_Margin($C8),"-")</f>
        <v>-</v>
      </c>
      <c r="G9" s="15" cm="1">
        <f t="array" ref="G9">IFERROR((_xlfn._xlws.FILTER(INDEX(Margin[],0,MATCH(G$1&amp;"_"&amp;G$3,Margin[#Headers],0)),(Margin[Index]=G$2)*(Margin[Strategy]=G$5))*G8)/Client_Margin($C8),"-")</f>
        <v>5.1764705882352942E-2</v>
      </c>
      <c r="H9" s="15" cm="1">
        <f t="array" ref="H9">IFERROR((_xlfn._xlws.FILTER(INDEX(Margin[],0,MATCH(H$1&amp;"_"&amp;H$3,Margin[#Headers],0)),(Margin[Index]=H$2)*(Margin[Strategy]=H$5))*H8)/Client_Margin($C8),"-")</f>
        <v>0.10235294117647059</v>
      </c>
      <c r="I9" s="15" cm="1">
        <f t="array" ref="I9">IFERROR((_xlfn._xlws.FILTER(INDEX(Margin[],0,MATCH(I$1&amp;"_"&amp;I$3,Margin[#Headers],0)),(Margin[Index]=I$2)*(Margin[Strategy]=I$5))*I8)/Client_Margin($C8),"-")</f>
        <v>0.11011764705882353</v>
      </c>
      <c r="J9" s="15" cm="1">
        <f t="array" ref="J9">IFERROR((_xlfn._xlws.FILTER(INDEX(Margin[],0,MATCH(J$1&amp;"_"&amp;J$3,Margin[#Headers],0)),(Margin[Index]=J$2)*(Margin[Strategy]=J$5))*J8)/Client_Margin($C8),"-")</f>
        <v>9.4117647058823528E-2</v>
      </c>
      <c r="K9" s="15" cm="1">
        <f t="array" ref="K9">IFERROR((_xlfn._xlws.FILTER(INDEX(Margin[],0,MATCH(K$1&amp;"_"&amp;K$3,Margin[#Headers],0)),(Margin[Index]=K$2)*(Margin[Strategy]=K$5))*K8)/Client_Margin($C8),"-")</f>
        <v>7.7647058823529416E-2</v>
      </c>
      <c r="L9" s="15" cm="1">
        <f t="array" ref="L9">IFERROR((_xlfn._xlws.FILTER(INDEX(Margin[],0,MATCH(L$1&amp;"_"&amp;L$3,Margin[#Headers],0)),(Margin[Index]=L$2)*(Margin[Strategy]=L$5))*L8)/Client_Margin($C8),"-")</f>
        <v>0.45176470588235296</v>
      </c>
      <c r="M9" s="15" cm="1">
        <f t="array" ref="M9">IFERROR((_xlfn._xlws.FILTER(INDEX(Margin[],0,MATCH(M$1&amp;"_"&amp;M$3,Margin[#Headers],0)),(Margin[Index]=M$2)*(Margin[Strategy]=M$5))*M8)/Client_Margin($C8),"-")</f>
        <v>0</v>
      </c>
      <c r="N9" s="15" cm="1">
        <f t="array" ref="N9">IFERROR((_xlfn._xlws.FILTER(INDEX(Margin[],0,MATCH(N$1&amp;"_"&amp;N$3,Margin[#Headers],0)),(Margin[Index]=N$2)*(Margin[Strategy]=N$5))*N8)/Client_Margin($C8),"-")</f>
        <v>0</v>
      </c>
      <c r="O9" s="15" cm="1">
        <f t="array" ref="O9">IFERROR((_xlfn._xlws.FILTER(INDEX(Margin[],0,MATCH(O$1&amp;"_"&amp;O$3,Margin[#Headers],0)),(Margin[Index]=O$2)*(Margin[Strategy]=O$5))*O8)/Client_Margin($C8),"-")</f>
        <v>0</v>
      </c>
    </row>
    <row r="10" spans="1:21" x14ac:dyDescent="0.25">
      <c r="A10" t="str">
        <f>_xlfn.XLOOKUP(C10,'OI QTY'!$O$5:$O$21,'OI QTY'!$N$5:$N$21,"")</f>
        <v>M</v>
      </c>
      <c r="B10">
        <f t="shared" si="0"/>
        <v>1</v>
      </c>
      <c r="C10" s="14" t="s">
        <v>127</v>
      </c>
      <c r="D10" s="14" cm="1">
        <f t="array" ref="D10">(_xlfn._xlws.FILTER(Fund[Margin],Fund[Client Id]=C10))/10000000</f>
        <v>4.5999999999999996</v>
      </c>
      <c r="E10" s="17"/>
      <c r="F10" s="14" t="str" cm="1">
        <f t="array" ref="F10">IFERROR(IF(ROUNDUP((Client_Margin($C10)*Alloted(F$3,F$2,F$5)/Get_Margin(F$3,F$2,F$5,F$1)),0)*Get_Margin(F$3,F$2,F$5,F$1)&gt;((Client_Margin($C10)*Alloted(F$3,F$2,F$5)/Get_Margin(F$3,F$2,F$5,F$1))*Get_Margin(F$3,F$2,F$5,F$1))*$D$3,ROUNDDOWN((Client_Margin($C10)*Alloted(F$3,F$2,F$5)/Get_Margin(F$3,F$2,F$5,F$1)),0),ROUNDUP((Client_Margin($C10)*Alloted(F$3,F$2,F$5)/Get_Margin(F$3,F$2,F$5,F$1)),0)),"-")</f>
        <v>-</v>
      </c>
      <c r="G10" s="14" cm="1">
        <f t="array" ref="G10">IFERROR(IF(ROUNDUP((Client_Margin($C10)*Alloted(G$3,G$2,G$5)/Get_Margin(G$3,G$2,G$5,G$1)),0)*Get_Margin(G$3,G$2,G$5,G$1)&gt;((Client_Margin($C10)*Alloted(G$3,G$2,G$5)/Get_Margin(G$3,G$2,G$5,G$1))*Get_Margin(G$3,G$2,G$5,G$1))*$D$3,ROUNDDOWN((Client_Margin($C10)*Alloted(G$3,G$2,G$5)/Get_Margin(G$3,G$2,G$5,G$1)),0),ROUNDUP((Client_Margin($C10)*Alloted(G$3,G$2,G$5)/Get_Margin(G$3,G$2,G$5,G$1)),0)),"-")</f>
        <v>15</v>
      </c>
      <c r="H10" s="14" cm="1">
        <f t="array" ref="H10">IFERROR(IF(ROUNDUP((Client_Margin($C10)*Alloted(H$3,H$2,H$5)/Get_Margin(H$3,H$2,H$5,H$1)),0)*Get_Margin(H$3,H$2,H$5,H$1)&gt;((Client_Margin($C10)*Alloted(H$3,H$2,H$5)/Get_Margin(H$3,H$2,H$5,H$1))*Get_Margin(H$3,H$2,H$5,H$1))*$D$3,ROUNDDOWN((Client_Margin($C10)*Alloted(H$3,H$2,H$5)/Get_Margin(H$3,H$2,H$5,H$1)),0),ROUNDUP((Client_Margin($C10)*Alloted(H$3,H$2,H$5)/Get_Margin(H$3,H$2,H$5,H$1)),0)),"-")</f>
        <v>7</v>
      </c>
      <c r="I10" s="14" cm="1">
        <f t="array" ref="I10">IFERROR(IF(ROUNDUP((Client_Margin($C10)*Alloted(I$3,I$2,I$5)/Get_Margin(I$3,I$2,I$5,I$1)),0)*Get_Margin(I$3,I$2,I$5,I$1)&gt;((Client_Margin($C10)*Alloted(I$3,I$2,I$5)/Get_Margin(I$3,I$2,I$5,I$1))*Get_Margin(I$3,I$2,I$5,I$1))*$D$3,ROUNDDOWN((Client_Margin($C10)*Alloted(I$3,I$2,I$5)/Get_Margin(I$3,I$2,I$5,I$1)),0),ROUNDUP((Client_Margin($C10)*Alloted(I$3,I$2,I$5)/Get_Margin(I$3,I$2,I$5,I$1)),0)),"-")</f>
        <v>2</v>
      </c>
      <c r="J10" s="14" cm="1">
        <f t="array" ref="J10">IFERROR(IF(ROUNDUP((Client_Margin($C10)*Alloted(J$3,J$2,J$5)/Get_Margin(J$3,J$2,J$5,J$1)),0)*Get_Margin(J$3,J$2,J$5,J$1)&gt;((Client_Margin($C10)*Alloted(J$3,J$2,J$5)/Get_Margin(J$3,J$2,J$5,J$1))*Get_Margin(J$3,J$2,J$5,J$1))*$D$3,ROUNDDOWN((Client_Margin($C10)*Alloted(J$3,J$2,J$5)/Get_Margin(J$3,J$2,J$5,J$1)),0),ROUNDUP((Client_Margin($C10)*Alloted(J$3,J$2,J$5)/Get_Margin(J$3,J$2,J$5,J$1)),0)),"-")</f>
        <v>3</v>
      </c>
      <c r="K10" s="14" cm="1">
        <f t="array" ref="K10">IFERROR(IF(ROUNDUP((Client_Margin($C10)*Alloted(K$3,K$2,K$5)/Get_Margin(K$3,K$2,K$5,K$1)),0)*Get_Margin(K$3,K$2,K$5,K$1)&gt;((Client_Margin($C10)*Alloted(K$3,K$2,K$5)/Get_Margin(K$3,K$2,K$5,K$1))*Get_Margin(K$3,K$2,K$5,K$1))*$D$3,ROUNDDOWN((Client_Margin($C10)*Alloted(K$3,K$2,K$5)/Get_Margin(K$3,K$2,K$5,K$1)),0),ROUNDUP((Client_Margin($C10)*Alloted(K$3,K$2,K$5)/Get_Margin(K$3,K$2,K$5,K$1)),0)),"-")</f>
        <v>2</v>
      </c>
      <c r="L10" s="14" cm="1">
        <f t="array" ref="L10">IFERROR(IF(ROUNDUP((Client_Margin($C10)*Alloted(L$3,L$2,L$5)/Get_Margin(L$3,L$2,L$5,L$1)),0)*Get_Margin(L$3,L$2,L$5,L$1)&gt;((Client_Margin($C10)*Alloted(L$3,L$2,L$5)/Get_Margin(L$3,L$2,L$5,L$1))*Get_Margin(L$3,L$2,L$5,L$1))*$D$3,ROUNDDOWN((Client_Margin($C10)*Alloted(L$3,L$2,L$5)/Get_Margin(L$3,L$2,L$5,L$1)),0),ROUNDUP((Client_Margin($C10)*Alloted(L$3,L$2,L$5)/Get_Margin(L$3,L$2,L$5,L$1)),0)),"-")</f>
        <v>22</v>
      </c>
      <c r="M10" s="14" cm="1">
        <f t="array" ref="M10">IFERROR(IF(ROUNDUP((Client_Margin($C10)*Alloted(M$3,M$2,M$5)/Get_Margin(M$3,M$2,M$5,M$1)),0)*Get_Margin(M$3,M$2,M$5,M$1)&gt;((Client_Margin($C10)*Alloted(M$3,M$2,M$5)/Get_Margin(M$3,M$2,M$5,M$1))*Get_Margin(M$3,M$2,M$5,M$1))*$D$3,ROUNDDOWN((Client_Margin($C10)*Alloted(M$3,M$2,M$5)/Get_Margin(M$3,M$2,M$5,M$1)),0),ROUNDUP((Client_Margin($C10)*Alloted(M$3,M$2,M$5)/Get_Margin(M$3,M$2,M$5,M$1)),0)),"-")</f>
        <v>0</v>
      </c>
      <c r="N10" s="14" cm="1">
        <f t="array" ref="N10">IFERROR(IF(ROUNDUP((Client_Margin($C10)*Alloted(N$3,N$2,N$5)/Get_Margin(N$3,N$2,N$5,N$1)),0)*Get_Margin(N$3,N$2,N$5,N$1)&gt;((Client_Margin($C10)*Alloted(N$3,N$2,N$5)/Get_Margin(N$3,N$2,N$5,N$1))*Get_Margin(N$3,N$2,N$5,N$1))*$D$3,ROUNDDOWN((Client_Margin($C10)*Alloted(N$3,N$2,N$5)/Get_Margin(N$3,N$2,N$5,N$1)),0),ROUNDUP((Client_Margin($C10)*Alloted(N$3,N$2,N$5)/Get_Margin(N$3,N$2,N$5,N$1)),0)),"-")</f>
        <v>0</v>
      </c>
      <c r="O10" s="14" cm="1">
        <f t="array" ref="O10">IFERROR(IF(ROUNDUP((Client_Margin($C10)*Alloted(O$3,O$2,O$5)/Get_Margin(O$3,O$2,O$5,O$1)),0)*Get_Margin(O$3,O$2,O$5,O$1)&gt;((Client_Margin($C10)*Alloted(O$3,O$2,O$5)/Get_Margin(O$3,O$2,O$5,O$1))*Get_Margin(O$3,O$2,O$5,O$1))*$D$3,ROUNDDOWN((Client_Margin($C10)*Alloted(O$3,O$2,O$5)/Get_Margin(O$3,O$2,O$5,O$1)),0),ROUNDUP((Client_Margin($C10)*Alloted(O$3,O$2,O$5)/Get_Margin(O$3,O$2,O$5,O$1)),0)),"-")</f>
        <v>0</v>
      </c>
    </row>
    <row r="11" spans="1:21" x14ac:dyDescent="0.25">
      <c r="A11">
        <f>_xlfn.XLOOKUP(C11,'OI QTY'!$O$5:$O$21,'OI QTY'!$N$5:$N$21,"")</f>
        <v>0</v>
      </c>
      <c r="B11">
        <f t="shared" si="0"/>
        <v>0</v>
      </c>
      <c r="C11" s="14"/>
      <c r="D11" s="14"/>
      <c r="E11" s="15">
        <f>SUM(F11:O11)</f>
        <v>0.91773913043478261</v>
      </c>
      <c r="F11" s="15" t="str" cm="1">
        <f t="array" ref="F11">IFERROR((_xlfn._xlws.FILTER(INDEX(Margin[],0,MATCH(F$1&amp;"_"&amp;F$3,Margin[#Headers],0)),(Margin[Index]=F$2)*(Margin[Strategy]=F$5))*F10)/Client_Margin($C10),"-")</f>
        <v>-</v>
      </c>
      <c r="G11" s="15" cm="1">
        <f t="array" ref="G11">IFERROR((_xlfn._xlws.FILTER(INDEX(Margin[],0,MATCH(G$1&amp;"_"&amp;G$3,Margin[#Headers],0)),(Margin[Index]=G$2)*(Margin[Strategy]=G$5))*G10)/Client_Margin($C10),"-")</f>
        <v>5.2173913043478258E-2</v>
      </c>
      <c r="H11" s="15" cm="1">
        <f t="array" ref="H11">IFERROR((_xlfn._xlws.FILTER(INDEX(Margin[],0,MATCH(H$1&amp;"_"&amp;H$3,Margin[#Headers],0)),(Margin[Index]=H$2)*(Margin[Strategy]=H$5))*H10)/Client_Margin($C10),"-")</f>
        <v>0.10591304347826087</v>
      </c>
      <c r="I11" s="15" cm="1">
        <f t="array" ref="I11">IFERROR((_xlfn._xlws.FILTER(INDEX(Margin[],0,MATCH(I$1&amp;"_"&amp;I$3,Margin[#Headers],0)),(Margin[Index]=I$2)*(Margin[Strategy]=I$5))*I10)/Client_Margin($C10),"-")</f>
        <v>8.1391304347826085E-2</v>
      </c>
      <c r="J11" s="15" cm="1">
        <f t="array" ref="J11">IFERROR((_xlfn._xlws.FILTER(INDEX(Margin[],0,MATCH(J$1&amp;"_"&amp;J$3,Margin[#Headers],0)),(Margin[Index]=J$2)*(Margin[Strategy]=J$5))*J10)/Client_Margin($C10),"-")</f>
        <v>0.10434782608695652</v>
      </c>
      <c r="K11" s="15" cm="1">
        <f t="array" ref="K11">IFERROR((_xlfn._xlws.FILTER(INDEX(Margin[],0,MATCH(K$1&amp;"_"&amp;K$3,Margin[#Headers],0)),(Margin[Index]=K$2)*(Margin[Strategy]=K$5))*K10)/Client_Margin($C10),"-")</f>
        <v>0.11478260869565217</v>
      </c>
      <c r="L11" s="15" cm="1">
        <f t="array" ref="L11">IFERROR((_xlfn._xlws.FILTER(INDEX(Margin[],0,MATCH(L$1&amp;"_"&amp;L$3,Margin[#Headers],0)),(Margin[Index]=L$2)*(Margin[Strategy]=L$5))*L10)/Client_Margin($C10),"-")</f>
        <v>0.45913043478260868</v>
      </c>
      <c r="M11" s="15" cm="1">
        <f t="array" ref="M11">IFERROR((_xlfn._xlws.FILTER(INDEX(Margin[],0,MATCH(M$1&amp;"_"&amp;M$3,Margin[#Headers],0)),(Margin[Index]=M$2)*(Margin[Strategy]=M$5))*M10)/Client_Margin($C10),"-")</f>
        <v>0</v>
      </c>
      <c r="N11" s="15" cm="1">
        <f t="array" ref="N11">IFERROR((_xlfn._xlws.FILTER(INDEX(Margin[],0,MATCH(N$1&amp;"_"&amp;N$3,Margin[#Headers],0)),(Margin[Index]=N$2)*(Margin[Strategy]=N$5))*N10)/Client_Margin($C10),"-")</f>
        <v>0</v>
      </c>
      <c r="O11" s="15" cm="1">
        <f t="array" ref="O11">IFERROR((_xlfn._xlws.FILTER(INDEX(Margin[],0,MATCH(O$1&amp;"_"&amp;O$3,Margin[#Headers],0)),(Margin[Index]=O$2)*(Margin[Strategy]=O$5))*O10)/Client_Margin($C10),"-")</f>
        <v>0</v>
      </c>
    </row>
    <row r="12" spans="1:21" x14ac:dyDescent="0.25">
      <c r="A12" t="str">
        <f>_xlfn.XLOOKUP(C12,'OI QTY'!$O$5:$O$21,'OI QTY'!$N$5:$N$21,"")</f>
        <v>M</v>
      </c>
      <c r="B12">
        <f>IF(C12="",0,1)</f>
        <v>1</v>
      </c>
      <c r="C12" s="14" t="s">
        <v>112</v>
      </c>
      <c r="D12" s="14" cm="1">
        <f t="array" ref="D12">(_xlfn._xlws.FILTER(Fund[Margin],Fund[Client Id]=C12))/10000000</f>
        <v>7</v>
      </c>
      <c r="E12" s="17"/>
      <c r="F12" s="14" t="str" cm="1">
        <f t="array" ref="F12">IFERROR(IF(ROUNDUP((Client_Margin($C12)*Alloted(F$3,F$2,F$5)/Get_Margin(F$3,F$2,F$5,F$1)),0)*Get_Margin(F$3,F$2,F$5,F$1)&gt;((Client_Margin($C12)*Alloted(F$3,F$2,F$5)/Get_Margin(F$3,F$2,F$5,F$1))*Get_Margin(F$3,F$2,F$5,F$1))*$D$3,ROUNDDOWN((Client_Margin($C12)*Alloted(F$3,F$2,F$5)/Get_Margin(F$3,F$2,F$5,F$1)),0),ROUNDUP((Client_Margin($C12)*Alloted(F$3,F$2,F$5)/Get_Margin(F$3,F$2,F$5,F$1)),0)),"-")</f>
        <v>-</v>
      </c>
      <c r="G12" s="14" cm="1">
        <f t="array" ref="G12">IFERROR(IF(ROUNDUP((Client_Margin($C12)*Alloted(G$3,G$2,G$5)/Get_Margin(G$3,G$2,G$5,G$1)),0)*Get_Margin(G$3,G$2,G$5,G$1)&gt;((Client_Margin($C12)*Alloted(G$3,G$2,G$5)/Get_Margin(G$3,G$2,G$5,G$1))*Get_Margin(G$3,G$2,G$5,G$1))*$D$3,ROUNDDOWN((Client_Margin($C12)*Alloted(G$3,G$2,G$5)/Get_Margin(G$3,G$2,G$5,G$1)),0),ROUNDUP((Client_Margin($C12)*Alloted(G$3,G$2,G$5)/Get_Margin(G$3,G$2,G$5,G$1)),0)),"-")</f>
        <v>22</v>
      </c>
      <c r="H12" s="14" cm="1">
        <f t="array" ref="H12">IFERROR(IF(ROUNDUP((Client_Margin($C12)*Alloted(H$3,H$2,H$5)/Get_Margin(H$3,H$2,H$5,H$1)),0)*Get_Margin(H$3,H$2,H$5,H$1)&gt;((Client_Margin($C12)*Alloted(H$3,H$2,H$5)/Get_Margin(H$3,H$2,H$5,H$1))*Get_Margin(H$3,H$2,H$5,H$1))*$D$3,ROUNDDOWN((Client_Margin($C12)*Alloted(H$3,H$2,H$5)/Get_Margin(H$3,H$2,H$5,H$1)),0),ROUNDUP((Client_Margin($C12)*Alloted(H$3,H$2,H$5)/Get_Margin(H$3,H$2,H$5,H$1)),0)),"-")</f>
        <v>11</v>
      </c>
      <c r="I12" s="14" cm="1">
        <f t="array" ref="I12">IFERROR(IF(ROUNDUP((Client_Margin($C12)*Alloted(I$3,I$2,I$5)/Get_Margin(I$3,I$2,I$5,I$1)),0)*Get_Margin(I$3,I$2,I$5,I$1)&gt;((Client_Margin($C12)*Alloted(I$3,I$2,I$5)/Get_Margin(I$3,I$2,I$5,I$1))*Get_Margin(I$3,I$2,I$5,I$1))*$D$3,ROUNDDOWN((Client_Margin($C12)*Alloted(I$3,I$2,I$5)/Get_Margin(I$3,I$2,I$5,I$1)),0),ROUNDUP((Client_Margin($C12)*Alloted(I$3,I$2,I$5)/Get_Margin(I$3,I$2,I$5,I$1)),0)),"-")</f>
        <v>4</v>
      </c>
      <c r="J12" s="14" cm="1">
        <f t="array" ref="J12">IFERROR(IF(ROUNDUP((Client_Margin($C12)*Alloted(J$3,J$2,J$5)/Get_Margin(J$3,J$2,J$5,J$1)),0)*Get_Margin(J$3,J$2,J$5,J$1)&gt;((Client_Margin($C12)*Alloted(J$3,J$2,J$5)/Get_Margin(J$3,J$2,J$5,J$1))*Get_Margin(J$3,J$2,J$5,J$1))*$D$3,ROUNDDOWN((Client_Margin($C12)*Alloted(J$3,J$2,J$5)/Get_Margin(J$3,J$2,J$5,J$1)),0),ROUNDUP((Client_Margin($C12)*Alloted(J$3,J$2,J$5)/Get_Margin(J$3,J$2,J$5,J$1)),0)),"-")</f>
        <v>5</v>
      </c>
      <c r="K12" s="14" cm="1">
        <f t="array" ref="K12">IFERROR(IF(ROUNDUP((Client_Margin($C12)*Alloted(K$3,K$2,K$5)/Get_Margin(K$3,K$2,K$5,K$1)),0)*Get_Margin(K$3,K$2,K$5,K$1)&gt;((Client_Margin($C12)*Alloted(K$3,K$2,K$5)/Get_Margin(K$3,K$2,K$5,K$1))*Get_Margin(K$3,K$2,K$5,K$1))*$D$3,ROUNDDOWN((Client_Margin($C12)*Alloted(K$3,K$2,K$5)/Get_Margin(K$3,K$2,K$5,K$1)),0),ROUNDUP((Client_Margin($C12)*Alloted(K$3,K$2,K$5)/Get_Margin(K$3,K$2,K$5,K$1)),0)),"-")</f>
        <v>3</v>
      </c>
      <c r="L12" s="14" cm="1">
        <f t="array" ref="L12">IFERROR(IF(ROUNDUP((Client_Margin($C12)*Alloted(L$3,L$2,L$5)/Get_Margin(L$3,L$2,L$5,L$1)),0)*Get_Margin(L$3,L$2,L$5,L$1)&gt;((Client_Margin($C12)*Alloted(L$3,L$2,L$5)/Get_Margin(L$3,L$2,L$5,L$1))*Get_Margin(L$3,L$2,L$5,L$1))*$D$3,ROUNDDOWN((Client_Margin($C12)*Alloted(L$3,L$2,L$5)/Get_Margin(L$3,L$2,L$5,L$1)),0),ROUNDUP((Client_Margin($C12)*Alloted(L$3,L$2,L$5)/Get_Margin(L$3,L$2,L$5,L$1)),0)),"-")</f>
        <v>33</v>
      </c>
      <c r="M12" s="14" cm="1">
        <f t="array" ref="M12">IFERROR(IF(ROUNDUP((Client_Margin($C12)*Alloted(M$3,M$2,M$5)/Get_Margin(M$3,M$2,M$5,M$1)),0)*Get_Margin(M$3,M$2,M$5,M$1)&gt;((Client_Margin($C12)*Alloted(M$3,M$2,M$5)/Get_Margin(M$3,M$2,M$5,M$1))*Get_Margin(M$3,M$2,M$5,M$1))*$D$3,ROUNDDOWN((Client_Margin($C12)*Alloted(M$3,M$2,M$5)/Get_Margin(M$3,M$2,M$5,M$1)),0),ROUNDUP((Client_Margin($C12)*Alloted(M$3,M$2,M$5)/Get_Margin(M$3,M$2,M$5,M$1)),0)),"-")</f>
        <v>0</v>
      </c>
      <c r="N12" s="14" cm="1">
        <f t="array" ref="N12">IFERROR(IF(ROUNDUP((Client_Margin($C12)*Alloted(N$3,N$2,N$5)/Get_Margin(N$3,N$2,N$5,N$1)),0)*Get_Margin(N$3,N$2,N$5,N$1)&gt;((Client_Margin($C12)*Alloted(N$3,N$2,N$5)/Get_Margin(N$3,N$2,N$5,N$1))*Get_Margin(N$3,N$2,N$5,N$1))*$D$3,ROUNDDOWN((Client_Margin($C12)*Alloted(N$3,N$2,N$5)/Get_Margin(N$3,N$2,N$5,N$1)),0),ROUNDUP((Client_Margin($C12)*Alloted(N$3,N$2,N$5)/Get_Margin(N$3,N$2,N$5,N$1)),0)),"-")</f>
        <v>0</v>
      </c>
      <c r="O12" s="14" cm="1">
        <f t="array" ref="O12">IFERROR(IF(ROUNDUP((Client_Margin($C12)*Alloted(O$3,O$2,O$5)/Get_Margin(O$3,O$2,O$5,O$1)),0)*Get_Margin(O$3,O$2,O$5,O$1)&gt;((Client_Margin($C12)*Alloted(O$3,O$2,O$5)/Get_Margin(O$3,O$2,O$5,O$1))*Get_Margin(O$3,O$2,O$5,O$1))*$D$3,ROUNDDOWN((Client_Margin($C12)*Alloted(O$3,O$2,O$5)/Get_Margin(O$3,O$2,O$5,O$1)),0),ROUNDUP((Client_Margin($C12)*Alloted(O$3,O$2,O$5)/Get_Margin(O$3,O$2,O$5,O$1)),0)),"-")</f>
        <v>0</v>
      </c>
    </row>
    <row r="13" spans="1:21" x14ac:dyDescent="0.25">
      <c r="A13">
        <f>_xlfn.XLOOKUP(C13,'OI QTY'!$O$5:$O$21,'OI QTY'!$N$5:$N$21,"")</f>
        <v>0</v>
      </c>
      <c r="B13">
        <f>IF(C13="",0,1)</f>
        <v>0</v>
      </c>
      <c r="C13" s="14"/>
      <c r="D13" s="14"/>
      <c r="E13" s="15">
        <f>SUM(F13:O13)</f>
        <v>0.94662857142857137</v>
      </c>
      <c r="F13" s="15" t="str" cm="1">
        <f t="array" ref="F13">IFERROR((_xlfn._xlws.FILTER(INDEX(Margin[],0,MATCH(F$1&amp;"_"&amp;F$3,Margin[#Headers],0)),(Margin[Index]=F$2)*(Margin[Strategy]=F$5))*F12)/Client_Margin($C12),"-")</f>
        <v>-</v>
      </c>
      <c r="G13" s="15" cm="1">
        <f t="array" ref="G13">IFERROR((_xlfn._xlws.FILTER(INDEX(Margin[],0,MATCH(G$1&amp;"_"&amp;G$3,Margin[#Headers],0)),(Margin[Index]=G$2)*(Margin[Strategy]=G$5))*G12)/Client_Margin($C12),"-")</f>
        <v>5.0285714285714288E-2</v>
      </c>
      <c r="H13" s="15" cm="1">
        <f t="array" ref="H13">IFERROR((_xlfn._xlws.FILTER(INDEX(Margin[],0,MATCH(H$1&amp;"_"&amp;H$3,Margin[#Headers],0)),(Margin[Index]=H$2)*(Margin[Strategy]=H$5))*H12)/Client_Margin($C12),"-")</f>
        <v>0.10937142857142858</v>
      </c>
      <c r="I13" s="15" cm="1">
        <f t="array" ref="I13">IFERROR((_xlfn._xlws.FILTER(INDEX(Margin[],0,MATCH(I$1&amp;"_"&amp;I$3,Margin[#Headers],0)),(Margin[Index]=I$2)*(Margin[Strategy]=I$5))*I12)/Client_Margin($C12),"-")</f>
        <v>0.10697142857142856</v>
      </c>
      <c r="J13" s="15" cm="1">
        <f t="array" ref="J13">IFERROR((_xlfn._xlws.FILTER(INDEX(Margin[],0,MATCH(J$1&amp;"_"&amp;J$3,Margin[#Headers],0)),(Margin[Index]=J$2)*(Margin[Strategy]=J$5))*J12)/Client_Margin($C12),"-")</f>
        <v>0.11428571428571428</v>
      </c>
      <c r="K13" s="15" cm="1">
        <f t="array" ref="K13">IFERROR((_xlfn._xlws.FILTER(INDEX(Margin[],0,MATCH(K$1&amp;"_"&amp;K$3,Margin[#Headers],0)),(Margin[Index]=K$2)*(Margin[Strategy]=K$5))*K12)/Client_Margin($C12),"-")</f>
        <v>0.11314285714285714</v>
      </c>
      <c r="L13" s="15" cm="1">
        <f t="array" ref="L13">IFERROR((_xlfn._xlws.FILTER(INDEX(Margin[],0,MATCH(L$1&amp;"_"&amp;L$3,Margin[#Headers],0)),(Margin[Index]=L$2)*(Margin[Strategy]=L$5))*L12)/Client_Margin($C12),"-")</f>
        <v>0.45257142857142857</v>
      </c>
      <c r="M13" s="15" cm="1">
        <f t="array" ref="M13">IFERROR((_xlfn._xlws.FILTER(INDEX(Margin[],0,MATCH(M$1&amp;"_"&amp;M$3,Margin[#Headers],0)),(Margin[Index]=M$2)*(Margin[Strategy]=M$5))*M12)/Client_Margin($C12),"-")</f>
        <v>0</v>
      </c>
      <c r="N13" s="15" cm="1">
        <f t="array" ref="N13">IFERROR((_xlfn._xlws.FILTER(INDEX(Margin[],0,MATCH(N$1&amp;"_"&amp;N$3,Margin[#Headers],0)),(Margin[Index]=N$2)*(Margin[Strategy]=N$5))*N12)/Client_Margin($C12),"-")</f>
        <v>0</v>
      </c>
      <c r="O13" s="15" cm="1">
        <f t="array" ref="O13">IFERROR((_xlfn._xlws.FILTER(INDEX(Margin[],0,MATCH(O$1&amp;"_"&amp;O$3,Margin[#Headers],0)),(Margin[Index]=O$2)*(Margin[Strategy]=O$5))*O12)/Client_Margin($C12),"-")</f>
        <v>0</v>
      </c>
    </row>
    <row r="14" spans="1:21" x14ac:dyDescent="0.25">
      <c r="A14" t="str">
        <f>_xlfn.XLOOKUP(C14,'OI QTY'!$O$5:$O$21,'OI QTY'!$N$5:$N$21,"")</f>
        <v>M</v>
      </c>
      <c r="B14">
        <v>1</v>
      </c>
      <c r="C14" s="14" t="s">
        <v>123</v>
      </c>
      <c r="D14" s="48" cm="1">
        <f t="array" ref="D14">(_xlfn._xlws.FILTER(Fund[Margin],Fund[Client Id]=C14))/10000000</f>
        <v>4</v>
      </c>
      <c r="E14" s="17"/>
      <c r="F14" s="14" t="str" cm="1">
        <f t="array" ref="F14">IFERROR(IF(ROUNDUP((Client_Margin($C14)*Alloted(F$3,F$2,F$5)/Get_Margin(F$3,F$2,F$5,F$1)),0)*Get_Margin(F$3,F$2,F$5,F$1)&gt;((Client_Margin($C14)*Alloted(F$3,F$2,F$5)/Get_Margin(F$3,F$2,F$5,F$1))*Get_Margin(F$3,F$2,F$5,F$1))*$D$3,ROUNDDOWN((Client_Margin($C14)*Alloted(F$3,F$2,F$5)/Get_Margin(F$3,F$2,F$5,F$1)),0),ROUNDUP((Client_Margin($C14)*Alloted(F$3,F$2,F$5)/Get_Margin(F$3,F$2,F$5,F$1)),0)),"-")</f>
        <v>-</v>
      </c>
      <c r="G14" s="14" cm="1">
        <f t="array" ref="G14">IFERROR(IF(ROUNDUP((Client_Margin($C14)*Alloted(G$3,G$2,G$5)/Get_Margin(G$3,G$2,G$5,G$1)),0)*Get_Margin(G$3,G$2,G$5,G$1)&gt;((Client_Margin($C14)*Alloted(G$3,G$2,G$5)/Get_Margin(G$3,G$2,G$5,G$1))*Get_Margin(G$3,G$2,G$5,G$1))*$D$3,ROUNDDOWN((Client_Margin($C14)*Alloted(G$3,G$2,G$5)/Get_Margin(G$3,G$2,G$5,G$1)),0),ROUNDUP((Client_Margin($C14)*Alloted(G$3,G$2,G$5)/Get_Margin(G$3,G$2,G$5,G$1)),0)),"-")</f>
        <v>13</v>
      </c>
      <c r="H14" s="14" cm="1">
        <f t="array" ref="H14">IFERROR(IF(ROUNDUP((Client_Margin($C14)*Alloted(H$3,H$2,H$5)/Get_Margin(H$3,H$2,H$5,H$1)),0)*Get_Margin(H$3,H$2,H$5,H$1)&gt;((Client_Margin($C14)*Alloted(H$3,H$2,H$5)/Get_Margin(H$3,H$2,H$5,H$1))*Get_Margin(H$3,H$2,H$5,H$1))*$D$3,ROUNDDOWN((Client_Margin($C14)*Alloted(H$3,H$2,H$5)/Get_Margin(H$3,H$2,H$5,H$1)),0),ROUNDUP((Client_Margin($C14)*Alloted(H$3,H$2,H$5)/Get_Margin(H$3,H$2,H$5,H$1)),0)),"-")</f>
        <v>6</v>
      </c>
      <c r="I14" s="14" cm="1">
        <f t="array" ref="I14">IFERROR(IF(ROUNDUP((Client_Margin($C14)*Alloted(I$3,I$2,I$5)/Get_Margin(I$3,I$2,I$5,I$1)),0)*Get_Margin(I$3,I$2,I$5,I$1)&gt;((Client_Margin($C14)*Alloted(I$3,I$2,I$5)/Get_Margin(I$3,I$2,I$5,I$1))*Get_Margin(I$3,I$2,I$5,I$1))*$D$3,ROUNDDOWN((Client_Margin($C14)*Alloted(I$3,I$2,I$5)/Get_Margin(I$3,I$2,I$5,I$1)),0),ROUNDUP((Client_Margin($C14)*Alloted(I$3,I$2,I$5)/Get_Margin(I$3,I$2,I$5,I$1)),0)),"-")</f>
        <v>2</v>
      </c>
      <c r="J14" s="14" cm="1">
        <f t="array" ref="J14">IFERROR(IF(ROUNDUP((Client_Margin($C14)*Alloted(J$3,J$2,J$5)/Get_Margin(J$3,J$2,J$5,J$1)),0)*Get_Margin(J$3,J$2,J$5,J$1)&gt;((Client_Margin($C14)*Alloted(J$3,J$2,J$5)/Get_Margin(J$3,J$2,J$5,J$1))*Get_Margin(J$3,J$2,J$5,J$1))*$D$3,ROUNDDOWN((Client_Margin($C14)*Alloted(J$3,J$2,J$5)/Get_Margin(J$3,J$2,J$5,J$1)),0),ROUNDUP((Client_Margin($C14)*Alloted(J$3,J$2,J$5)/Get_Margin(J$3,J$2,J$5,J$1)),0)),"-")</f>
        <v>2</v>
      </c>
      <c r="K14" s="14" cm="1">
        <f t="array" ref="K14">IFERROR(IF(ROUNDUP((Client_Margin($C14)*Alloted(K$3,K$2,K$5)/Get_Margin(K$3,K$2,K$5,K$1)),0)*Get_Margin(K$3,K$2,K$5,K$1)&gt;((Client_Margin($C14)*Alloted(K$3,K$2,K$5)/Get_Margin(K$3,K$2,K$5,K$1))*Get_Margin(K$3,K$2,K$5,K$1))*$D$3,ROUNDDOWN((Client_Margin($C14)*Alloted(K$3,K$2,K$5)/Get_Margin(K$3,K$2,K$5,K$1)),0),ROUNDUP((Client_Margin($C14)*Alloted(K$3,K$2,K$5)/Get_Margin(K$3,K$2,K$5,K$1)),0)),"-")</f>
        <v>1</v>
      </c>
      <c r="L14" s="14" cm="1">
        <f t="array" ref="L14">IFERROR(IF(ROUNDUP((Client_Margin($C14)*Alloted(L$3,L$2,L$5)/Get_Margin(L$3,L$2,L$5,L$1)),0)*Get_Margin(L$3,L$2,L$5,L$1)&gt;((Client_Margin($C14)*Alloted(L$3,L$2,L$5)/Get_Margin(L$3,L$2,L$5,L$1))*Get_Margin(L$3,L$2,L$5,L$1))*$D$3,ROUNDDOWN((Client_Margin($C14)*Alloted(L$3,L$2,L$5)/Get_Margin(L$3,L$2,L$5,L$1)),0),ROUNDUP((Client_Margin($C14)*Alloted(L$3,L$2,L$5)/Get_Margin(L$3,L$2,L$5,L$1)),0)),"-")</f>
        <v>19</v>
      </c>
      <c r="M14" s="14" cm="1">
        <f t="array" ref="M14">IFERROR(IF(ROUNDUP((Client_Margin($C14)*Alloted(M$3,M$2,M$5)/Get_Margin(M$3,M$2,M$5,M$1)),0)*Get_Margin(M$3,M$2,M$5,M$1)&gt;((Client_Margin($C14)*Alloted(M$3,M$2,M$5)/Get_Margin(M$3,M$2,M$5,M$1))*Get_Margin(M$3,M$2,M$5,M$1))*$D$3,ROUNDDOWN((Client_Margin($C14)*Alloted(M$3,M$2,M$5)/Get_Margin(M$3,M$2,M$5,M$1)),0),ROUNDUP((Client_Margin($C14)*Alloted(M$3,M$2,M$5)/Get_Margin(M$3,M$2,M$5,M$1)),0)),"-")</f>
        <v>0</v>
      </c>
      <c r="N14" s="14" cm="1">
        <f t="array" ref="N14">IFERROR(IF(ROUNDUP((Client_Margin($C14)*Alloted(N$3,N$2,N$5)/Get_Margin(N$3,N$2,N$5,N$1)),0)*Get_Margin(N$3,N$2,N$5,N$1)&gt;((Client_Margin($C14)*Alloted(N$3,N$2,N$5)/Get_Margin(N$3,N$2,N$5,N$1))*Get_Margin(N$3,N$2,N$5,N$1))*$D$3,ROUNDDOWN((Client_Margin($C14)*Alloted(N$3,N$2,N$5)/Get_Margin(N$3,N$2,N$5,N$1)),0),ROUNDUP((Client_Margin($C14)*Alloted(N$3,N$2,N$5)/Get_Margin(N$3,N$2,N$5,N$1)),0)),"-")</f>
        <v>0</v>
      </c>
      <c r="O14" s="14" cm="1">
        <f t="array" ref="O14">IFERROR(IF(ROUNDUP((Client_Margin($C14)*Alloted(O$3,O$2,O$5)/Get_Margin(O$3,O$2,O$5,O$1)),0)*Get_Margin(O$3,O$2,O$5,O$1)&gt;((Client_Margin($C14)*Alloted(O$3,O$2,O$5)/Get_Margin(O$3,O$2,O$5,O$1))*Get_Margin(O$3,O$2,O$5,O$1))*$D$3,ROUNDDOWN((Client_Margin($C14)*Alloted(O$3,O$2,O$5)/Get_Margin(O$3,O$2,O$5,O$1)),0),ROUNDUP((Client_Margin($C14)*Alloted(O$3,O$2,O$5)/Get_Margin(O$3,O$2,O$5,O$1)),0)),"-")</f>
        <v>0</v>
      </c>
    </row>
    <row r="15" spans="1:21" x14ac:dyDescent="0.25">
      <c r="A15">
        <f>_xlfn.XLOOKUP(C15,'OI QTY'!$O$5:$O$21,'OI QTY'!$N$5:$N$21,"")</f>
        <v>0</v>
      </c>
      <c r="B15">
        <v>0</v>
      </c>
      <c r="C15" s="14"/>
      <c r="D15" s="14"/>
      <c r="E15" s="15">
        <f>SUM(F15:O15)</f>
        <v>0.85200000000000009</v>
      </c>
      <c r="F15" s="15" t="str" cm="1">
        <f t="array" ref="F15">IFERROR((_xlfn._xlws.FILTER(INDEX(Margin[],0,MATCH(F$1&amp;"_"&amp;F$3,Margin[#Headers],0)),(Margin[Index]=F$2)*(Margin[Strategy]=F$5))*F14)/Client_Margin($C14),"-")</f>
        <v>-</v>
      </c>
      <c r="G15" s="15" cm="1">
        <f t="array" ref="G15">IFERROR((_xlfn._xlws.FILTER(INDEX(Margin[],0,MATCH(G$1&amp;"_"&amp;G$3,Margin[#Headers],0)),(Margin[Index]=G$2)*(Margin[Strategy]=G$5))*G14)/Client_Margin($C14),"-")</f>
        <v>5.1999999999999998E-2</v>
      </c>
      <c r="H15" s="15" cm="1">
        <f t="array" ref="H15">IFERROR((_xlfn._xlws.FILTER(INDEX(Margin[],0,MATCH(H$1&amp;"_"&amp;H$3,Margin[#Headers],0)),(Margin[Index]=H$2)*(Margin[Strategy]=H$5))*H14)/Client_Margin($C14),"-")</f>
        <v>0.10440000000000001</v>
      </c>
      <c r="I15" s="15" cm="1">
        <f t="array" ref="I15">IFERROR((_xlfn._xlws.FILTER(INDEX(Margin[],0,MATCH(I$1&amp;"_"&amp;I$3,Margin[#Headers],0)),(Margin[Index]=I$2)*(Margin[Strategy]=I$5))*I14)/Client_Margin($C14),"-")</f>
        <v>9.3600000000000003E-2</v>
      </c>
      <c r="J15" s="15" cm="1">
        <f t="array" ref="J15">IFERROR((_xlfn._xlws.FILTER(INDEX(Margin[],0,MATCH(J$1&amp;"_"&amp;J$3,Margin[#Headers],0)),(Margin[Index]=J$2)*(Margin[Strategy]=J$5))*J14)/Client_Margin($C14),"-")</f>
        <v>0.08</v>
      </c>
      <c r="K15" s="15" cm="1">
        <f t="array" ref="K15">IFERROR((_xlfn._xlws.FILTER(INDEX(Margin[],0,MATCH(K$1&amp;"_"&amp;K$3,Margin[#Headers],0)),(Margin[Index]=K$2)*(Margin[Strategy]=K$5))*K14)/Client_Margin($C14),"-")</f>
        <v>6.6000000000000003E-2</v>
      </c>
      <c r="L15" s="15" cm="1">
        <f t="array" ref="L15">IFERROR((_xlfn._xlws.FILTER(INDEX(Margin[],0,MATCH(L$1&amp;"_"&amp;L$3,Margin[#Headers],0)),(Margin[Index]=L$2)*(Margin[Strategy]=L$5))*L14)/Client_Margin($C14),"-")</f>
        <v>0.45600000000000002</v>
      </c>
      <c r="M15" s="15" cm="1">
        <f t="array" ref="M15">IFERROR((_xlfn._xlws.FILTER(INDEX(Margin[],0,MATCH(M$1&amp;"_"&amp;M$3,Margin[#Headers],0)),(Margin[Index]=M$2)*(Margin[Strategy]=M$5))*M14)/Client_Margin($C14),"-")</f>
        <v>0</v>
      </c>
      <c r="N15" s="15" cm="1">
        <f t="array" ref="N15">IFERROR((_xlfn._xlws.FILTER(INDEX(Margin[],0,MATCH(N$1&amp;"_"&amp;N$3,Margin[#Headers],0)),(Margin[Index]=N$2)*(Margin[Strategy]=N$5))*N14)/Client_Margin($C14),"-")</f>
        <v>0</v>
      </c>
      <c r="O15" s="15" cm="1">
        <f t="array" ref="O15">IFERROR((_xlfn._xlws.FILTER(INDEX(Margin[],0,MATCH(O$1&amp;"_"&amp;O$3,Margin[#Headers],0)),(Margin[Index]=O$2)*(Margin[Strategy]=O$5))*O14)/Client_Margin($C14),"-")</f>
        <v>0</v>
      </c>
    </row>
    <row r="16" spans="1:21" x14ac:dyDescent="0.25">
      <c r="A16" t="str">
        <f>_xlfn.XLOOKUP(C16,'OI QTY'!$O$5:$O$21,'OI QTY'!$N$5:$N$21,"")</f>
        <v>M</v>
      </c>
      <c r="B16">
        <f t="shared" ref="B16:B27" si="1">IF(C16="",0,1)</f>
        <v>1</v>
      </c>
      <c r="C16" s="14" t="s">
        <v>128</v>
      </c>
      <c r="D16" s="14" cm="1">
        <f t="array" ref="D16">(_xlfn._xlws.FILTER(Fund[Margin],Fund[Client Id]=C16))/10000000</f>
        <v>2</v>
      </c>
      <c r="E16" s="17"/>
      <c r="F16" s="14" t="str" cm="1">
        <f t="array" ref="F16">IFERROR(IF(ROUNDUP((Client_Margin($C16)*Alloted(F$3,F$2,F$5)/Get_Margin(F$3,F$2,F$5,F$1)),0)*Get_Margin(F$3,F$2,F$5,F$1)&gt;((Client_Margin($C16)*Alloted(F$3,F$2,F$5)/Get_Margin(F$3,F$2,F$5,F$1))*Get_Margin(F$3,F$2,F$5,F$1))*$D$3,ROUNDDOWN((Client_Margin($C16)*Alloted(F$3,F$2,F$5)/Get_Margin(F$3,F$2,F$5,F$1)),0),ROUNDUP((Client_Margin($C16)*Alloted(F$3,F$2,F$5)/Get_Margin(F$3,F$2,F$5,F$1)),0)),"-")</f>
        <v>-</v>
      </c>
      <c r="G16" s="14" cm="1">
        <f t="array" ref="G16">IFERROR(IF(ROUNDUP((Client_Margin($C16)*Alloted(G$3,G$2,G$5)/Get_Margin(G$3,G$2,G$5,G$1)),0)*Get_Margin(G$3,G$2,G$5,G$1)&gt;((Client_Margin($C16)*Alloted(G$3,G$2,G$5)/Get_Margin(G$3,G$2,G$5,G$1))*Get_Margin(G$3,G$2,G$5,G$1))*$D$3,ROUNDDOWN((Client_Margin($C16)*Alloted(G$3,G$2,G$5)/Get_Margin(G$3,G$2,G$5,G$1)),0),ROUNDUP((Client_Margin($C16)*Alloted(G$3,G$2,G$5)/Get_Margin(G$3,G$2,G$5,G$1)),0)),"-")</f>
        <v>7</v>
      </c>
      <c r="H16" s="14" cm="1">
        <f t="array" ref="H16">IFERROR(IF(ROUNDUP((Client_Margin($C16)*Alloted(H$3,H$2,H$5)/Get_Margin(H$3,H$2,H$5,H$1)),0)*Get_Margin(H$3,H$2,H$5,H$1)&gt;((Client_Margin($C16)*Alloted(H$3,H$2,H$5)/Get_Margin(H$3,H$2,H$5,H$1))*Get_Margin(H$3,H$2,H$5,H$1))*$D$3,ROUNDDOWN((Client_Margin($C16)*Alloted(H$3,H$2,H$5)/Get_Margin(H$3,H$2,H$5,H$1)),0),ROUNDUP((Client_Margin($C16)*Alloted(H$3,H$2,H$5)/Get_Margin(H$3,H$2,H$5,H$1)),0)),"-")</f>
        <v>3</v>
      </c>
      <c r="I16" s="14" cm="1">
        <f t="array" ref="I16">IFERROR(IF(ROUNDUP((Client_Margin($C16)*Alloted(I$3,I$2,I$5)/Get_Margin(I$3,I$2,I$5,I$1)),0)*Get_Margin(I$3,I$2,I$5,I$1)&gt;((Client_Margin($C16)*Alloted(I$3,I$2,I$5)/Get_Margin(I$3,I$2,I$5,I$1))*Get_Margin(I$3,I$2,I$5,I$1))*$D$3,ROUNDDOWN((Client_Margin($C16)*Alloted(I$3,I$2,I$5)/Get_Margin(I$3,I$2,I$5,I$1)),0),ROUNDUP((Client_Margin($C16)*Alloted(I$3,I$2,I$5)/Get_Margin(I$3,I$2,I$5,I$1)),0)),"-")</f>
        <v>1</v>
      </c>
      <c r="J16" s="14" cm="1">
        <f t="array" ref="J16">IFERROR(IF(ROUNDUP((Client_Margin($C16)*Alloted(J$3,J$2,J$5)/Get_Margin(J$3,J$2,J$5,J$1)),0)*Get_Margin(J$3,J$2,J$5,J$1)&gt;((Client_Margin($C16)*Alloted(J$3,J$2,J$5)/Get_Margin(J$3,J$2,J$5,J$1))*Get_Margin(J$3,J$2,J$5,J$1))*$D$3,ROUNDDOWN((Client_Margin($C16)*Alloted(J$3,J$2,J$5)/Get_Margin(J$3,J$2,J$5,J$1)),0),ROUNDUP((Client_Margin($C16)*Alloted(J$3,J$2,J$5)/Get_Margin(J$3,J$2,J$5,J$1)),0)),"-")</f>
        <v>1</v>
      </c>
      <c r="K16" s="14" cm="1">
        <f t="array" ref="K16">IFERROR(IF(ROUNDUP((Client_Margin($C16)*Alloted(K$3,K$2,K$5)/Get_Margin(K$3,K$2,K$5,K$1)),0)*Get_Margin(K$3,K$2,K$5,K$1)&gt;((Client_Margin($C16)*Alloted(K$3,K$2,K$5)/Get_Margin(K$3,K$2,K$5,K$1))*Get_Margin(K$3,K$2,K$5,K$1))*$D$3,ROUNDDOWN((Client_Margin($C16)*Alloted(K$3,K$2,K$5)/Get_Margin(K$3,K$2,K$5,K$1)),0),ROUNDUP((Client_Margin($C16)*Alloted(K$3,K$2,K$5)/Get_Margin(K$3,K$2,K$5,K$1)),0)),"-")</f>
        <v>0</v>
      </c>
      <c r="L16" s="14" cm="1">
        <f t="array" ref="L16">IFERROR(IF(ROUNDUP((Client_Margin($C16)*Alloted(L$3,L$2,L$5)/Get_Margin(L$3,L$2,L$5,L$1)),0)*Get_Margin(L$3,L$2,L$5,L$1)&gt;((Client_Margin($C16)*Alloted(L$3,L$2,L$5)/Get_Margin(L$3,L$2,L$5,L$1))*Get_Margin(L$3,L$2,L$5,L$1))*$D$3,ROUNDDOWN((Client_Margin($C16)*Alloted(L$3,L$2,L$5)/Get_Margin(L$3,L$2,L$5,L$1)),0),ROUNDUP((Client_Margin($C16)*Alloted(L$3,L$2,L$5)/Get_Margin(L$3,L$2,L$5,L$1)),0)),"-")</f>
        <v>10</v>
      </c>
      <c r="M16" s="14" cm="1">
        <f t="array" ref="M16">IFERROR(IF(ROUNDUP((Client_Margin($C16)*Alloted(M$3,M$2,M$5)/Get_Margin(M$3,M$2,M$5,M$1)),0)*Get_Margin(M$3,M$2,M$5,M$1)&gt;((Client_Margin($C16)*Alloted(M$3,M$2,M$5)/Get_Margin(M$3,M$2,M$5,M$1))*Get_Margin(M$3,M$2,M$5,M$1))*$D$3,ROUNDDOWN((Client_Margin($C16)*Alloted(M$3,M$2,M$5)/Get_Margin(M$3,M$2,M$5,M$1)),0),ROUNDUP((Client_Margin($C16)*Alloted(M$3,M$2,M$5)/Get_Margin(M$3,M$2,M$5,M$1)),0)),"-")</f>
        <v>0</v>
      </c>
      <c r="N16" s="14" cm="1">
        <f t="array" ref="N16">IFERROR(IF(ROUNDUP((Client_Margin($C16)*Alloted(N$3,N$2,N$5)/Get_Margin(N$3,N$2,N$5,N$1)),0)*Get_Margin(N$3,N$2,N$5,N$1)&gt;((Client_Margin($C16)*Alloted(N$3,N$2,N$5)/Get_Margin(N$3,N$2,N$5,N$1))*Get_Margin(N$3,N$2,N$5,N$1))*$D$3,ROUNDDOWN((Client_Margin($C16)*Alloted(N$3,N$2,N$5)/Get_Margin(N$3,N$2,N$5,N$1)),0),ROUNDUP((Client_Margin($C16)*Alloted(N$3,N$2,N$5)/Get_Margin(N$3,N$2,N$5,N$1)),0)),"-")</f>
        <v>0</v>
      </c>
      <c r="O16" s="14" cm="1">
        <f t="array" ref="O16">IFERROR(IF(ROUNDUP((Client_Margin($C16)*Alloted(O$3,O$2,O$5)/Get_Margin(O$3,O$2,O$5,O$1)),0)*Get_Margin(O$3,O$2,O$5,O$1)&gt;((Client_Margin($C16)*Alloted(O$3,O$2,O$5)/Get_Margin(O$3,O$2,O$5,O$1))*Get_Margin(O$3,O$2,O$5,O$1))*$D$3,ROUNDDOWN((Client_Margin($C16)*Alloted(O$3,O$2,O$5)/Get_Margin(O$3,O$2,O$5,O$1)),0),ROUNDUP((Client_Margin($C16)*Alloted(O$3,O$2,O$5)/Get_Margin(O$3,O$2,O$5,O$1)),0)),"-")</f>
        <v>0</v>
      </c>
    </row>
    <row r="17" spans="1:15" x14ac:dyDescent="0.25">
      <c r="A17">
        <f>_xlfn.XLOOKUP(C17,'OI QTY'!$O$5:$O$21,'OI QTY'!$N$5:$N$21,"")</f>
        <v>0</v>
      </c>
      <c r="B17">
        <f t="shared" si="1"/>
        <v>0</v>
      </c>
      <c r="C17" s="14"/>
      <c r="D17" s="14"/>
      <c r="E17" s="15">
        <f>SUM(F17:O17)</f>
        <v>0.81400000000000006</v>
      </c>
      <c r="F17" s="15" t="str" cm="1">
        <f t="array" ref="F17">IFERROR((_xlfn._xlws.FILTER(INDEX(Margin[],0,MATCH(F$1&amp;"_"&amp;F$3,Margin[#Headers],0)),(Margin[Index]=F$2)*(Margin[Strategy]=F$5))*F16)/Client_Margin($C16),"-")</f>
        <v>-</v>
      </c>
      <c r="G17" s="15" cm="1">
        <f t="array" ref="G17">IFERROR((_xlfn._xlws.FILTER(INDEX(Margin[],0,MATCH(G$1&amp;"_"&amp;G$3,Margin[#Headers],0)),(Margin[Index]=G$2)*(Margin[Strategy]=G$5))*G16)/Client_Margin($C16),"-")</f>
        <v>5.6000000000000001E-2</v>
      </c>
      <c r="H17" s="15" cm="1">
        <f t="array" ref="H17">IFERROR((_xlfn._xlws.FILTER(INDEX(Margin[],0,MATCH(H$1&amp;"_"&amp;H$3,Margin[#Headers],0)),(Margin[Index]=H$2)*(Margin[Strategy]=H$5))*H16)/Client_Margin($C16),"-")</f>
        <v>0.10440000000000001</v>
      </c>
      <c r="I17" s="15" cm="1">
        <f t="array" ref="I17">IFERROR((_xlfn._xlws.FILTER(INDEX(Margin[],0,MATCH(I$1&amp;"_"&amp;I$3,Margin[#Headers],0)),(Margin[Index]=I$2)*(Margin[Strategy]=I$5))*I16)/Client_Margin($C16),"-")</f>
        <v>9.3600000000000003E-2</v>
      </c>
      <c r="J17" s="15" cm="1">
        <f t="array" ref="J17">IFERROR((_xlfn._xlws.FILTER(INDEX(Margin[],0,MATCH(J$1&amp;"_"&amp;J$3,Margin[#Headers],0)),(Margin[Index]=J$2)*(Margin[Strategy]=J$5))*J16)/Client_Margin($C16),"-")</f>
        <v>0.08</v>
      </c>
      <c r="K17" s="15" cm="1">
        <f t="array" ref="K17">IFERROR((_xlfn._xlws.FILTER(INDEX(Margin[],0,MATCH(K$1&amp;"_"&amp;K$3,Margin[#Headers],0)),(Margin[Index]=K$2)*(Margin[Strategy]=K$5))*K16)/Client_Margin($C16),"-")</f>
        <v>0</v>
      </c>
      <c r="L17" s="15" cm="1">
        <f t="array" ref="L17">IFERROR((_xlfn._xlws.FILTER(INDEX(Margin[],0,MATCH(L$1&amp;"_"&amp;L$3,Margin[#Headers],0)),(Margin[Index]=L$2)*(Margin[Strategy]=L$5))*L16)/Client_Margin($C16),"-")</f>
        <v>0.48</v>
      </c>
      <c r="M17" s="15" cm="1">
        <f t="array" ref="M17">IFERROR((_xlfn._xlws.FILTER(INDEX(Margin[],0,MATCH(M$1&amp;"_"&amp;M$3,Margin[#Headers],0)),(Margin[Index]=M$2)*(Margin[Strategy]=M$5))*M16)/Client_Margin($C16),"-")</f>
        <v>0</v>
      </c>
      <c r="N17" s="15" cm="1">
        <f t="array" ref="N17">IFERROR((_xlfn._xlws.FILTER(INDEX(Margin[],0,MATCH(N$1&amp;"_"&amp;N$3,Margin[#Headers],0)),(Margin[Index]=N$2)*(Margin[Strategy]=N$5))*N16)/Client_Margin($C16),"-")</f>
        <v>0</v>
      </c>
      <c r="O17" s="15" cm="1">
        <f t="array" ref="O17">IFERROR((_xlfn._xlws.FILTER(INDEX(Margin[],0,MATCH(O$1&amp;"_"&amp;O$3,Margin[#Headers],0)),(Margin[Index]=O$2)*(Margin[Strategy]=O$5))*O16)/Client_Margin($C16),"-")</f>
        <v>0</v>
      </c>
    </row>
    <row r="18" spans="1:15" x14ac:dyDescent="0.25">
      <c r="A18" t="str">
        <f>_xlfn.XLOOKUP(C18,'OI QTY'!$O$5:$O$21,'OI QTY'!$N$5:$N$21,"")</f>
        <v/>
      </c>
      <c r="B18">
        <f t="shared" si="1"/>
        <v>1</v>
      </c>
      <c r="C18" s="14" t="s">
        <v>34</v>
      </c>
      <c r="D18" s="14" cm="1">
        <f t="array" ref="D18">(_xlfn._xlws.FILTER(Fund[Margin],Fund[Client Id]=C18))/10000000</f>
        <v>5.0999999999999996</v>
      </c>
      <c r="E18" s="17"/>
      <c r="F18" s="14" t="str" cm="1">
        <f t="array" ref="F18">IFERROR(IF(ROUNDUP((Client_Margin($C18)*Alloted(F$3,F$2,F$5)/Get_Margin(F$3,F$2,F$5,F$1)),0)*Get_Margin(F$3,F$2,F$5,F$1)&gt;((Client_Margin($C18)*Alloted(F$3,F$2,F$5)/Get_Margin(F$3,F$2,F$5,F$1))*Get_Margin(F$3,F$2,F$5,F$1))*$D$3,ROUNDDOWN((Client_Margin($C18)*Alloted(F$3,F$2,F$5)/Get_Margin(F$3,F$2,F$5,F$1)),0),ROUNDUP((Client_Margin($C18)*Alloted(F$3,F$2,F$5)/Get_Margin(F$3,F$2,F$5,F$1)),0)),"-")</f>
        <v>-</v>
      </c>
      <c r="G18" s="14" cm="1">
        <f t="array" ref="G18">IFERROR(IF(ROUNDUP((Client_Margin($C18)*Alloted(G$3,G$2,G$5)/Get_Margin(G$3,G$2,G$5,G$1)),0)*Get_Margin(G$3,G$2,G$5,G$1)&gt;((Client_Margin($C18)*Alloted(G$3,G$2,G$5)/Get_Margin(G$3,G$2,G$5,G$1))*Get_Margin(G$3,G$2,G$5,G$1))*$D$3,ROUNDDOWN((Client_Margin($C18)*Alloted(G$3,G$2,G$5)/Get_Margin(G$3,G$2,G$5,G$1)),0),ROUNDUP((Client_Margin($C18)*Alloted(G$3,G$2,G$5)/Get_Margin(G$3,G$2,G$5,G$1)),0)),"-")</f>
        <v>16</v>
      </c>
      <c r="H18" s="14" cm="1">
        <f t="array" ref="H18">IFERROR(IF(ROUNDUP((Client_Margin($C18)*Alloted(H$3,H$2,H$5)/Get_Margin(H$3,H$2,H$5,H$1)),0)*Get_Margin(H$3,H$2,H$5,H$1)&gt;((Client_Margin($C18)*Alloted(H$3,H$2,H$5)/Get_Margin(H$3,H$2,H$5,H$1))*Get_Margin(H$3,H$2,H$5,H$1))*$D$3,ROUNDDOWN((Client_Margin($C18)*Alloted(H$3,H$2,H$5)/Get_Margin(H$3,H$2,H$5,H$1)),0),ROUNDUP((Client_Margin($C18)*Alloted(H$3,H$2,H$5)/Get_Margin(H$3,H$2,H$5,H$1)),0)),"-")</f>
        <v>8</v>
      </c>
      <c r="I18" s="14" cm="1">
        <f t="array" ref="I18">IFERROR(IF(ROUNDUP((Client_Margin($C18)*Alloted(I$3,I$2,I$5)/Get_Margin(I$3,I$2,I$5,I$1)),0)*Get_Margin(I$3,I$2,I$5,I$1)&gt;((Client_Margin($C18)*Alloted(I$3,I$2,I$5)/Get_Margin(I$3,I$2,I$5,I$1))*Get_Margin(I$3,I$2,I$5,I$1))*$D$3,ROUNDDOWN((Client_Margin($C18)*Alloted(I$3,I$2,I$5)/Get_Margin(I$3,I$2,I$5,I$1)),0),ROUNDUP((Client_Margin($C18)*Alloted(I$3,I$2,I$5)/Get_Margin(I$3,I$2,I$5,I$1)),0)),"-")</f>
        <v>3</v>
      </c>
      <c r="J18" s="14" cm="1">
        <f t="array" ref="J18">IFERROR(IF(ROUNDUP((Client_Margin($C18)*Alloted(J$3,J$2,J$5)/Get_Margin(J$3,J$2,J$5,J$1)),0)*Get_Margin(J$3,J$2,J$5,J$1)&gt;((Client_Margin($C18)*Alloted(J$3,J$2,J$5)/Get_Margin(J$3,J$2,J$5,J$1))*Get_Margin(J$3,J$2,J$5,J$1))*$D$3,ROUNDDOWN((Client_Margin($C18)*Alloted(J$3,J$2,J$5)/Get_Margin(J$3,J$2,J$5,J$1)),0),ROUNDUP((Client_Margin($C18)*Alloted(J$3,J$2,J$5)/Get_Margin(J$3,J$2,J$5,J$1)),0)),"-")</f>
        <v>3</v>
      </c>
      <c r="K18" s="14" cm="1">
        <f t="array" ref="K18">IFERROR(IF(ROUNDUP((Client_Margin($C18)*Alloted(K$3,K$2,K$5)/Get_Margin(K$3,K$2,K$5,K$1)),0)*Get_Margin(K$3,K$2,K$5,K$1)&gt;((Client_Margin($C18)*Alloted(K$3,K$2,K$5)/Get_Margin(K$3,K$2,K$5,K$1))*Get_Margin(K$3,K$2,K$5,K$1))*$D$3,ROUNDDOWN((Client_Margin($C18)*Alloted(K$3,K$2,K$5)/Get_Margin(K$3,K$2,K$5,K$1)),0),ROUNDUP((Client_Margin($C18)*Alloted(K$3,K$2,K$5)/Get_Margin(K$3,K$2,K$5,K$1)),0)),"-")</f>
        <v>2</v>
      </c>
      <c r="L18" s="14" cm="1">
        <f t="array" ref="L18">IFERROR(IF(ROUNDUP((Client_Margin($C18)*Alloted(L$3,L$2,L$5)/Get_Margin(L$3,L$2,L$5,L$1)),0)*Get_Margin(L$3,L$2,L$5,L$1)&gt;((Client_Margin($C18)*Alloted(L$3,L$2,L$5)/Get_Margin(L$3,L$2,L$5,L$1))*Get_Margin(L$3,L$2,L$5,L$1))*$D$3,ROUNDDOWN((Client_Margin($C18)*Alloted(L$3,L$2,L$5)/Get_Margin(L$3,L$2,L$5,L$1)),0),ROUNDUP((Client_Margin($C18)*Alloted(L$3,L$2,L$5)/Get_Margin(L$3,L$2,L$5,L$1)),0)),"-")</f>
        <v>24</v>
      </c>
      <c r="M18" s="14" cm="1">
        <f t="array" ref="M18">IFERROR(IF(ROUNDUP((Client_Margin($C18)*Alloted(M$3,M$2,M$5)/Get_Margin(M$3,M$2,M$5,M$1)),0)*Get_Margin(M$3,M$2,M$5,M$1)&gt;((Client_Margin($C18)*Alloted(M$3,M$2,M$5)/Get_Margin(M$3,M$2,M$5,M$1))*Get_Margin(M$3,M$2,M$5,M$1))*$D$3,ROUNDDOWN((Client_Margin($C18)*Alloted(M$3,M$2,M$5)/Get_Margin(M$3,M$2,M$5,M$1)),0),ROUNDUP((Client_Margin($C18)*Alloted(M$3,M$2,M$5)/Get_Margin(M$3,M$2,M$5,M$1)),0)),"-")</f>
        <v>0</v>
      </c>
      <c r="N18" s="14" cm="1">
        <f t="array" ref="N18">IFERROR(IF(ROUNDUP((Client_Margin($C18)*Alloted(N$3,N$2,N$5)/Get_Margin(N$3,N$2,N$5,N$1)),0)*Get_Margin(N$3,N$2,N$5,N$1)&gt;((Client_Margin($C18)*Alloted(N$3,N$2,N$5)/Get_Margin(N$3,N$2,N$5,N$1))*Get_Margin(N$3,N$2,N$5,N$1))*$D$3,ROUNDDOWN((Client_Margin($C18)*Alloted(N$3,N$2,N$5)/Get_Margin(N$3,N$2,N$5,N$1)),0),ROUNDUP((Client_Margin($C18)*Alloted(N$3,N$2,N$5)/Get_Margin(N$3,N$2,N$5,N$1)),0)),"-")</f>
        <v>0</v>
      </c>
      <c r="O18" s="14" cm="1">
        <f t="array" ref="O18">IFERROR(IF(ROUNDUP((Client_Margin($C18)*Alloted(O$3,O$2,O$5)/Get_Margin(O$3,O$2,O$5,O$1)),0)*Get_Margin(O$3,O$2,O$5,O$1)&gt;((Client_Margin($C18)*Alloted(O$3,O$2,O$5)/Get_Margin(O$3,O$2,O$5,O$1))*Get_Margin(O$3,O$2,O$5,O$1))*$D$3,ROUNDDOWN((Client_Margin($C18)*Alloted(O$3,O$2,O$5)/Get_Margin(O$3,O$2,O$5,O$1)),0),ROUNDUP((Client_Margin($C18)*Alloted(O$3,O$2,O$5)/Get_Margin(O$3,O$2,O$5,O$1)),0)),"-")</f>
        <v>0</v>
      </c>
    </row>
    <row r="19" spans="1:15" x14ac:dyDescent="0.25">
      <c r="A19">
        <f>_xlfn.XLOOKUP(C19,'OI QTY'!$O$5:$O$21,'OI QTY'!$N$5:$N$21,"")</f>
        <v>0</v>
      </c>
      <c r="B19">
        <f t="shared" si="1"/>
        <v>0</v>
      </c>
      <c r="C19" s="14"/>
      <c r="D19" s="14"/>
      <c r="E19" s="15">
        <f>SUM(F19:O19)</f>
        <v>0.91890196078431374</v>
      </c>
      <c r="F19" s="15" t="str" cm="1">
        <f t="array" ref="F19">IFERROR((_xlfn._xlws.FILTER(INDEX(Margin[],0,MATCH(F$1&amp;"_"&amp;F$3,Margin[#Headers],0)),(Margin[Index]=F$2)*(Margin[Strategy]=F$5))*F18)/Client_Margin($C18),"-")</f>
        <v>-</v>
      </c>
      <c r="G19" s="15" cm="1">
        <f t="array" ref="G19">IFERROR((_xlfn._xlws.FILTER(INDEX(Margin[],0,MATCH(G$1&amp;"_"&amp;G$3,Margin[#Headers],0)),(Margin[Index]=G$2)*(Margin[Strategy]=G$5))*G18)/Client_Margin($C18),"-")</f>
        <v>5.0196078431372547E-2</v>
      </c>
      <c r="H19" s="15" cm="1">
        <f t="array" ref="H19">IFERROR((_xlfn._xlws.FILTER(INDEX(Margin[],0,MATCH(H$1&amp;"_"&amp;H$3,Margin[#Headers],0)),(Margin[Index]=H$2)*(Margin[Strategy]=H$5))*H18)/Client_Margin($C18),"-")</f>
        <v>0.10917647058823529</v>
      </c>
      <c r="I19" s="15" cm="1">
        <f t="array" ref="I19">IFERROR((_xlfn._xlws.FILTER(INDEX(Margin[],0,MATCH(I$1&amp;"_"&amp;I$3,Margin[#Headers],0)),(Margin[Index]=I$2)*(Margin[Strategy]=I$5))*I18)/Client_Margin($C18),"-")</f>
        <v>0.11011764705882353</v>
      </c>
      <c r="J19" s="15" cm="1">
        <f t="array" ref="J19">IFERROR((_xlfn._xlws.FILTER(INDEX(Margin[],0,MATCH(J$1&amp;"_"&amp;J$3,Margin[#Headers],0)),(Margin[Index]=J$2)*(Margin[Strategy]=J$5))*J18)/Client_Margin($C18),"-")</f>
        <v>9.4117647058823528E-2</v>
      </c>
      <c r="K19" s="15" cm="1">
        <f t="array" ref="K19">IFERROR((_xlfn._xlws.FILTER(INDEX(Margin[],0,MATCH(K$1&amp;"_"&amp;K$3,Margin[#Headers],0)),(Margin[Index]=K$2)*(Margin[Strategy]=K$5))*K18)/Client_Margin($C18),"-")</f>
        <v>0.10352941176470588</v>
      </c>
      <c r="L19" s="15" cm="1">
        <f t="array" ref="L19">IFERROR((_xlfn._xlws.FILTER(INDEX(Margin[],0,MATCH(L$1&amp;"_"&amp;L$3,Margin[#Headers],0)),(Margin[Index]=L$2)*(Margin[Strategy]=L$5))*L18)/Client_Margin($C18),"-")</f>
        <v>0.45176470588235296</v>
      </c>
      <c r="M19" s="15" cm="1">
        <f t="array" ref="M19">IFERROR((_xlfn._xlws.FILTER(INDEX(Margin[],0,MATCH(M$1&amp;"_"&amp;M$3,Margin[#Headers],0)),(Margin[Index]=M$2)*(Margin[Strategy]=M$5))*M18)/Client_Margin($C18),"-")</f>
        <v>0</v>
      </c>
      <c r="N19" s="15" cm="1">
        <f t="array" ref="N19">IFERROR((_xlfn._xlws.FILTER(INDEX(Margin[],0,MATCH(N$1&amp;"_"&amp;N$3,Margin[#Headers],0)),(Margin[Index]=N$2)*(Margin[Strategy]=N$5))*N18)/Client_Margin($C18),"-")</f>
        <v>0</v>
      </c>
      <c r="O19" s="15" cm="1">
        <f t="array" ref="O19">IFERROR((_xlfn._xlws.FILTER(INDEX(Margin[],0,MATCH(O$1&amp;"_"&amp;O$3,Margin[#Headers],0)),(Margin[Index]=O$2)*(Margin[Strategy]=O$5))*O18)/Client_Margin($C18),"-")</f>
        <v>0</v>
      </c>
    </row>
    <row r="20" spans="1:15" x14ac:dyDescent="0.25">
      <c r="A20" t="str">
        <f>_xlfn.XLOOKUP(C20,'OI QTY'!$O$5:$O$21,'OI QTY'!$N$5:$N$21,"")</f>
        <v/>
      </c>
      <c r="B20">
        <v>1</v>
      </c>
      <c r="C20" s="14" t="s">
        <v>117</v>
      </c>
      <c r="D20" s="14" cm="1">
        <f t="array" ref="D20">(_xlfn._xlws.FILTER(Fund[Margin],Fund[Client Id]=C20))/10000000</f>
        <v>2.8</v>
      </c>
      <c r="E20" s="17"/>
      <c r="F20" s="14" t="str" cm="1">
        <f t="array" ref="F20">IFERROR(IF(ROUNDUP((Client_Margin($C20)*Alloted(F$3,F$2,F$5)/Get_Margin(F$3,F$2,F$5,F$1)),0)*Get_Margin(F$3,F$2,F$5,F$1)&gt;((Client_Margin($C20)*Alloted(F$3,F$2,F$5)/Get_Margin(F$3,F$2,F$5,F$1))*Get_Margin(F$3,F$2,F$5,F$1))*$D$3,ROUNDDOWN((Client_Margin($C20)*Alloted(F$3,F$2,F$5)/Get_Margin(F$3,F$2,F$5,F$1)),0),ROUNDUP((Client_Margin($C20)*Alloted(F$3,F$2,F$5)/Get_Margin(F$3,F$2,F$5,F$1)),0)),"-")</f>
        <v>-</v>
      </c>
      <c r="G20" s="14" cm="1">
        <f t="array" ref="G20">IFERROR(IF(ROUNDUP((Client_Margin($C20)*Alloted(G$3,G$2,G$5)/Get_Margin(G$3,G$2,G$5,G$1)),0)*Get_Margin(G$3,G$2,G$5,G$1)&gt;((Client_Margin($C20)*Alloted(G$3,G$2,G$5)/Get_Margin(G$3,G$2,G$5,G$1))*Get_Margin(G$3,G$2,G$5,G$1))*$D$3,ROUNDDOWN((Client_Margin($C20)*Alloted(G$3,G$2,G$5)/Get_Margin(G$3,G$2,G$5,G$1)),0),ROUNDUP((Client_Margin($C20)*Alloted(G$3,G$2,G$5)/Get_Margin(G$3,G$2,G$5,G$1)),0)),"-")</f>
        <v>9</v>
      </c>
      <c r="H20" s="14" cm="1">
        <f t="array" ref="H20">IFERROR(IF(ROUNDUP((Client_Margin($C20)*Alloted(H$3,H$2,H$5)/Get_Margin(H$3,H$2,H$5,H$1)),0)*Get_Margin(H$3,H$2,H$5,H$1)&gt;((Client_Margin($C20)*Alloted(H$3,H$2,H$5)/Get_Margin(H$3,H$2,H$5,H$1))*Get_Margin(H$3,H$2,H$5,H$1))*$D$3,ROUNDDOWN((Client_Margin($C20)*Alloted(H$3,H$2,H$5)/Get_Margin(H$3,H$2,H$5,H$1)),0),ROUNDUP((Client_Margin($C20)*Alloted(H$3,H$2,H$5)/Get_Margin(H$3,H$2,H$5,H$1)),0)),"-")</f>
        <v>4</v>
      </c>
      <c r="I20" s="14" cm="1">
        <f t="array" ref="I20">IFERROR(IF(ROUNDUP((Client_Margin($C20)*Alloted(I$3,I$2,I$5)/Get_Margin(I$3,I$2,I$5,I$1)),0)*Get_Margin(I$3,I$2,I$5,I$1)&gt;((Client_Margin($C20)*Alloted(I$3,I$2,I$5)/Get_Margin(I$3,I$2,I$5,I$1))*Get_Margin(I$3,I$2,I$5,I$1))*$D$3,ROUNDDOWN((Client_Margin($C20)*Alloted(I$3,I$2,I$5)/Get_Margin(I$3,I$2,I$5,I$1)),0),ROUNDUP((Client_Margin($C20)*Alloted(I$3,I$2,I$5)/Get_Margin(I$3,I$2,I$5,I$1)),0)),"-")</f>
        <v>1</v>
      </c>
      <c r="J20" s="14" cm="1">
        <f t="array" ref="J20">IFERROR(IF(ROUNDUP((Client_Margin($C20)*Alloted(J$3,J$2,J$5)/Get_Margin(J$3,J$2,J$5,J$1)),0)*Get_Margin(J$3,J$2,J$5,J$1)&gt;((Client_Margin($C20)*Alloted(J$3,J$2,J$5)/Get_Margin(J$3,J$2,J$5,J$1))*Get_Margin(J$3,J$2,J$5,J$1))*$D$3,ROUNDDOWN((Client_Margin($C20)*Alloted(J$3,J$2,J$5)/Get_Margin(J$3,J$2,J$5,J$1)),0),ROUNDUP((Client_Margin($C20)*Alloted(J$3,J$2,J$5)/Get_Margin(J$3,J$2,J$5,J$1)),0)),"-")</f>
        <v>2</v>
      </c>
      <c r="K20" s="14" cm="1">
        <f t="array" ref="K20">IFERROR(IF(ROUNDUP((Client_Margin($C20)*Alloted(K$3,K$2,K$5)/Get_Margin(K$3,K$2,K$5,K$1)),0)*Get_Margin(K$3,K$2,K$5,K$1)&gt;((Client_Margin($C20)*Alloted(K$3,K$2,K$5)/Get_Margin(K$3,K$2,K$5,K$1))*Get_Margin(K$3,K$2,K$5,K$1))*$D$3,ROUNDDOWN((Client_Margin($C20)*Alloted(K$3,K$2,K$5)/Get_Margin(K$3,K$2,K$5,K$1)),0),ROUNDUP((Client_Margin($C20)*Alloted(K$3,K$2,K$5)/Get_Margin(K$3,K$2,K$5,K$1)),0)),"-")</f>
        <v>1</v>
      </c>
      <c r="L20" s="14" cm="1">
        <f t="array" ref="L20">IFERROR(IF(ROUNDUP((Client_Margin($C20)*Alloted(L$3,L$2,L$5)/Get_Margin(L$3,L$2,L$5,L$1)),0)*Get_Margin(L$3,L$2,L$5,L$1)&gt;((Client_Margin($C20)*Alloted(L$3,L$2,L$5)/Get_Margin(L$3,L$2,L$5,L$1))*Get_Margin(L$3,L$2,L$5,L$1))*$D$3,ROUNDDOWN((Client_Margin($C20)*Alloted(L$3,L$2,L$5)/Get_Margin(L$3,L$2,L$5,L$1)),0),ROUNDUP((Client_Margin($C20)*Alloted(L$3,L$2,L$5)/Get_Margin(L$3,L$2,L$5,L$1)),0)),"-")</f>
        <v>14</v>
      </c>
      <c r="M20" s="14" cm="1">
        <f t="array" ref="M20">IFERROR(IF(ROUNDUP((Client_Margin($C20)*Alloted(M$3,M$2,M$5)/Get_Margin(M$3,M$2,M$5,M$1)),0)*Get_Margin(M$3,M$2,M$5,M$1)&gt;((Client_Margin($C20)*Alloted(M$3,M$2,M$5)/Get_Margin(M$3,M$2,M$5,M$1))*Get_Margin(M$3,M$2,M$5,M$1))*$D$3,ROUNDDOWN((Client_Margin($C20)*Alloted(M$3,M$2,M$5)/Get_Margin(M$3,M$2,M$5,M$1)),0),ROUNDUP((Client_Margin($C20)*Alloted(M$3,M$2,M$5)/Get_Margin(M$3,M$2,M$5,M$1)),0)),"-")</f>
        <v>0</v>
      </c>
      <c r="N20" s="14" cm="1">
        <f t="array" ref="N20">IFERROR(IF(ROUNDUP((Client_Margin($C20)*Alloted(N$3,N$2,N$5)/Get_Margin(N$3,N$2,N$5,N$1)),0)*Get_Margin(N$3,N$2,N$5,N$1)&gt;((Client_Margin($C20)*Alloted(N$3,N$2,N$5)/Get_Margin(N$3,N$2,N$5,N$1))*Get_Margin(N$3,N$2,N$5,N$1))*$D$3,ROUNDDOWN((Client_Margin($C20)*Alloted(N$3,N$2,N$5)/Get_Margin(N$3,N$2,N$5,N$1)),0),ROUNDUP((Client_Margin($C20)*Alloted(N$3,N$2,N$5)/Get_Margin(N$3,N$2,N$5,N$1)),0)),"-")</f>
        <v>0</v>
      </c>
      <c r="O20" s="14" cm="1">
        <f t="array" ref="O20">IFERROR(IF(ROUNDUP((Client_Margin($C20)*Alloted(O$3,O$2,O$5)/Get_Margin(O$3,O$2,O$5,O$1)),0)*Get_Margin(O$3,O$2,O$5,O$1)&gt;((Client_Margin($C20)*Alloted(O$3,O$2,O$5)/Get_Margin(O$3,O$2,O$5,O$1))*Get_Margin(O$3,O$2,O$5,O$1))*$D$3,ROUNDDOWN((Client_Margin($C20)*Alloted(O$3,O$2,O$5)/Get_Margin(O$3,O$2,O$5,O$1)),0),ROUNDUP((Client_Margin($C20)*Alloted(O$3,O$2,O$5)/Get_Margin(O$3,O$2,O$5,O$1)),0)),"-")</f>
        <v>0</v>
      </c>
    </row>
    <row r="21" spans="1:15" x14ac:dyDescent="0.25">
      <c r="A21">
        <f>_xlfn.XLOOKUP(C21,'OI QTY'!$O$5:$O$21,'OI QTY'!$N$5:$N$21,"")</f>
        <v>0</v>
      </c>
      <c r="B21">
        <v>0</v>
      </c>
      <c r="C21" s="14"/>
      <c r="D21" s="14"/>
      <c r="E21" s="15">
        <f>SUM(F21:O21)</f>
        <v>0.90628571428571425</v>
      </c>
      <c r="F21" s="15" t="str" cm="1">
        <f t="array" ref="F21">IFERROR((_xlfn._xlws.FILTER(INDEX(Margin[],0,MATCH(F$1&amp;"_"&amp;F$3,Margin[#Headers],0)),(Margin[Index]=F$2)*(Margin[Strategy]=F$5))*F20)/Client_Margin($C20),"-")</f>
        <v>-</v>
      </c>
      <c r="G21" s="15" cm="1">
        <f t="array" ref="G21">IFERROR((_xlfn._xlws.FILTER(INDEX(Margin[],0,MATCH(G$1&amp;"_"&amp;G$3,Margin[#Headers],0)),(Margin[Index]=G$2)*(Margin[Strategy]=G$5))*G20)/Client_Margin($C20),"-")</f>
        <v>5.1428571428571428E-2</v>
      </c>
      <c r="H21" s="15" cm="1">
        <f t="array" ref="H21">IFERROR((_xlfn._xlws.FILTER(INDEX(Margin[],0,MATCH(H$1&amp;"_"&amp;H$3,Margin[#Headers],0)),(Margin[Index]=H$2)*(Margin[Strategy]=H$5))*H20)/Client_Margin($C20),"-")</f>
        <v>9.9428571428571422E-2</v>
      </c>
      <c r="I21" s="15" cm="1">
        <f t="array" ref="I21">IFERROR((_xlfn._xlws.FILTER(INDEX(Margin[],0,MATCH(I$1&amp;"_"&amp;I$3,Margin[#Headers],0)),(Margin[Index]=I$2)*(Margin[Strategy]=I$5))*I20)/Client_Margin($C20),"-")</f>
        <v>6.6857142857142851E-2</v>
      </c>
      <c r="J21" s="15" cm="1">
        <f t="array" ref="J21">IFERROR((_xlfn._xlws.FILTER(INDEX(Margin[],0,MATCH(J$1&amp;"_"&amp;J$3,Margin[#Headers],0)),(Margin[Index]=J$2)*(Margin[Strategy]=J$5))*J20)/Client_Margin($C20),"-")</f>
        <v>0.11428571428571428</v>
      </c>
      <c r="K21" s="15" cm="1">
        <f t="array" ref="K21">IFERROR((_xlfn._xlws.FILTER(INDEX(Margin[],0,MATCH(K$1&amp;"_"&amp;K$3,Margin[#Headers],0)),(Margin[Index]=K$2)*(Margin[Strategy]=K$5))*K20)/Client_Margin($C20),"-")</f>
        <v>9.4285714285714292E-2</v>
      </c>
      <c r="L21" s="15" cm="1">
        <f t="array" ref="L21">IFERROR((_xlfn._xlws.FILTER(INDEX(Margin[],0,MATCH(L$1&amp;"_"&amp;L$3,Margin[#Headers],0)),(Margin[Index]=L$2)*(Margin[Strategy]=L$5))*L20)/Client_Margin($C20),"-")</f>
        <v>0.48</v>
      </c>
      <c r="M21" s="15" cm="1">
        <f t="array" ref="M21">IFERROR((_xlfn._xlws.FILTER(INDEX(Margin[],0,MATCH(M$1&amp;"_"&amp;M$3,Margin[#Headers],0)),(Margin[Index]=M$2)*(Margin[Strategy]=M$5))*M20)/Client_Margin($C20),"-")</f>
        <v>0</v>
      </c>
      <c r="N21" s="15" cm="1">
        <f t="array" ref="N21">IFERROR((_xlfn._xlws.FILTER(INDEX(Margin[],0,MATCH(N$1&amp;"_"&amp;N$3,Margin[#Headers],0)),(Margin[Index]=N$2)*(Margin[Strategy]=N$5))*N20)/Client_Margin($C20),"-")</f>
        <v>0</v>
      </c>
      <c r="O21" s="15" cm="1">
        <f t="array" ref="O21">IFERROR((_xlfn._xlws.FILTER(INDEX(Margin[],0,MATCH(O$1&amp;"_"&amp;O$3,Margin[#Headers],0)),(Margin[Index]=O$2)*(Margin[Strategy]=O$5))*O20)/Client_Margin($C20),"-")</f>
        <v>0</v>
      </c>
    </row>
    <row r="22" spans="1:15" x14ac:dyDescent="0.25">
      <c r="A22" t="str">
        <f>_xlfn.XLOOKUP(C22,'OI QTY'!$O$5:$O$21,'OI QTY'!$N$5:$N$21,"")</f>
        <v/>
      </c>
      <c r="B22">
        <f t="shared" si="1"/>
        <v>1</v>
      </c>
      <c r="C22" s="14" t="s">
        <v>28</v>
      </c>
      <c r="D22" s="14" cm="1">
        <f t="array" ref="D22">(_xlfn._xlws.FILTER(Fund[Margin],Fund[Client Id]=C22))/10000000</f>
        <v>2.8</v>
      </c>
      <c r="E22" s="17"/>
      <c r="F22" s="14" t="str" cm="1">
        <f t="array" ref="F22">IFERROR(IF(ROUNDUP((Client_Margin($C22)*Alloted(F$3,F$2,F$5)/Get_Margin(F$3,F$2,F$5,F$1)),0)*Get_Margin(F$3,F$2,F$5,F$1)&gt;((Client_Margin($C22)*Alloted(F$3,F$2,F$5)/Get_Margin(F$3,F$2,F$5,F$1))*Get_Margin(F$3,F$2,F$5,F$1))*$D$3,ROUNDDOWN((Client_Margin($C22)*Alloted(F$3,F$2,F$5)/Get_Margin(F$3,F$2,F$5,F$1)),0),ROUNDUP((Client_Margin($C22)*Alloted(F$3,F$2,F$5)/Get_Margin(F$3,F$2,F$5,F$1)),0)),"-")</f>
        <v>-</v>
      </c>
      <c r="G22" s="14" cm="1">
        <f t="array" ref="G22">IFERROR(IF(ROUNDUP((Client_Margin($C22)*Alloted(G$3,G$2,G$5)/Get_Margin(G$3,G$2,G$5,G$1)),0)*Get_Margin(G$3,G$2,G$5,G$1)&gt;((Client_Margin($C22)*Alloted(G$3,G$2,G$5)/Get_Margin(G$3,G$2,G$5,G$1))*Get_Margin(G$3,G$2,G$5,G$1))*$D$3,ROUNDDOWN((Client_Margin($C22)*Alloted(G$3,G$2,G$5)/Get_Margin(G$3,G$2,G$5,G$1)),0),ROUNDUP((Client_Margin($C22)*Alloted(G$3,G$2,G$5)/Get_Margin(G$3,G$2,G$5,G$1)),0)),"-")</f>
        <v>9</v>
      </c>
      <c r="H22" s="14" cm="1">
        <f t="array" ref="H22">IFERROR(IF(ROUNDUP((Client_Margin($C22)*Alloted(H$3,H$2,H$5)/Get_Margin(H$3,H$2,H$5,H$1)),0)*Get_Margin(H$3,H$2,H$5,H$1)&gt;((Client_Margin($C22)*Alloted(H$3,H$2,H$5)/Get_Margin(H$3,H$2,H$5,H$1))*Get_Margin(H$3,H$2,H$5,H$1))*$D$3,ROUNDDOWN((Client_Margin($C22)*Alloted(H$3,H$2,H$5)/Get_Margin(H$3,H$2,H$5,H$1)),0),ROUNDUP((Client_Margin($C22)*Alloted(H$3,H$2,H$5)/Get_Margin(H$3,H$2,H$5,H$1)),0)),"-")</f>
        <v>4</v>
      </c>
      <c r="I22" s="14" cm="1">
        <f t="array" ref="I22">IFERROR(IF(ROUNDUP((Client_Margin($C22)*Alloted(I$3,I$2,I$5)/Get_Margin(I$3,I$2,I$5,I$1)),0)*Get_Margin(I$3,I$2,I$5,I$1)&gt;((Client_Margin($C22)*Alloted(I$3,I$2,I$5)/Get_Margin(I$3,I$2,I$5,I$1))*Get_Margin(I$3,I$2,I$5,I$1))*$D$3,ROUNDDOWN((Client_Margin($C22)*Alloted(I$3,I$2,I$5)/Get_Margin(I$3,I$2,I$5,I$1)),0),ROUNDUP((Client_Margin($C22)*Alloted(I$3,I$2,I$5)/Get_Margin(I$3,I$2,I$5,I$1)),0)),"-")</f>
        <v>1</v>
      </c>
      <c r="J22" s="14" cm="1">
        <f t="array" ref="J22">IFERROR(IF(ROUNDUP((Client_Margin($C22)*Alloted(J$3,J$2,J$5)/Get_Margin(J$3,J$2,J$5,J$1)),0)*Get_Margin(J$3,J$2,J$5,J$1)&gt;((Client_Margin($C22)*Alloted(J$3,J$2,J$5)/Get_Margin(J$3,J$2,J$5,J$1))*Get_Margin(J$3,J$2,J$5,J$1))*$D$3,ROUNDDOWN((Client_Margin($C22)*Alloted(J$3,J$2,J$5)/Get_Margin(J$3,J$2,J$5,J$1)),0),ROUNDUP((Client_Margin($C22)*Alloted(J$3,J$2,J$5)/Get_Margin(J$3,J$2,J$5,J$1)),0)),"-")</f>
        <v>2</v>
      </c>
      <c r="K22" s="14" cm="1">
        <f t="array" ref="K22">IFERROR(IF(ROUNDUP((Client_Margin($C22)*Alloted(K$3,K$2,K$5)/Get_Margin(K$3,K$2,K$5,K$1)),0)*Get_Margin(K$3,K$2,K$5,K$1)&gt;((Client_Margin($C22)*Alloted(K$3,K$2,K$5)/Get_Margin(K$3,K$2,K$5,K$1))*Get_Margin(K$3,K$2,K$5,K$1))*$D$3,ROUNDDOWN((Client_Margin($C22)*Alloted(K$3,K$2,K$5)/Get_Margin(K$3,K$2,K$5,K$1)),0),ROUNDUP((Client_Margin($C22)*Alloted(K$3,K$2,K$5)/Get_Margin(K$3,K$2,K$5,K$1)),0)),"-")</f>
        <v>1</v>
      </c>
      <c r="L22" s="14" cm="1">
        <f t="array" ref="L22">IFERROR(IF(ROUNDUP((Client_Margin($C22)*Alloted(L$3,L$2,L$5)/Get_Margin(L$3,L$2,L$5,L$1)),0)*Get_Margin(L$3,L$2,L$5,L$1)&gt;((Client_Margin($C22)*Alloted(L$3,L$2,L$5)/Get_Margin(L$3,L$2,L$5,L$1))*Get_Margin(L$3,L$2,L$5,L$1))*$D$3,ROUNDDOWN((Client_Margin($C22)*Alloted(L$3,L$2,L$5)/Get_Margin(L$3,L$2,L$5,L$1)),0),ROUNDUP((Client_Margin($C22)*Alloted(L$3,L$2,L$5)/Get_Margin(L$3,L$2,L$5,L$1)),0)),"-")</f>
        <v>14</v>
      </c>
      <c r="M22" s="14" cm="1">
        <f t="array" ref="M22">IFERROR(IF(ROUNDUP((Client_Margin($C22)*Alloted(M$3,M$2,M$5)/Get_Margin(M$3,M$2,M$5,M$1)),0)*Get_Margin(M$3,M$2,M$5,M$1)&gt;((Client_Margin($C22)*Alloted(M$3,M$2,M$5)/Get_Margin(M$3,M$2,M$5,M$1))*Get_Margin(M$3,M$2,M$5,M$1))*$D$3,ROUNDDOWN((Client_Margin($C22)*Alloted(M$3,M$2,M$5)/Get_Margin(M$3,M$2,M$5,M$1)),0),ROUNDUP((Client_Margin($C22)*Alloted(M$3,M$2,M$5)/Get_Margin(M$3,M$2,M$5,M$1)),0)),"-")</f>
        <v>0</v>
      </c>
      <c r="N22" s="14" cm="1">
        <f t="array" ref="N22">IFERROR(IF(ROUNDUP((Client_Margin($C22)*Alloted(N$3,N$2,N$5)/Get_Margin(N$3,N$2,N$5,N$1)),0)*Get_Margin(N$3,N$2,N$5,N$1)&gt;((Client_Margin($C22)*Alloted(N$3,N$2,N$5)/Get_Margin(N$3,N$2,N$5,N$1))*Get_Margin(N$3,N$2,N$5,N$1))*$D$3,ROUNDDOWN((Client_Margin($C22)*Alloted(N$3,N$2,N$5)/Get_Margin(N$3,N$2,N$5,N$1)),0),ROUNDUP((Client_Margin($C22)*Alloted(N$3,N$2,N$5)/Get_Margin(N$3,N$2,N$5,N$1)),0)),"-")</f>
        <v>0</v>
      </c>
      <c r="O22" s="14" cm="1">
        <f t="array" ref="O22">IFERROR(IF(ROUNDUP((Client_Margin($C22)*Alloted(O$3,O$2,O$5)/Get_Margin(O$3,O$2,O$5,O$1)),0)*Get_Margin(O$3,O$2,O$5,O$1)&gt;((Client_Margin($C22)*Alloted(O$3,O$2,O$5)/Get_Margin(O$3,O$2,O$5,O$1))*Get_Margin(O$3,O$2,O$5,O$1))*$D$3,ROUNDDOWN((Client_Margin($C22)*Alloted(O$3,O$2,O$5)/Get_Margin(O$3,O$2,O$5,O$1)),0),ROUNDUP((Client_Margin($C22)*Alloted(O$3,O$2,O$5)/Get_Margin(O$3,O$2,O$5,O$1)),0)),"-")</f>
        <v>0</v>
      </c>
    </row>
    <row r="23" spans="1:15" x14ac:dyDescent="0.25">
      <c r="A23">
        <f>_xlfn.XLOOKUP(C23,'OI QTY'!$O$5:$O$21,'OI QTY'!$N$5:$N$21,"")</f>
        <v>0</v>
      </c>
      <c r="B23">
        <f t="shared" si="1"/>
        <v>0</v>
      </c>
      <c r="C23" s="14"/>
      <c r="D23" s="14"/>
      <c r="E23" s="15">
        <f>SUM(F23:O23)</f>
        <v>0.90628571428571425</v>
      </c>
      <c r="F23" s="15" t="str" cm="1">
        <f t="array" ref="F23">IFERROR((_xlfn._xlws.FILTER(INDEX(Margin[],0,MATCH(F$1&amp;"_"&amp;F$3,Margin[#Headers],0)),(Margin[Index]=F$2)*(Margin[Strategy]=F$5))*F22)/Client_Margin($C22),"-")</f>
        <v>-</v>
      </c>
      <c r="G23" s="15" cm="1">
        <f t="array" ref="G23">IFERROR((_xlfn._xlws.FILTER(INDEX(Margin[],0,MATCH(G$1&amp;"_"&amp;G$3,Margin[#Headers],0)),(Margin[Index]=G$2)*(Margin[Strategy]=G$5))*G22)/Client_Margin($C22),"-")</f>
        <v>5.1428571428571428E-2</v>
      </c>
      <c r="H23" s="15" cm="1">
        <f t="array" ref="H23">IFERROR((_xlfn._xlws.FILTER(INDEX(Margin[],0,MATCH(H$1&amp;"_"&amp;H$3,Margin[#Headers],0)),(Margin[Index]=H$2)*(Margin[Strategy]=H$5))*H22)/Client_Margin($C22),"-")</f>
        <v>9.9428571428571422E-2</v>
      </c>
      <c r="I23" s="15" cm="1">
        <f t="array" ref="I23">IFERROR((_xlfn._xlws.FILTER(INDEX(Margin[],0,MATCH(I$1&amp;"_"&amp;I$3,Margin[#Headers],0)),(Margin[Index]=I$2)*(Margin[Strategy]=I$5))*I22)/Client_Margin($C22),"-")</f>
        <v>6.6857142857142851E-2</v>
      </c>
      <c r="J23" s="15" cm="1">
        <f t="array" ref="J23">IFERROR((_xlfn._xlws.FILTER(INDEX(Margin[],0,MATCH(J$1&amp;"_"&amp;J$3,Margin[#Headers],0)),(Margin[Index]=J$2)*(Margin[Strategy]=J$5))*J22)/Client_Margin($C22),"-")</f>
        <v>0.11428571428571428</v>
      </c>
      <c r="K23" s="15" cm="1">
        <f t="array" ref="K23">IFERROR((_xlfn._xlws.FILTER(INDEX(Margin[],0,MATCH(K$1&amp;"_"&amp;K$3,Margin[#Headers],0)),(Margin[Index]=K$2)*(Margin[Strategy]=K$5))*K22)/Client_Margin($C22),"-")</f>
        <v>9.4285714285714292E-2</v>
      </c>
      <c r="L23" s="15" cm="1">
        <f t="array" ref="L23">IFERROR((_xlfn._xlws.FILTER(INDEX(Margin[],0,MATCH(L$1&amp;"_"&amp;L$3,Margin[#Headers],0)),(Margin[Index]=L$2)*(Margin[Strategy]=L$5))*L22)/Client_Margin($C22),"-")</f>
        <v>0.48</v>
      </c>
      <c r="M23" s="15" cm="1">
        <f t="array" ref="M23">IFERROR((_xlfn._xlws.FILTER(INDEX(Margin[],0,MATCH(M$1&amp;"_"&amp;M$3,Margin[#Headers],0)),(Margin[Index]=M$2)*(Margin[Strategy]=M$5))*M22)/Client_Margin($C22),"-")</f>
        <v>0</v>
      </c>
      <c r="N23" s="15" cm="1">
        <f t="array" ref="N23">IFERROR((_xlfn._xlws.FILTER(INDEX(Margin[],0,MATCH(N$1&amp;"_"&amp;N$3,Margin[#Headers],0)),(Margin[Index]=N$2)*(Margin[Strategy]=N$5))*N22)/Client_Margin($C22),"-")</f>
        <v>0</v>
      </c>
      <c r="O23" s="15" cm="1">
        <f t="array" ref="O23">IFERROR((_xlfn._xlws.FILTER(INDEX(Margin[],0,MATCH(O$1&amp;"_"&amp;O$3,Margin[#Headers],0)),(Margin[Index]=O$2)*(Margin[Strategy]=O$5))*O22)/Client_Margin($C22),"-")</f>
        <v>0</v>
      </c>
    </row>
    <row r="24" spans="1:15" x14ac:dyDescent="0.25">
      <c r="A24" t="str">
        <f>_xlfn.XLOOKUP(C24,'OI QTY'!$O$5:$O$21,'OI QTY'!$N$5:$N$21,"")</f>
        <v>K</v>
      </c>
      <c r="B24">
        <f t="shared" si="1"/>
        <v>1</v>
      </c>
      <c r="C24" s="14" t="s">
        <v>122</v>
      </c>
      <c r="D24" s="14" cm="1">
        <f t="array" ref="D24">(_xlfn._xlws.FILTER(Fund[Margin],Fund[Client Id]=C24))/10000000</f>
        <v>2.65</v>
      </c>
      <c r="E24" s="17"/>
      <c r="F24" s="14" t="str" cm="1">
        <f t="array" ref="F24">IFERROR(IF(ROUNDUP((Client_Margin($C24)*Alloted(F$3,F$2,F$5)/Get_Margin(F$3,F$2,F$5,F$1)),0)*Get_Margin(F$3,F$2,F$5,F$1)&gt;((Client_Margin($C24)*Alloted(F$3,F$2,F$5)/Get_Margin(F$3,F$2,F$5,F$1))*Get_Margin(F$3,F$2,F$5,F$1))*$D$3,ROUNDDOWN((Client_Margin($C24)*Alloted(F$3,F$2,F$5)/Get_Margin(F$3,F$2,F$5,F$1)),0),ROUNDUP((Client_Margin($C24)*Alloted(F$3,F$2,F$5)/Get_Margin(F$3,F$2,F$5,F$1)),0)),"-")</f>
        <v>-</v>
      </c>
      <c r="G24" s="14" cm="1">
        <f t="array" ref="G24">IFERROR(IF(ROUNDUP((Client_Margin($C24)*Alloted(G$3,G$2,G$5)/Get_Margin(G$3,G$2,G$5,G$1)),0)*Get_Margin(G$3,G$2,G$5,G$1)&gt;((Client_Margin($C24)*Alloted(G$3,G$2,G$5)/Get_Margin(G$3,G$2,G$5,G$1))*Get_Margin(G$3,G$2,G$5,G$1))*$D$3,ROUNDDOWN((Client_Margin($C24)*Alloted(G$3,G$2,G$5)/Get_Margin(G$3,G$2,G$5,G$1)),0),ROUNDUP((Client_Margin($C24)*Alloted(G$3,G$2,G$5)/Get_Margin(G$3,G$2,G$5,G$1)),0)),"-")</f>
        <v>9</v>
      </c>
      <c r="H24" s="14" cm="1">
        <f t="array" ref="H24">IFERROR(IF(ROUNDUP((Client_Margin($C24)*Alloted(H$3,H$2,H$5)/Get_Margin(H$3,H$2,H$5,H$1)),0)*Get_Margin(H$3,H$2,H$5,H$1)&gt;((Client_Margin($C24)*Alloted(H$3,H$2,H$5)/Get_Margin(H$3,H$2,H$5,H$1))*Get_Margin(H$3,H$2,H$5,H$1))*$D$3,ROUNDDOWN((Client_Margin($C24)*Alloted(H$3,H$2,H$5)/Get_Margin(H$3,H$2,H$5,H$1)),0),ROUNDUP((Client_Margin($C24)*Alloted(H$3,H$2,H$5)/Get_Margin(H$3,H$2,H$5,H$1)),0)),"-")</f>
        <v>4</v>
      </c>
      <c r="I24" s="14" cm="1">
        <f t="array" ref="I24">IFERROR(IF(ROUNDUP((Client_Margin($C24)*Alloted(I$3,I$2,I$5)/Get_Margin(I$3,I$2,I$5,I$1)),0)*Get_Margin(I$3,I$2,I$5,I$1)&gt;((Client_Margin($C24)*Alloted(I$3,I$2,I$5)/Get_Margin(I$3,I$2,I$5,I$1))*Get_Margin(I$3,I$2,I$5,I$1))*$D$3,ROUNDDOWN((Client_Margin($C24)*Alloted(I$3,I$2,I$5)/Get_Margin(I$3,I$2,I$5,I$1)),0),ROUNDUP((Client_Margin($C24)*Alloted(I$3,I$2,I$5)/Get_Margin(I$3,I$2,I$5,I$1)),0)),"-")</f>
        <v>1</v>
      </c>
      <c r="J24" s="14" cm="1">
        <f t="array" ref="J24">IFERROR(IF(ROUNDUP((Client_Margin($C24)*Alloted(J$3,J$2,J$5)/Get_Margin(J$3,J$2,J$5,J$1)),0)*Get_Margin(J$3,J$2,J$5,J$1)&gt;((Client_Margin($C24)*Alloted(J$3,J$2,J$5)/Get_Margin(J$3,J$2,J$5,J$1))*Get_Margin(J$3,J$2,J$5,J$1))*$D$3,ROUNDDOWN((Client_Margin($C24)*Alloted(J$3,J$2,J$5)/Get_Margin(J$3,J$2,J$5,J$1)),0),ROUNDUP((Client_Margin($C24)*Alloted(J$3,J$2,J$5)/Get_Margin(J$3,J$2,J$5,J$1)),0)),"-")</f>
        <v>1</v>
      </c>
      <c r="K24" s="14" cm="1">
        <f t="array" ref="K24">IFERROR(IF(ROUNDUP((Client_Margin($C24)*Alloted(K$3,K$2,K$5)/Get_Margin(K$3,K$2,K$5,K$1)),0)*Get_Margin(K$3,K$2,K$5,K$1)&gt;((Client_Margin($C24)*Alloted(K$3,K$2,K$5)/Get_Margin(K$3,K$2,K$5,K$1))*Get_Margin(K$3,K$2,K$5,K$1))*$D$3,ROUNDDOWN((Client_Margin($C24)*Alloted(K$3,K$2,K$5)/Get_Margin(K$3,K$2,K$5,K$1)),0),ROUNDUP((Client_Margin($C24)*Alloted(K$3,K$2,K$5)/Get_Margin(K$3,K$2,K$5,K$1)),0)),"-")</f>
        <v>1</v>
      </c>
      <c r="L24" s="14" cm="1">
        <f t="array" ref="L24">IFERROR(IF(ROUNDUP((Client_Margin($C24)*Alloted(L$3,L$2,L$5)/Get_Margin(L$3,L$2,L$5,L$1)),0)*Get_Margin(L$3,L$2,L$5,L$1)&gt;((Client_Margin($C24)*Alloted(L$3,L$2,L$5)/Get_Margin(L$3,L$2,L$5,L$1))*Get_Margin(L$3,L$2,L$5,L$1))*$D$3,ROUNDDOWN((Client_Margin($C24)*Alloted(L$3,L$2,L$5)/Get_Margin(L$3,L$2,L$5,L$1)),0),ROUNDUP((Client_Margin($C24)*Alloted(L$3,L$2,L$5)/Get_Margin(L$3,L$2,L$5,L$1)),0)),"-")</f>
        <v>13</v>
      </c>
      <c r="M24" s="14" cm="1">
        <f t="array" ref="M24">IFERROR(IF(ROUNDUP((Client_Margin($C24)*Alloted(M$3,M$2,M$5)/Get_Margin(M$3,M$2,M$5,M$1)),0)*Get_Margin(M$3,M$2,M$5,M$1)&gt;((Client_Margin($C24)*Alloted(M$3,M$2,M$5)/Get_Margin(M$3,M$2,M$5,M$1))*Get_Margin(M$3,M$2,M$5,M$1))*$D$3,ROUNDDOWN((Client_Margin($C24)*Alloted(M$3,M$2,M$5)/Get_Margin(M$3,M$2,M$5,M$1)),0),ROUNDUP((Client_Margin($C24)*Alloted(M$3,M$2,M$5)/Get_Margin(M$3,M$2,M$5,M$1)),0)),"-")</f>
        <v>0</v>
      </c>
      <c r="N24" s="14" cm="1">
        <f t="array" ref="N24">IFERROR(IF(ROUNDUP((Client_Margin($C24)*Alloted(N$3,N$2,N$5)/Get_Margin(N$3,N$2,N$5,N$1)),0)*Get_Margin(N$3,N$2,N$5,N$1)&gt;((Client_Margin($C24)*Alloted(N$3,N$2,N$5)/Get_Margin(N$3,N$2,N$5,N$1))*Get_Margin(N$3,N$2,N$5,N$1))*$D$3,ROUNDDOWN((Client_Margin($C24)*Alloted(N$3,N$2,N$5)/Get_Margin(N$3,N$2,N$5,N$1)),0),ROUNDUP((Client_Margin($C24)*Alloted(N$3,N$2,N$5)/Get_Margin(N$3,N$2,N$5,N$1)),0)),"-")</f>
        <v>0</v>
      </c>
      <c r="O24" s="14" cm="1">
        <f t="array" ref="O24">IFERROR(IF(ROUNDUP((Client_Margin($C24)*Alloted(O$3,O$2,O$5)/Get_Margin(O$3,O$2,O$5,O$1)),0)*Get_Margin(O$3,O$2,O$5,O$1)&gt;((Client_Margin($C24)*Alloted(O$3,O$2,O$5)/Get_Margin(O$3,O$2,O$5,O$1))*Get_Margin(O$3,O$2,O$5,O$1))*$D$3,ROUNDDOWN((Client_Margin($C24)*Alloted(O$3,O$2,O$5)/Get_Margin(O$3,O$2,O$5,O$1)),0),ROUNDUP((Client_Margin($C24)*Alloted(O$3,O$2,O$5)/Get_Margin(O$3,O$2,O$5,O$1)),0)),"-")</f>
        <v>0</v>
      </c>
    </row>
    <row r="25" spans="1:15" x14ac:dyDescent="0.25">
      <c r="A25">
        <f>_xlfn.XLOOKUP(C25,'OI QTY'!$O$5:$O$21,'OI QTY'!$N$5:$N$21,"")</f>
        <v>0</v>
      </c>
      <c r="B25">
        <f t="shared" si="1"/>
        <v>0</v>
      </c>
      <c r="C25" s="14"/>
      <c r="D25" s="14"/>
      <c r="E25" s="15">
        <f>SUM(F25:O25)</f>
        <v>0.86098113207547167</v>
      </c>
      <c r="F25" s="15" t="str" cm="1">
        <f t="array" ref="F25">IFERROR((_xlfn._xlws.FILTER(INDEX(Margin[],0,MATCH(F$1&amp;"_"&amp;F$3,Margin[#Headers],0)),(Margin[Index]=F$2)*(Margin[Strategy]=F$5))*F24)/Client_Margin($C24),"-")</f>
        <v>-</v>
      </c>
      <c r="G25" s="15" cm="1">
        <f t="array" ref="G25">IFERROR((_xlfn._xlws.FILTER(INDEX(Margin[],0,MATCH(G$1&amp;"_"&amp;G$3,Margin[#Headers],0)),(Margin[Index]=G$2)*(Margin[Strategy]=G$5))*G24)/Client_Margin($C24),"-")</f>
        <v>5.4339622641509433E-2</v>
      </c>
      <c r="H25" s="15" cm="1">
        <f t="array" ref="H25">IFERROR((_xlfn._xlws.FILTER(INDEX(Margin[],0,MATCH(H$1&amp;"_"&amp;H$3,Margin[#Headers],0)),(Margin[Index]=H$2)*(Margin[Strategy]=H$5))*H24)/Client_Margin($C24),"-")</f>
        <v>0.1050566037735849</v>
      </c>
      <c r="I25" s="15" cm="1">
        <f t="array" ref="I25">IFERROR((_xlfn._xlws.FILTER(INDEX(Margin[],0,MATCH(I$1&amp;"_"&amp;I$3,Margin[#Headers],0)),(Margin[Index]=I$2)*(Margin[Strategy]=I$5))*I24)/Client_Margin($C24),"-")</f>
        <v>7.064150943396226E-2</v>
      </c>
      <c r="J25" s="15" cm="1">
        <f t="array" ref="J25">IFERROR((_xlfn._xlws.FILTER(INDEX(Margin[],0,MATCH(J$1&amp;"_"&amp;J$3,Margin[#Headers],0)),(Margin[Index]=J$2)*(Margin[Strategy]=J$5))*J24)/Client_Margin($C24),"-")</f>
        <v>6.0377358490566038E-2</v>
      </c>
      <c r="K25" s="15" cm="1">
        <f t="array" ref="K25">IFERROR((_xlfn._xlws.FILTER(INDEX(Margin[],0,MATCH(K$1&amp;"_"&amp;K$3,Margin[#Headers],0)),(Margin[Index]=K$2)*(Margin[Strategy]=K$5))*K24)/Client_Margin($C24),"-")</f>
        <v>9.9622641509433965E-2</v>
      </c>
      <c r="L25" s="15" cm="1">
        <f t="array" ref="L25">IFERROR((_xlfn._xlws.FILTER(INDEX(Margin[],0,MATCH(L$1&amp;"_"&amp;L$3,Margin[#Headers],0)),(Margin[Index]=L$2)*(Margin[Strategy]=L$5))*L24)/Client_Margin($C24),"-")</f>
        <v>0.47094339622641507</v>
      </c>
      <c r="M25" s="15" cm="1">
        <f t="array" ref="M25">IFERROR((_xlfn._xlws.FILTER(INDEX(Margin[],0,MATCH(M$1&amp;"_"&amp;M$3,Margin[#Headers],0)),(Margin[Index]=M$2)*(Margin[Strategy]=M$5))*M24)/Client_Margin($C24),"-")</f>
        <v>0</v>
      </c>
      <c r="N25" s="15" cm="1">
        <f t="array" ref="N25">IFERROR((_xlfn._xlws.FILTER(INDEX(Margin[],0,MATCH(N$1&amp;"_"&amp;N$3,Margin[#Headers],0)),(Margin[Index]=N$2)*(Margin[Strategy]=N$5))*N24)/Client_Margin($C24),"-")</f>
        <v>0</v>
      </c>
      <c r="O25" s="15" cm="1">
        <f t="array" ref="O25">IFERROR((_xlfn._xlws.FILTER(INDEX(Margin[],0,MATCH(O$1&amp;"_"&amp;O$3,Margin[#Headers],0)),(Margin[Index]=O$2)*(Margin[Strategy]=O$5))*O24)/Client_Margin($C24),"-")</f>
        <v>0</v>
      </c>
    </row>
    <row r="26" spans="1:15" x14ac:dyDescent="0.25">
      <c r="A26" t="str">
        <f>_xlfn.XLOOKUP(C26,'OI QTY'!$O$5:$O$21,'OI QTY'!$N$5:$N$21,"")</f>
        <v/>
      </c>
      <c r="B26">
        <f t="shared" si="1"/>
        <v>1</v>
      </c>
      <c r="C26" s="14" t="s">
        <v>53</v>
      </c>
      <c r="D26" s="14" cm="1">
        <f t="array" ref="D26">(_xlfn._xlws.FILTER(Fund[Margin],Fund[Client Id]=C26))/10000000</f>
        <v>2.4</v>
      </c>
      <c r="E26" s="17"/>
      <c r="F26" s="14" t="str" cm="1">
        <f t="array" ref="F26">IFERROR(IF(ROUNDUP((Client_Margin($C26)*Alloted(F$3,F$2,F$5)/Get_Margin(F$3,F$2,F$5,F$1)),0)*Get_Margin(F$3,F$2,F$5,F$1)&gt;((Client_Margin($C26)*Alloted(F$3,F$2,F$5)/Get_Margin(F$3,F$2,F$5,F$1))*Get_Margin(F$3,F$2,F$5,F$1))*$D$3,ROUNDDOWN((Client_Margin($C26)*Alloted(F$3,F$2,F$5)/Get_Margin(F$3,F$2,F$5,F$1)),0),ROUNDUP((Client_Margin($C26)*Alloted(F$3,F$2,F$5)/Get_Margin(F$3,F$2,F$5,F$1)),0)),"-")</f>
        <v>-</v>
      </c>
      <c r="G26" s="14" cm="1">
        <f t="array" ref="G26">IFERROR(IF(ROUNDUP((Client_Margin($C26)*Alloted(G$3,G$2,G$5)/Get_Margin(G$3,G$2,G$5,G$1)),0)*Get_Margin(G$3,G$2,G$5,G$1)&gt;((Client_Margin($C26)*Alloted(G$3,G$2,G$5)/Get_Margin(G$3,G$2,G$5,G$1))*Get_Margin(G$3,G$2,G$5,G$1))*$D$3,ROUNDDOWN((Client_Margin($C26)*Alloted(G$3,G$2,G$5)/Get_Margin(G$3,G$2,G$5,G$1)),0),ROUNDUP((Client_Margin($C26)*Alloted(G$3,G$2,G$5)/Get_Margin(G$3,G$2,G$5,G$1)),0)),"-")</f>
        <v>8</v>
      </c>
      <c r="H26" s="14" cm="1">
        <f t="array" ref="H26">IFERROR(IF(ROUNDUP((Client_Margin($C26)*Alloted(H$3,H$2,H$5)/Get_Margin(H$3,H$2,H$5,H$1)),0)*Get_Margin(H$3,H$2,H$5,H$1)&gt;((Client_Margin($C26)*Alloted(H$3,H$2,H$5)/Get_Margin(H$3,H$2,H$5,H$1))*Get_Margin(H$3,H$2,H$5,H$1))*$D$3,ROUNDDOWN((Client_Margin($C26)*Alloted(H$3,H$2,H$5)/Get_Margin(H$3,H$2,H$5,H$1)),0),ROUNDUP((Client_Margin($C26)*Alloted(H$3,H$2,H$5)/Get_Margin(H$3,H$2,H$5,H$1)),0)),"-")</f>
        <v>3</v>
      </c>
      <c r="I26" s="14" cm="1">
        <f t="array" ref="I26">IFERROR(IF(ROUNDUP((Client_Margin($C26)*Alloted(I$3,I$2,I$5)/Get_Margin(I$3,I$2,I$5,I$1)),0)*Get_Margin(I$3,I$2,I$5,I$1)&gt;((Client_Margin($C26)*Alloted(I$3,I$2,I$5)/Get_Margin(I$3,I$2,I$5,I$1))*Get_Margin(I$3,I$2,I$5,I$1))*$D$3,ROUNDDOWN((Client_Margin($C26)*Alloted(I$3,I$2,I$5)/Get_Margin(I$3,I$2,I$5,I$1)),0),ROUNDUP((Client_Margin($C26)*Alloted(I$3,I$2,I$5)/Get_Margin(I$3,I$2,I$5,I$1)),0)),"-")</f>
        <v>1</v>
      </c>
      <c r="J26" s="14" cm="1">
        <f t="array" ref="J26">IFERROR(IF(ROUNDUP((Client_Margin($C26)*Alloted(J$3,J$2,J$5)/Get_Margin(J$3,J$2,J$5,J$1)),0)*Get_Margin(J$3,J$2,J$5,J$1)&gt;((Client_Margin($C26)*Alloted(J$3,J$2,J$5)/Get_Margin(J$3,J$2,J$5,J$1))*Get_Margin(J$3,J$2,J$5,J$1))*$D$3,ROUNDDOWN((Client_Margin($C26)*Alloted(J$3,J$2,J$5)/Get_Margin(J$3,J$2,J$5,J$1)),0),ROUNDUP((Client_Margin($C26)*Alloted(J$3,J$2,J$5)/Get_Margin(J$3,J$2,J$5,J$1)),0)),"-")</f>
        <v>1</v>
      </c>
      <c r="K26" s="14" cm="1">
        <f t="array" ref="K26">IFERROR(IF(ROUNDUP((Client_Margin($C26)*Alloted(K$3,K$2,K$5)/Get_Margin(K$3,K$2,K$5,K$1)),0)*Get_Margin(K$3,K$2,K$5,K$1)&gt;((Client_Margin($C26)*Alloted(K$3,K$2,K$5)/Get_Margin(K$3,K$2,K$5,K$1))*Get_Margin(K$3,K$2,K$5,K$1))*$D$3,ROUNDDOWN((Client_Margin($C26)*Alloted(K$3,K$2,K$5)/Get_Margin(K$3,K$2,K$5,K$1)),0),ROUNDUP((Client_Margin($C26)*Alloted(K$3,K$2,K$5)/Get_Margin(K$3,K$2,K$5,K$1)),0)),"-")</f>
        <v>1</v>
      </c>
      <c r="L26" s="14" cm="1">
        <f t="array" ref="L26">IFERROR(IF(ROUNDUP((Client_Margin($C26)*Alloted(L$3,L$2,L$5)/Get_Margin(L$3,L$2,L$5,L$1)),0)*Get_Margin(L$3,L$2,L$5,L$1)&gt;((Client_Margin($C26)*Alloted(L$3,L$2,L$5)/Get_Margin(L$3,L$2,L$5,L$1))*Get_Margin(L$3,L$2,L$5,L$1))*$D$3,ROUNDDOWN((Client_Margin($C26)*Alloted(L$3,L$2,L$5)/Get_Margin(L$3,L$2,L$5,L$1)),0),ROUNDUP((Client_Margin($C26)*Alloted(L$3,L$2,L$5)/Get_Margin(L$3,L$2,L$5,L$1)),0)),"-")</f>
        <v>12</v>
      </c>
      <c r="M26" s="14" cm="1">
        <f t="array" ref="M26">IFERROR(IF(ROUNDUP((Client_Margin($C26)*Alloted(M$3,M$2,M$5)/Get_Margin(M$3,M$2,M$5,M$1)),0)*Get_Margin(M$3,M$2,M$5,M$1)&gt;((Client_Margin($C26)*Alloted(M$3,M$2,M$5)/Get_Margin(M$3,M$2,M$5,M$1))*Get_Margin(M$3,M$2,M$5,M$1))*$D$3,ROUNDDOWN((Client_Margin($C26)*Alloted(M$3,M$2,M$5)/Get_Margin(M$3,M$2,M$5,M$1)),0),ROUNDUP((Client_Margin($C26)*Alloted(M$3,M$2,M$5)/Get_Margin(M$3,M$2,M$5,M$1)),0)),"-")</f>
        <v>0</v>
      </c>
      <c r="N26" s="14" cm="1">
        <f t="array" ref="N26">IFERROR(IF(ROUNDUP((Client_Margin($C26)*Alloted(N$3,N$2,N$5)/Get_Margin(N$3,N$2,N$5,N$1)),0)*Get_Margin(N$3,N$2,N$5,N$1)&gt;((Client_Margin($C26)*Alloted(N$3,N$2,N$5)/Get_Margin(N$3,N$2,N$5,N$1))*Get_Margin(N$3,N$2,N$5,N$1))*$D$3,ROUNDDOWN((Client_Margin($C26)*Alloted(N$3,N$2,N$5)/Get_Margin(N$3,N$2,N$5,N$1)),0),ROUNDUP((Client_Margin($C26)*Alloted(N$3,N$2,N$5)/Get_Margin(N$3,N$2,N$5,N$1)),0)),"-")</f>
        <v>0</v>
      </c>
      <c r="O26" s="14" cm="1">
        <f t="array" ref="O26">IFERROR(IF(ROUNDUP((Client_Margin($C26)*Alloted(O$3,O$2,O$5)/Get_Margin(O$3,O$2,O$5,O$1)),0)*Get_Margin(O$3,O$2,O$5,O$1)&gt;((Client_Margin($C26)*Alloted(O$3,O$2,O$5)/Get_Margin(O$3,O$2,O$5,O$1))*Get_Margin(O$3,O$2,O$5,O$1))*$D$3,ROUNDDOWN((Client_Margin($C26)*Alloted(O$3,O$2,O$5)/Get_Margin(O$3,O$2,O$5,O$1)),0),ROUNDUP((Client_Margin($C26)*Alloted(O$3,O$2,O$5)/Get_Margin(O$3,O$2,O$5,O$1)),0)),"-")</f>
        <v>0</v>
      </c>
    </row>
    <row r="27" spans="1:15" x14ac:dyDescent="0.25">
      <c r="A27">
        <f>_xlfn.XLOOKUP(C27,'OI QTY'!$O$5:$O$21,'OI QTY'!$N$5:$N$21,"")</f>
        <v>0</v>
      </c>
      <c r="B27">
        <f t="shared" si="1"/>
        <v>0</v>
      </c>
      <c r="C27" s="14"/>
      <c r="D27" s="14"/>
      <c r="E27" s="15">
        <f>SUM(F27:O27)</f>
        <v>0.875</v>
      </c>
      <c r="F27" s="15" t="str" cm="1">
        <f t="array" ref="F27">IFERROR((_xlfn._xlws.FILTER(INDEX(Margin[],0,MATCH(F$1&amp;"_"&amp;F$3,Margin[#Headers],0)),(Margin[Index]=F$2)*(Margin[Strategy]=F$5))*F26)/Client_Margin($C26),"-")</f>
        <v>-</v>
      </c>
      <c r="G27" s="15" cm="1">
        <f t="array" ref="G27">IFERROR((_xlfn._xlws.FILTER(INDEX(Margin[],0,MATCH(G$1&amp;"_"&amp;G$3,Margin[#Headers],0)),(Margin[Index]=G$2)*(Margin[Strategy]=G$5))*G26)/Client_Margin($C26),"-")</f>
        <v>5.3333333333333337E-2</v>
      </c>
      <c r="H27" s="15" cm="1">
        <f t="array" ref="H27">IFERROR((_xlfn._xlws.FILTER(INDEX(Margin[],0,MATCH(H$1&amp;"_"&amp;H$3,Margin[#Headers],0)),(Margin[Index]=H$2)*(Margin[Strategy]=H$5))*H26)/Client_Margin($C26),"-")</f>
        <v>8.6999999999999994E-2</v>
      </c>
      <c r="I27" s="15" cm="1">
        <f t="array" ref="I27">IFERROR((_xlfn._xlws.FILTER(INDEX(Margin[],0,MATCH(I$1&amp;"_"&amp;I$3,Margin[#Headers],0)),(Margin[Index]=I$2)*(Margin[Strategy]=I$5))*I26)/Client_Margin($C26),"-")</f>
        <v>7.8E-2</v>
      </c>
      <c r="J27" s="15" cm="1">
        <f t="array" ref="J27">IFERROR((_xlfn._xlws.FILTER(INDEX(Margin[],0,MATCH(J$1&amp;"_"&amp;J$3,Margin[#Headers],0)),(Margin[Index]=J$2)*(Margin[Strategy]=J$5))*J26)/Client_Margin($C26),"-")</f>
        <v>6.6666666666666666E-2</v>
      </c>
      <c r="K27" s="15" cm="1">
        <f t="array" ref="K27">IFERROR((_xlfn._xlws.FILTER(INDEX(Margin[],0,MATCH(K$1&amp;"_"&amp;K$3,Margin[#Headers],0)),(Margin[Index]=K$2)*(Margin[Strategy]=K$5))*K26)/Client_Margin($C26),"-")</f>
        <v>0.11</v>
      </c>
      <c r="L27" s="15" cm="1">
        <f t="array" ref="L27">IFERROR((_xlfn._xlws.FILTER(INDEX(Margin[],0,MATCH(L$1&amp;"_"&amp;L$3,Margin[#Headers],0)),(Margin[Index]=L$2)*(Margin[Strategy]=L$5))*L26)/Client_Margin($C26),"-")</f>
        <v>0.48</v>
      </c>
      <c r="M27" s="15" cm="1">
        <f t="array" ref="M27">IFERROR((_xlfn._xlws.FILTER(INDEX(Margin[],0,MATCH(M$1&amp;"_"&amp;M$3,Margin[#Headers],0)),(Margin[Index]=M$2)*(Margin[Strategy]=M$5))*M26)/Client_Margin($C26),"-")</f>
        <v>0</v>
      </c>
      <c r="N27" s="15" cm="1">
        <f t="array" ref="N27">IFERROR((_xlfn._xlws.FILTER(INDEX(Margin[],0,MATCH(N$1&amp;"_"&amp;N$3,Margin[#Headers],0)),(Margin[Index]=N$2)*(Margin[Strategy]=N$5))*N26)/Client_Margin($C26),"-")</f>
        <v>0</v>
      </c>
      <c r="O27" s="15" cm="1">
        <f t="array" ref="O27">IFERROR((_xlfn._xlws.FILTER(INDEX(Margin[],0,MATCH(O$1&amp;"_"&amp;O$3,Margin[#Headers],0)),(Margin[Index]=O$2)*(Margin[Strategy]=O$5))*O26)/Client_Margin($C26),"-")</f>
        <v>0</v>
      </c>
    </row>
    <row r="28" spans="1:15" x14ac:dyDescent="0.25">
      <c r="A28" t="str">
        <f>_xlfn.XLOOKUP(C28,'OI QTY'!$O$5:$O$21,'OI QTY'!$N$5:$N$21,"")</f>
        <v>K</v>
      </c>
      <c r="B28">
        <f>IF(C28="",0,1)</f>
        <v>1</v>
      </c>
      <c r="C28" s="14" t="s">
        <v>129</v>
      </c>
      <c r="D28" s="14" cm="1">
        <f t="array" ref="D28">(_xlfn._xlws.FILTER(Fund[Margin],Fund[Client Id]=C28))/10000000</f>
        <v>2.4</v>
      </c>
      <c r="E28" s="17"/>
      <c r="F28" s="14" t="str" cm="1">
        <f t="array" ref="F28">IFERROR(IF(ROUNDUP((Client_Margin($C28)*Alloted(F$3,F$2,F$5)/Get_Margin(F$3,F$2,F$5,F$1)),0)*Get_Margin(F$3,F$2,F$5,F$1)&gt;((Client_Margin($C28)*Alloted(F$3,F$2,F$5)/Get_Margin(F$3,F$2,F$5,F$1))*Get_Margin(F$3,F$2,F$5,F$1))*$D$3,ROUNDDOWN((Client_Margin($C28)*Alloted(F$3,F$2,F$5)/Get_Margin(F$3,F$2,F$5,F$1)),0),ROUNDUP((Client_Margin($C28)*Alloted(F$3,F$2,F$5)/Get_Margin(F$3,F$2,F$5,F$1)),0)),"-")</f>
        <v>-</v>
      </c>
      <c r="G28" s="14" cm="1">
        <f t="array" ref="G28">IFERROR(IF(ROUNDUP((Client_Margin($C28)*Alloted(G$3,G$2,G$5)/Get_Margin(G$3,G$2,G$5,G$1)),0)*Get_Margin(G$3,G$2,G$5,G$1)&gt;((Client_Margin($C28)*Alloted(G$3,G$2,G$5)/Get_Margin(G$3,G$2,G$5,G$1))*Get_Margin(G$3,G$2,G$5,G$1))*$D$3,ROUNDDOWN((Client_Margin($C28)*Alloted(G$3,G$2,G$5)/Get_Margin(G$3,G$2,G$5,G$1)),0),ROUNDUP((Client_Margin($C28)*Alloted(G$3,G$2,G$5)/Get_Margin(G$3,G$2,G$5,G$1)),0)),"-")</f>
        <v>8</v>
      </c>
      <c r="H28" s="14" cm="1">
        <f t="array" ref="H28">IFERROR(IF(ROUNDUP((Client_Margin($C28)*Alloted(H$3,H$2,H$5)/Get_Margin(H$3,H$2,H$5,H$1)),0)*Get_Margin(H$3,H$2,H$5,H$1)&gt;((Client_Margin($C28)*Alloted(H$3,H$2,H$5)/Get_Margin(H$3,H$2,H$5,H$1))*Get_Margin(H$3,H$2,H$5,H$1))*$D$3,ROUNDDOWN((Client_Margin($C28)*Alloted(H$3,H$2,H$5)/Get_Margin(H$3,H$2,H$5,H$1)),0),ROUNDUP((Client_Margin($C28)*Alloted(H$3,H$2,H$5)/Get_Margin(H$3,H$2,H$5,H$1)),0)),"-")</f>
        <v>3</v>
      </c>
      <c r="I28" s="14" cm="1">
        <f t="array" ref="I28">IFERROR(IF(ROUNDUP((Client_Margin($C28)*Alloted(I$3,I$2,I$5)/Get_Margin(I$3,I$2,I$5,I$1)),0)*Get_Margin(I$3,I$2,I$5,I$1)&gt;((Client_Margin($C28)*Alloted(I$3,I$2,I$5)/Get_Margin(I$3,I$2,I$5,I$1))*Get_Margin(I$3,I$2,I$5,I$1))*$D$3,ROUNDDOWN((Client_Margin($C28)*Alloted(I$3,I$2,I$5)/Get_Margin(I$3,I$2,I$5,I$1)),0),ROUNDUP((Client_Margin($C28)*Alloted(I$3,I$2,I$5)/Get_Margin(I$3,I$2,I$5,I$1)),0)),"-")</f>
        <v>1</v>
      </c>
      <c r="J28" s="14" cm="1">
        <f t="array" ref="J28">IFERROR(IF(ROUNDUP((Client_Margin($C28)*Alloted(J$3,J$2,J$5)/Get_Margin(J$3,J$2,J$5,J$1)),0)*Get_Margin(J$3,J$2,J$5,J$1)&gt;((Client_Margin($C28)*Alloted(J$3,J$2,J$5)/Get_Margin(J$3,J$2,J$5,J$1))*Get_Margin(J$3,J$2,J$5,J$1))*$D$3,ROUNDDOWN((Client_Margin($C28)*Alloted(J$3,J$2,J$5)/Get_Margin(J$3,J$2,J$5,J$1)),0),ROUNDUP((Client_Margin($C28)*Alloted(J$3,J$2,J$5)/Get_Margin(J$3,J$2,J$5,J$1)),0)),"-")</f>
        <v>1</v>
      </c>
      <c r="K28" s="14" cm="1">
        <f t="array" ref="K28">IFERROR(IF(ROUNDUP((Client_Margin($C28)*Alloted(K$3,K$2,K$5)/Get_Margin(K$3,K$2,K$5,K$1)),0)*Get_Margin(K$3,K$2,K$5,K$1)&gt;((Client_Margin($C28)*Alloted(K$3,K$2,K$5)/Get_Margin(K$3,K$2,K$5,K$1))*Get_Margin(K$3,K$2,K$5,K$1))*$D$3,ROUNDDOWN((Client_Margin($C28)*Alloted(K$3,K$2,K$5)/Get_Margin(K$3,K$2,K$5,K$1)),0),ROUNDUP((Client_Margin($C28)*Alloted(K$3,K$2,K$5)/Get_Margin(K$3,K$2,K$5,K$1)),0)),"-")</f>
        <v>1</v>
      </c>
      <c r="L28" s="14" cm="1">
        <f t="array" ref="L28">IFERROR(IF(ROUNDUP((Client_Margin($C28)*Alloted(L$3,L$2,L$5)/Get_Margin(L$3,L$2,L$5,L$1)),0)*Get_Margin(L$3,L$2,L$5,L$1)&gt;((Client_Margin($C28)*Alloted(L$3,L$2,L$5)/Get_Margin(L$3,L$2,L$5,L$1))*Get_Margin(L$3,L$2,L$5,L$1))*$D$3,ROUNDDOWN((Client_Margin($C28)*Alloted(L$3,L$2,L$5)/Get_Margin(L$3,L$2,L$5,L$1)),0),ROUNDUP((Client_Margin($C28)*Alloted(L$3,L$2,L$5)/Get_Margin(L$3,L$2,L$5,L$1)),0)),"-")</f>
        <v>12</v>
      </c>
      <c r="M28" s="14" cm="1">
        <f t="array" ref="M28">IFERROR(IF(ROUNDUP((Client_Margin($C28)*Alloted(M$3,M$2,M$5)/Get_Margin(M$3,M$2,M$5,M$1)),0)*Get_Margin(M$3,M$2,M$5,M$1)&gt;((Client_Margin($C28)*Alloted(M$3,M$2,M$5)/Get_Margin(M$3,M$2,M$5,M$1))*Get_Margin(M$3,M$2,M$5,M$1))*$D$3,ROUNDDOWN((Client_Margin($C28)*Alloted(M$3,M$2,M$5)/Get_Margin(M$3,M$2,M$5,M$1)),0),ROUNDUP((Client_Margin($C28)*Alloted(M$3,M$2,M$5)/Get_Margin(M$3,M$2,M$5,M$1)),0)),"-")</f>
        <v>0</v>
      </c>
      <c r="N28" s="14" cm="1">
        <f t="array" ref="N28">IFERROR(IF(ROUNDUP((Client_Margin($C28)*Alloted(N$3,N$2,N$5)/Get_Margin(N$3,N$2,N$5,N$1)),0)*Get_Margin(N$3,N$2,N$5,N$1)&gt;((Client_Margin($C28)*Alloted(N$3,N$2,N$5)/Get_Margin(N$3,N$2,N$5,N$1))*Get_Margin(N$3,N$2,N$5,N$1))*$D$3,ROUNDDOWN((Client_Margin($C28)*Alloted(N$3,N$2,N$5)/Get_Margin(N$3,N$2,N$5,N$1)),0),ROUNDUP((Client_Margin($C28)*Alloted(N$3,N$2,N$5)/Get_Margin(N$3,N$2,N$5,N$1)),0)),"-")</f>
        <v>0</v>
      </c>
      <c r="O28" s="14" cm="1">
        <f t="array" ref="O28">IFERROR(IF(ROUNDUP((Client_Margin($C28)*Alloted(O$3,O$2,O$5)/Get_Margin(O$3,O$2,O$5,O$1)),0)*Get_Margin(O$3,O$2,O$5,O$1)&gt;((Client_Margin($C28)*Alloted(O$3,O$2,O$5)/Get_Margin(O$3,O$2,O$5,O$1))*Get_Margin(O$3,O$2,O$5,O$1))*$D$3,ROUNDDOWN((Client_Margin($C28)*Alloted(O$3,O$2,O$5)/Get_Margin(O$3,O$2,O$5,O$1)),0),ROUNDUP((Client_Margin($C28)*Alloted(O$3,O$2,O$5)/Get_Margin(O$3,O$2,O$5,O$1)),0)),"-")</f>
        <v>0</v>
      </c>
    </row>
    <row r="29" spans="1:15" x14ac:dyDescent="0.25">
      <c r="A29">
        <f>_xlfn.XLOOKUP(C29,'OI QTY'!$O$5:$O$21,'OI QTY'!$N$5:$N$21,"")</f>
        <v>0</v>
      </c>
      <c r="B29">
        <f>IF(C29="",0,1)</f>
        <v>0</v>
      </c>
      <c r="C29" s="14"/>
      <c r="D29" s="14"/>
      <c r="E29" s="15">
        <f>SUM(F29:O29)</f>
        <v>0.875</v>
      </c>
      <c r="F29" s="15" t="str" cm="1">
        <f t="array" ref="F29">IFERROR((_xlfn._xlws.FILTER(INDEX(Margin[],0,MATCH(F$1&amp;"_"&amp;F$3,Margin[#Headers],0)),(Margin[Index]=F$2)*(Margin[Strategy]=F$5))*F28)/Client_Margin($C28),"-")</f>
        <v>-</v>
      </c>
      <c r="G29" s="15" cm="1">
        <f t="array" ref="G29">IFERROR((_xlfn._xlws.FILTER(INDEX(Margin[],0,MATCH(G$1&amp;"_"&amp;G$3,Margin[#Headers],0)),(Margin[Index]=G$2)*(Margin[Strategy]=G$5))*G28)/Client_Margin($C28),"-")</f>
        <v>5.3333333333333337E-2</v>
      </c>
      <c r="H29" s="15" cm="1">
        <f t="array" ref="H29">IFERROR((_xlfn._xlws.FILTER(INDEX(Margin[],0,MATCH(H$1&amp;"_"&amp;H$3,Margin[#Headers],0)),(Margin[Index]=H$2)*(Margin[Strategy]=H$5))*H28)/Client_Margin($C28),"-")</f>
        <v>8.6999999999999994E-2</v>
      </c>
      <c r="I29" s="15" cm="1">
        <f t="array" ref="I29">IFERROR((_xlfn._xlws.FILTER(INDEX(Margin[],0,MATCH(I$1&amp;"_"&amp;I$3,Margin[#Headers],0)),(Margin[Index]=I$2)*(Margin[Strategy]=I$5))*I28)/Client_Margin($C28),"-")</f>
        <v>7.8E-2</v>
      </c>
      <c r="J29" s="15" cm="1">
        <f t="array" ref="J29">IFERROR((_xlfn._xlws.FILTER(INDEX(Margin[],0,MATCH(J$1&amp;"_"&amp;J$3,Margin[#Headers],0)),(Margin[Index]=J$2)*(Margin[Strategy]=J$5))*J28)/Client_Margin($C28),"-")</f>
        <v>6.6666666666666666E-2</v>
      </c>
      <c r="K29" s="15" cm="1">
        <f t="array" ref="K29">IFERROR((_xlfn._xlws.FILTER(INDEX(Margin[],0,MATCH(K$1&amp;"_"&amp;K$3,Margin[#Headers],0)),(Margin[Index]=K$2)*(Margin[Strategy]=K$5))*K28)/Client_Margin($C28),"-")</f>
        <v>0.11</v>
      </c>
      <c r="L29" s="15" cm="1">
        <f t="array" ref="L29">IFERROR((_xlfn._xlws.FILTER(INDEX(Margin[],0,MATCH(L$1&amp;"_"&amp;L$3,Margin[#Headers],0)),(Margin[Index]=L$2)*(Margin[Strategy]=L$5))*L28)/Client_Margin($C28),"-")</f>
        <v>0.48</v>
      </c>
      <c r="M29" s="15" cm="1">
        <f t="array" ref="M29">IFERROR((_xlfn._xlws.FILTER(INDEX(Margin[],0,MATCH(M$1&amp;"_"&amp;M$3,Margin[#Headers],0)),(Margin[Index]=M$2)*(Margin[Strategy]=M$5))*M28)/Client_Margin($C28),"-")</f>
        <v>0</v>
      </c>
      <c r="N29" s="15" cm="1">
        <f t="array" ref="N29">IFERROR((_xlfn._xlws.FILTER(INDEX(Margin[],0,MATCH(N$1&amp;"_"&amp;N$3,Margin[#Headers],0)),(Margin[Index]=N$2)*(Margin[Strategy]=N$5))*N28)/Client_Margin($C28),"-")</f>
        <v>0</v>
      </c>
      <c r="O29" s="15" cm="1">
        <f t="array" ref="O29">IFERROR((_xlfn._xlws.FILTER(INDEX(Margin[],0,MATCH(O$1&amp;"_"&amp;O$3,Margin[#Headers],0)),(Margin[Index]=O$2)*(Margin[Strategy]=O$5))*O28)/Client_Margin($C28),"-")</f>
        <v>0</v>
      </c>
    </row>
    <row r="30" spans="1:15" x14ac:dyDescent="0.25">
      <c r="A30" t="str">
        <f>_xlfn.XLOOKUP(C30,'OI QTY'!$O$5:$O$21,'OI QTY'!$N$5:$N$21,"")</f>
        <v>K</v>
      </c>
      <c r="B30">
        <f t="shared" ref="B30:B31" si="2">IF(C30="",0,1)</f>
        <v>1</v>
      </c>
      <c r="C30" s="14" t="s">
        <v>114</v>
      </c>
      <c r="D30" s="14" cm="1">
        <f t="array" ref="D30">(_xlfn._xlws.FILTER(Fund[Margin],Fund[Client Id]=C30))/10000000</f>
        <v>1.85</v>
      </c>
      <c r="E30" s="17"/>
      <c r="F30" s="14" t="str" cm="1">
        <f t="array" ref="F30">IFERROR(IF(ROUNDUP((Client_Margin($C30)*Alloted(F$3,F$2,F$5)/Get_Margin(F$3,F$2,F$5,F$1)),0)*Get_Margin(F$3,F$2,F$5,F$1)&gt;((Client_Margin($C30)*Alloted(F$3,F$2,F$5)/Get_Margin(F$3,F$2,F$5,F$1))*Get_Margin(F$3,F$2,F$5,F$1))*$D$3,ROUNDDOWN((Client_Margin($C30)*Alloted(F$3,F$2,F$5)/Get_Margin(F$3,F$2,F$5,F$1)),0),ROUNDUP((Client_Margin($C30)*Alloted(F$3,F$2,F$5)/Get_Margin(F$3,F$2,F$5,F$1)),0)),"-")</f>
        <v>-</v>
      </c>
      <c r="G30" s="14" cm="1">
        <f t="array" ref="G30">IFERROR(IF(ROUNDUP((Client_Margin($C30)*Alloted(G$3,G$2,G$5)/Get_Margin(G$3,G$2,G$5,G$1)),0)*Get_Margin(G$3,G$2,G$5,G$1)&gt;((Client_Margin($C30)*Alloted(G$3,G$2,G$5)/Get_Margin(G$3,G$2,G$5,G$1))*Get_Margin(G$3,G$2,G$5,G$1))*$D$3,ROUNDDOWN((Client_Margin($C30)*Alloted(G$3,G$2,G$5)/Get_Margin(G$3,G$2,G$5,G$1)),0),ROUNDUP((Client_Margin($C30)*Alloted(G$3,G$2,G$5)/Get_Margin(G$3,G$2,G$5,G$1)),0)),"-")</f>
        <v>6</v>
      </c>
      <c r="H30" s="14" cm="1">
        <f t="array" ref="H30">IFERROR(IF(ROUNDUP((Client_Margin($C30)*Alloted(H$3,H$2,H$5)/Get_Margin(H$3,H$2,H$5,H$1)),0)*Get_Margin(H$3,H$2,H$5,H$1)&gt;((Client_Margin($C30)*Alloted(H$3,H$2,H$5)/Get_Margin(H$3,H$2,H$5,H$1))*Get_Margin(H$3,H$2,H$5,H$1))*$D$3,ROUNDDOWN((Client_Margin($C30)*Alloted(H$3,H$2,H$5)/Get_Margin(H$3,H$2,H$5,H$1)),0),ROUNDUP((Client_Margin($C30)*Alloted(H$3,H$2,H$5)/Get_Margin(H$3,H$2,H$5,H$1)),0)),"-")</f>
        <v>3</v>
      </c>
      <c r="I30" s="14" cm="1">
        <f t="array" ref="I30">IFERROR(IF(ROUNDUP((Client_Margin($C30)*Alloted(I$3,I$2,I$5)/Get_Margin(I$3,I$2,I$5,I$1)),0)*Get_Margin(I$3,I$2,I$5,I$1)&gt;((Client_Margin($C30)*Alloted(I$3,I$2,I$5)/Get_Margin(I$3,I$2,I$5,I$1))*Get_Margin(I$3,I$2,I$5,I$1))*$D$3,ROUNDDOWN((Client_Margin($C30)*Alloted(I$3,I$2,I$5)/Get_Margin(I$3,I$2,I$5,I$1)),0),ROUNDUP((Client_Margin($C30)*Alloted(I$3,I$2,I$5)/Get_Margin(I$3,I$2,I$5,I$1)),0)),"-")</f>
        <v>1</v>
      </c>
      <c r="J30" s="41">
        <v>1</v>
      </c>
      <c r="K30" s="41">
        <v>1</v>
      </c>
      <c r="L30" s="14" cm="1">
        <f t="array" ref="L30">IFERROR(IF(ROUNDUP((Client_Margin($C30)*Alloted(L$3,L$2,L$5)/Get_Margin(L$3,L$2,L$5,L$1)),0)*Get_Margin(L$3,L$2,L$5,L$1)&gt;((Client_Margin($C30)*Alloted(L$3,L$2,L$5)/Get_Margin(L$3,L$2,L$5,L$1))*Get_Margin(L$3,L$2,L$5,L$1))*$D$3,ROUNDDOWN((Client_Margin($C30)*Alloted(L$3,L$2,L$5)/Get_Margin(L$3,L$2,L$5,L$1)),0),ROUNDUP((Client_Margin($C30)*Alloted(L$3,L$2,L$5)/Get_Margin(L$3,L$2,L$5,L$1)),0)),"-")</f>
        <v>9</v>
      </c>
      <c r="M30" s="14" cm="1">
        <f t="array" ref="M30">IFERROR(IF(ROUNDUP((Client_Margin($C30)*Alloted(M$3,M$2,M$5)/Get_Margin(M$3,M$2,M$5,M$1)),0)*Get_Margin(M$3,M$2,M$5,M$1)&gt;((Client_Margin($C30)*Alloted(M$3,M$2,M$5)/Get_Margin(M$3,M$2,M$5,M$1))*Get_Margin(M$3,M$2,M$5,M$1))*$D$3,ROUNDDOWN((Client_Margin($C30)*Alloted(M$3,M$2,M$5)/Get_Margin(M$3,M$2,M$5,M$1)),0),ROUNDUP((Client_Margin($C30)*Alloted(M$3,M$2,M$5)/Get_Margin(M$3,M$2,M$5,M$1)),0)),"-")</f>
        <v>0</v>
      </c>
      <c r="N30" s="14" cm="1">
        <f t="array" ref="N30">IFERROR(IF(ROUNDUP((Client_Margin($C30)*Alloted(N$3,N$2,N$5)/Get_Margin(N$3,N$2,N$5,N$1)),0)*Get_Margin(N$3,N$2,N$5,N$1)&gt;((Client_Margin($C30)*Alloted(N$3,N$2,N$5)/Get_Margin(N$3,N$2,N$5,N$1))*Get_Margin(N$3,N$2,N$5,N$1))*$D$3,ROUNDDOWN((Client_Margin($C30)*Alloted(N$3,N$2,N$5)/Get_Margin(N$3,N$2,N$5,N$1)),0),ROUNDUP((Client_Margin($C30)*Alloted(N$3,N$2,N$5)/Get_Margin(N$3,N$2,N$5,N$1)),0)),"-")</f>
        <v>0</v>
      </c>
      <c r="O30" s="41"/>
    </row>
    <row r="31" spans="1:15" x14ac:dyDescent="0.25">
      <c r="A31">
        <f>_xlfn.XLOOKUP(C31,'OI QTY'!$O$5:$O$21,'OI QTY'!$N$5:$N$21,"")</f>
        <v>0</v>
      </c>
      <c r="B31">
        <f t="shared" si="2"/>
        <v>0</v>
      </c>
      <c r="C31" s="14"/>
      <c r="D31" s="14"/>
      <c r="E31" s="15">
        <f>SUM(F31:O31)</f>
        <v>0.96216216216216222</v>
      </c>
      <c r="F31" s="15" t="str" cm="1">
        <f t="array" ref="F31">IFERROR((_xlfn._xlws.FILTER(INDEX(Margin[],0,MATCH(F$1&amp;"_"&amp;F$3,Margin[#Headers],0)),(Margin[Index]=F$2)*(Margin[Strategy]=F$5))*F30)/Client_Margin($C30),"-")</f>
        <v>-</v>
      </c>
      <c r="G31" s="15" cm="1">
        <f t="array" ref="G31">IFERROR((_xlfn._xlws.FILTER(INDEX(Margin[],0,MATCH(G$1&amp;"_"&amp;G$3,Margin[#Headers],0)),(Margin[Index]=G$2)*(Margin[Strategy]=G$5))*G30)/Client_Margin($C30),"-")</f>
        <v>5.1891891891891889E-2</v>
      </c>
      <c r="H31" s="15" cm="1">
        <f t="array" ref="H31">IFERROR((_xlfn._xlws.FILTER(INDEX(Margin[],0,MATCH(H$1&amp;"_"&amp;H$3,Margin[#Headers],0)),(Margin[Index]=H$2)*(Margin[Strategy]=H$5))*H30)/Client_Margin($C30),"-")</f>
        <v>0.11286486486486487</v>
      </c>
      <c r="I31" s="15" cm="1">
        <f t="array" ref="I31">IFERROR((_xlfn._xlws.FILTER(INDEX(Margin[],0,MATCH(I$1&amp;"_"&amp;I$3,Margin[#Headers],0)),(Margin[Index]=I$2)*(Margin[Strategy]=I$5))*I30)/Client_Margin($C30),"-")</f>
        <v>0.10118918918918919</v>
      </c>
      <c r="J31" s="15" cm="1">
        <f t="array" ref="J31">IFERROR((_xlfn._xlws.FILTER(INDEX(Margin[],0,MATCH(J$1&amp;"_"&amp;J$3,Margin[#Headers],0)),(Margin[Index]=J$2)*(Margin[Strategy]=J$5))*J30)/Client_Margin($C30),"-")</f>
        <v>8.6486486486486491E-2</v>
      </c>
      <c r="K31" s="15" cm="1">
        <f t="array" ref="K31">IFERROR((_xlfn._xlws.FILTER(INDEX(Margin[],0,MATCH(K$1&amp;"_"&amp;K$3,Margin[#Headers],0)),(Margin[Index]=K$2)*(Margin[Strategy]=K$5))*K30)/Client_Margin($C30),"-")</f>
        <v>0.14270270270270272</v>
      </c>
      <c r="L31" s="15" cm="1">
        <f t="array" ref="L31">IFERROR((_xlfn._xlws.FILTER(INDEX(Margin[],0,MATCH(L$1&amp;"_"&amp;L$3,Margin[#Headers],0)),(Margin[Index]=L$2)*(Margin[Strategy]=L$5))*L30)/Client_Margin($C30),"-")</f>
        <v>0.46702702702702703</v>
      </c>
      <c r="M31" s="15" cm="1">
        <f t="array" ref="M31">IFERROR((_xlfn._xlws.FILTER(INDEX(Margin[],0,MATCH(M$1&amp;"_"&amp;M$3,Margin[#Headers],0)),(Margin[Index]=M$2)*(Margin[Strategy]=M$5))*M30)/Client_Margin($C30),"-")</f>
        <v>0</v>
      </c>
      <c r="N31" s="15" cm="1">
        <f t="array" ref="N31">IFERROR((_xlfn._xlws.FILTER(INDEX(Margin[],0,MATCH(N$1&amp;"_"&amp;N$3,Margin[#Headers],0)),(Margin[Index]=N$2)*(Margin[Strategy]=N$5))*N30)/Client_Margin($C30),"-")</f>
        <v>0</v>
      </c>
      <c r="O31" s="15" cm="1">
        <f t="array" ref="O31">IFERROR((_xlfn._xlws.FILTER(INDEX(Margin[],0,MATCH(O$1&amp;"_"&amp;O$3,Margin[#Headers],0)),(Margin[Index]=O$2)*(Margin[Strategy]=O$5))*O30)/Client_Margin($C30),"-")</f>
        <v>0</v>
      </c>
    </row>
    <row r="32" spans="1:15" x14ac:dyDescent="0.25">
      <c r="A32" t="str">
        <f>_xlfn.XLOOKUP(C32,'OI QTY'!$O$5:$O$21,'OI QTY'!$N$5:$N$21,"")</f>
        <v>K</v>
      </c>
      <c r="B32">
        <f t="shared" ref="B32:B43" si="3">IF(C32="",0,1)</f>
        <v>1</v>
      </c>
      <c r="C32" s="14" t="s">
        <v>130</v>
      </c>
      <c r="D32" s="14" cm="1">
        <f t="array" ref="D32">(_xlfn._xlws.FILTER(Fund[Margin],Fund[Client Id]=C32))/10000000</f>
        <v>1.8</v>
      </c>
      <c r="E32" s="17"/>
      <c r="F32" s="14" t="str" cm="1">
        <f t="array" ref="F32">IFERROR(IF(ROUNDUP((Client_Margin($C32)*Alloted(F$3,F$2,F$5)/Get_Margin(F$3,F$2,F$5,F$1)),0)*Get_Margin(F$3,F$2,F$5,F$1)&gt;((Client_Margin($C32)*Alloted(F$3,F$2,F$5)/Get_Margin(F$3,F$2,F$5,F$1))*Get_Margin(F$3,F$2,F$5,F$1))*$D$3,ROUNDDOWN((Client_Margin($C32)*Alloted(F$3,F$2,F$5)/Get_Margin(F$3,F$2,F$5,F$1)),0),ROUNDUP((Client_Margin($C32)*Alloted(F$3,F$2,F$5)/Get_Margin(F$3,F$2,F$5,F$1)),0)),"-")</f>
        <v>-</v>
      </c>
      <c r="G32" s="14" cm="1">
        <f t="array" ref="G32">IFERROR(IF(ROUNDUP((Client_Margin($C32)*Alloted(G$3,G$2,G$5)/Get_Margin(G$3,G$2,G$5,G$1)),0)*Get_Margin(G$3,G$2,G$5,G$1)&gt;((Client_Margin($C32)*Alloted(G$3,G$2,G$5)/Get_Margin(G$3,G$2,G$5,G$1))*Get_Margin(G$3,G$2,G$5,G$1))*$D$3,ROUNDDOWN((Client_Margin($C32)*Alloted(G$3,G$2,G$5)/Get_Margin(G$3,G$2,G$5,G$1)),0),ROUNDUP((Client_Margin($C32)*Alloted(G$3,G$2,G$5)/Get_Margin(G$3,G$2,G$5,G$1)),0)),"-")</f>
        <v>6</v>
      </c>
      <c r="H32" s="14" cm="1">
        <f t="array" ref="H32">IFERROR(IF(ROUNDUP((Client_Margin($C32)*Alloted(H$3,H$2,H$5)/Get_Margin(H$3,H$2,H$5,H$1)),0)*Get_Margin(H$3,H$2,H$5,H$1)&gt;((Client_Margin($C32)*Alloted(H$3,H$2,H$5)/Get_Margin(H$3,H$2,H$5,H$1))*Get_Margin(H$3,H$2,H$5,H$1))*$D$3,ROUNDDOWN((Client_Margin($C32)*Alloted(H$3,H$2,H$5)/Get_Margin(H$3,H$2,H$5,H$1)),0),ROUNDUP((Client_Margin($C32)*Alloted(H$3,H$2,H$5)/Get_Margin(H$3,H$2,H$5,H$1)),0)),"-")</f>
        <v>2</v>
      </c>
      <c r="I32" s="14" cm="1">
        <f t="array" ref="I32">IFERROR(IF(ROUNDUP((Client_Margin($C32)*Alloted(I$3,I$2,I$5)/Get_Margin(I$3,I$2,I$5,I$1)),0)*Get_Margin(I$3,I$2,I$5,I$1)&gt;((Client_Margin($C32)*Alloted(I$3,I$2,I$5)/Get_Margin(I$3,I$2,I$5,I$1))*Get_Margin(I$3,I$2,I$5,I$1))*$D$3,ROUNDDOWN((Client_Margin($C32)*Alloted(I$3,I$2,I$5)/Get_Margin(I$3,I$2,I$5,I$1)),0),ROUNDUP((Client_Margin($C32)*Alloted(I$3,I$2,I$5)/Get_Margin(I$3,I$2,I$5,I$1)),0)),"-")</f>
        <v>1</v>
      </c>
      <c r="J32" s="41">
        <v>1</v>
      </c>
      <c r="K32" s="41">
        <v>1</v>
      </c>
      <c r="L32" s="14" cm="1">
        <f t="array" ref="L32">IFERROR(IF(ROUNDUP((Client_Margin($C32)*Alloted(L$3,L$2,L$5)/Get_Margin(L$3,L$2,L$5,L$1)),0)*Get_Margin(L$3,L$2,L$5,L$1)&gt;((Client_Margin($C32)*Alloted(L$3,L$2,L$5)/Get_Margin(L$3,L$2,L$5,L$1))*Get_Margin(L$3,L$2,L$5,L$1))*$D$3,ROUNDDOWN((Client_Margin($C32)*Alloted(L$3,L$2,L$5)/Get_Margin(L$3,L$2,L$5,L$1)),0),ROUNDUP((Client_Margin($C32)*Alloted(L$3,L$2,L$5)/Get_Margin(L$3,L$2,L$5,L$1)),0)),"-")</f>
        <v>9</v>
      </c>
      <c r="M32" s="14" cm="1">
        <f t="array" ref="M32">IFERROR(IF(ROUNDUP((Client_Margin($C32)*Alloted(M$3,M$2,M$5)/Get_Margin(M$3,M$2,M$5,M$1)),0)*Get_Margin(M$3,M$2,M$5,M$1)&gt;((Client_Margin($C32)*Alloted(M$3,M$2,M$5)/Get_Margin(M$3,M$2,M$5,M$1))*Get_Margin(M$3,M$2,M$5,M$1))*$D$3,ROUNDDOWN((Client_Margin($C32)*Alloted(M$3,M$2,M$5)/Get_Margin(M$3,M$2,M$5,M$1)),0),ROUNDUP((Client_Margin($C32)*Alloted(M$3,M$2,M$5)/Get_Margin(M$3,M$2,M$5,M$1)),0)),"-")</f>
        <v>0</v>
      </c>
      <c r="N32" s="14" cm="1">
        <f t="array" ref="N32">IFERROR(IF(ROUNDUP((Client_Margin($C32)*Alloted(N$3,N$2,N$5)/Get_Margin(N$3,N$2,N$5,N$1)),0)*Get_Margin(N$3,N$2,N$5,N$1)&gt;((Client_Margin($C32)*Alloted(N$3,N$2,N$5)/Get_Margin(N$3,N$2,N$5,N$1))*Get_Margin(N$3,N$2,N$5,N$1))*$D$3,ROUNDDOWN((Client_Margin($C32)*Alloted(N$3,N$2,N$5)/Get_Margin(N$3,N$2,N$5,N$1)),0),ROUNDUP((Client_Margin($C32)*Alloted(N$3,N$2,N$5)/Get_Margin(N$3,N$2,N$5,N$1)),0)),"-")</f>
        <v>0</v>
      </c>
      <c r="O32" s="41"/>
    </row>
    <row r="33" spans="1:15" x14ac:dyDescent="0.25">
      <c r="A33">
        <f>_xlfn.XLOOKUP(C33,'OI QTY'!$O$5:$O$21,'OI QTY'!$N$5:$N$21,"")</f>
        <v>0</v>
      </c>
      <c r="B33">
        <f t="shared" si="3"/>
        <v>0</v>
      </c>
      <c r="C33" s="14"/>
      <c r="D33" s="14"/>
      <c r="E33" s="15">
        <f>SUM(F33:O33)</f>
        <v>0.9502222222222223</v>
      </c>
      <c r="F33" s="15" t="str" cm="1">
        <f t="array" ref="F33">IFERROR((_xlfn._xlws.FILTER(INDEX(Margin[],0,MATCH(F$1&amp;"_"&amp;F$3,Margin[#Headers],0)),(Margin[Index]=F$2)*(Margin[Strategy]=F$5))*F32)/Client_Margin($C32),"-")</f>
        <v>-</v>
      </c>
      <c r="G33" s="15" cm="1">
        <f t="array" ref="G33">IFERROR((_xlfn._xlws.FILTER(INDEX(Margin[],0,MATCH(G$1&amp;"_"&amp;G$3,Margin[#Headers],0)),(Margin[Index]=G$2)*(Margin[Strategy]=G$5))*G32)/Client_Margin($C32),"-")</f>
        <v>5.3333333333333337E-2</v>
      </c>
      <c r="H33" s="15" cm="1">
        <f t="array" ref="H33">IFERROR((_xlfn._xlws.FILTER(INDEX(Margin[],0,MATCH(H$1&amp;"_"&amp;H$3,Margin[#Headers],0)),(Margin[Index]=H$2)*(Margin[Strategy]=H$5))*H32)/Client_Margin($C32),"-")</f>
        <v>7.7333333333333337E-2</v>
      </c>
      <c r="I33" s="15" cm="1">
        <f t="array" ref="I33">IFERROR((_xlfn._xlws.FILTER(INDEX(Margin[],0,MATCH(I$1&amp;"_"&amp;I$3,Margin[#Headers],0)),(Margin[Index]=I$2)*(Margin[Strategy]=I$5))*I32)/Client_Margin($C32),"-")</f>
        <v>0.104</v>
      </c>
      <c r="J33" s="15" cm="1">
        <f t="array" ref="J33">IFERROR((_xlfn._xlws.FILTER(INDEX(Margin[],0,MATCH(J$1&amp;"_"&amp;J$3,Margin[#Headers],0)),(Margin[Index]=J$2)*(Margin[Strategy]=J$5))*J32)/Client_Margin($C32),"-")</f>
        <v>8.8888888888888892E-2</v>
      </c>
      <c r="K33" s="15" cm="1">
        <f t="array" ref="K33">IFERROR((_xlfn._xlws.FILTER(INDEX(Margin[],0,MATCH(K$1&amp;"_"&amp;K$3,Margin[#Headers],0)),(Margin[Index]=K$2)*(Margin[Strategy]=K$5))*K32)/Client_Margin($C32),"-")</f>
        <v>0.14666666666666667</v>
      </c>
      <c r="L33" s="15" cm="1">
        <f t="array" ref="L33">IFERROR((_xlfn._xlws.FILTER(INDEX(Margin[],0,MATCH(L$1&amp;"_"&amp;L$3,Margin[#Headers],0)),(Margin[Index]=L$2)*(Margin[Strategy]=L$5))*L32)/Client_Margin($C32),"-")</f>
        <v>0.48</v>
      </c>
      <c r="M33" s="15" cm="1">
        <f t="array" ref="M33">IFERROR((_xlfn._xlws.FILTER(INDEX(Margin[],0,MATCH(M$1&amp;"_"&amp;M$3,Margin[#Headers],0)),(Margin[Index]=M$2)*(Margin[Strategy]=M$5))*M32)/Client_Margin($C32),"-")</f>
        <v>0</v>
      </c>
      <c r="N33" s="15" cm="1">
        <f t="array" ref="N33">IFERROR((_xlfn._xlws.FILTER(INDEX(Margin[],0,MATCH(N$1&amp;"_"&amp;N$3,Margin[#Headers],0)),(Margin[Index]=N$2)*(Margin[Strategy]=N$5))*N32)/Client_Margin($C32),"-")</f>
        <v>0</v>
      </c>
      <c r="O33" s="15" cm="1">
        <f t="array" ref="O33">IFERROR((_xlfn._xlws.FILTER(INDEX(Margin[],0,MATCH(O$1&amp;"_"&amp;O$3,Margin[#Headers],0)),(Margin[Index]=O$2)*(Margin[Strategy]=O$5))*O32)/Client_Margin($C32),"-")</f>
        <v>0</v>
      </c>
    </row>
    <row r="34" spans="1:15" x14ac:dyDescent="0.25">
      <c r="A34" t="str">
        <f>_xlfn.XLOOKUP(C34,'OI QTY'!$O$5:$O$21,'OI QTY'!$N$5:$N$21,"")</f>
        <v>K</v>
      </c>
      <c r="B34">
        <f t="shared" si="3"/>
        <v>1</v>
      </c>
      <c r="C34" s="14" t="s">
        <v>113</v>
      </c>
      <c r="D34" s="14" cm="1">
        <f t="array" ref="D34">(_xlfn._xlws.FILTER(Fund[Margin],Fund[Client Id]=C34))/10000000</f>
        <v>1.3</v>
      </c>
      <c r="E34" s="17"/>
      <c r="F34" s="14" t="str" cm="1">
        <f t="array" ref="F34">IFERROR(IF(ROUNDUP((Client_Margin($C34)*Alloted(F$3,F$2,F$5)/Get_Margin(F$3,F$2,F$5,F$1)),0)*Get_Margin(F$3,F$2,F$5,F$1)&gt;((Client_Margin($C34)*Alloted(F$3,F$2,F$5)/Get_Margin(F$3,F$2,F$5,F$1))*Get_Margin(F$3,F$2,F$5,F$1))*$D$3,ROUNDDOWN((Client_Margin($C34)*Alloted(F$3,F$2,F$5)/Get_Margin(F$3,F$2,F$5,F$1)),0),ROUNDUP((Client_Margin($C34)*Alloted(F$3,F$2,F$5)/Get_Margin(F$3,F$2,F$5,F$1)),0)),"-")</f>
        <v>-</v>
      </c>
      <c r="G34" s="14" cm="1">
        <f t="array" ref="G34">IFERROR(IF(ROUNDUP((Client_Margin($C34)*Alloted(G$3,G$2,G$5)/Get_Margin(G$3,G$2,G$5,G$1)),0)*Get_Margin(G$3,G$2,G$5,G$1)&gt;((Client_Margin($C34)*Alloted(G$3,G$2,G$5)/Get_Margin(G$3,G$2,G$5,G$1))*Get_Margin(G$3,G$2,G$5,G$1))*$D$3,ROUNDDOWN((Client_Margin($C34)*Alloted(G$3,G$2,G$5)/Get_Margin(G$3,G$2,G$5,G$1)),0),ROUNDUP((Client_Margin($C34)*Alloted(G$3,G$2,G$5)/Get_Margin(G$3,G$2,G$5,G$1)),0)),"-")</f>
        <v>4</v>
      </c>
      <c r="H34" s="14" cm="1">
        <f t="array" ref="H34">IFERROR(IF(ROUNDUP((Client_Margin($C34)*Alloted(H$3,H$2,H$5)/Get_Margin(H$3,H$2,H$5,H$1)),0)*Get_Margin(H$3,H$2,H$5,H$1)&gt;((Client_Margin($C34)*Alloted(H$3,H$2,H$5)/Get_Margin(H$3,H$2,H$5,H$1))*Get_Margin(H$3,H$2,H$5,H$1))*$D$3,ROUNDDOWN((Client_Margin($C34)*Alloted(H$3,H$2,H$5)/Get_Margin(H$3,H$2,H$5,H$1)),0),ROUNDUP((Client_Margin($C34)*Alloted(H$3,H$2,H$5)/Get_Margin(H$3,H$2,H$5,H$1)),0)),"-")</f>
        <v>2</v>
      </c>
      <c r="I34" s="41">
        <v>1</v>
      </c>
      <c r="J34" s="41">
        <v>1</v>
      </c>
      <c r="K34" s="41">
        <v>1</v>
      </c>
      <c r="L34" s="14" cm="1">
        <f t="array" ref="L34">IFERROR(IF(ROUNDUP((Client_Margin($C34)*Alloted(L$3,L$2,L$5)/Get_Margin(L$3,L$2,L$5,L$1)),0)*Get_Margin(L$3,L$2,L$5,L$1)&gt;((Client_Margin($C34)*Alloted(L$3,L$2,L$5)/Get_Margin(L$3,L$2,L$5,L$1))*Get_Margin(L$3,L$2,L$5,L$1))*$D$3,ROUNDDOWN((Client_Margin($C34)*Alloted(L$3,L$2,L$5)/Get_Margin(L$3,L$2,L$5,L$1)),0),ROUNDUP((Client_Margin($C34)*Alloted(L$3,L$2,L$5)/Get_Margin(L$3,L$2,L$5,L$1)),0)),"-")</f>
        <v>7</v>
      </c>
      <c r="M34" s="14" cm="1">
        <f t="array" ref="M34">IFERROR(IF(ROUNDUP((Client_Margin($C34)*Alloted(M$3,M$2,M$5)/Get_Margin(M$3,M$2,M$5,M$1)),0)*Get_Margin(M$3,M$2,M$5,M$1)&gt;((Client_Margin($C34)*Alloted(M$3,M$2,M$5)/Get_Margin(M$3,M$2,M$5,M$1))*Get_Margin(M$3,M$2,M$5,M$1))*$D$3,ROUNDDOWN((Client_Margin($C34)*Alloted(M$3,M$2,M$5)/Get_Margin(M$3,M$2,M$5,M$1)),0),ROUNDUP((Client_Margin($C34)*Alloted(M$3,M$2,M$5)/Get_Margin(M$3,M$2,M$5,M$1)),0)),"-")</f>
        <v>0</v>
      </c>
      <c r="N34" s="14" cm="1">
        <f t="array" ref="N34">IFERROR(IF(ROUNDUP((Client_Margin($C34)*Alloted(N$3,N$2,N$5)/Get_Margin(N$3,N$2,N$5,N$1)),0)*Get_Margin(N$3,N$2,N$5,N$1)&gt;((Client_Margin($C34)*Alloted(N$3,N$2,N$5)/Get_Margin(N$3,N$2,N$5,N$1))*Get_Margin(N$3,N$2,N$5,N$1))*$D$3,ROUNDDOWN((Client_Margin($C34)*Alloted(N$3,N$2,N$5)/Get_Margin(N$3,N$2,N$5,N$1)),0),ROUNDUP((Client_Margin($C34)*Alloted(N$3,N$2,N$5)/Get_Margin(N$3,N$2,N$5,N$1)),0)),"-")</f>
        <v>0</v>
      </c>
      <c r="O34" s="41"/>
    </row>
    <row r="35" spans="1:15" x14ac:dyDescent="0.25">
      <c r="A35">
        <f>_xlfn.XLOOKUP(C35,'OI QTY'!$O$5:$O$21,'OI QTY'!$N$5:$N$21,"")</f>
        <v>0</v>
      </c>
      <c r="B35">
        <f t="shared" si="3"/>
        <v>0</v>
      </c>
      <c r="C35" s="14"/>
      <c r="D35" s="14"/>
      <c r="E35" s="15">
        <f>SUM(F35:O35)</f>
        <v>1.1433846153846154</v>
      </c>
      <c r="F35" s="15" t="str" cm="1">
        <f t="array" ref="F35">IFERROR((_xlfn._xlws.FILTER(INDEX(Margin[],0,MATCH(F$1&amp;"_"&amp;F$3,Margin[#Headers],0)),(Margin[Index]=F$2)*(Margin[Strategy]=F$5))*F34)/Client_Margin($C34),"-")</f>
        <v>-</v>
      </c>
      <c r="G35" s="15" cm="1">
        <f t="array" ref="G35">IFERROR((_xlfn._xlws.FILTER(INDEX(Margin[],0,MATCH(G$1&amp;"_"&amp;G$3,Margin[#Headers],0)),(Margin[Index]=G$2)*(Margin[Strategy]=G$5))*G34)/Client_Margin($C34),"-")</f>
        <v>4.9230769230769231E-2</v>
      </c>
      <c r="H35" s="15" cm="1">
        <f t="array" ref="H35">IFERROR((_xlfn._xlws.FILTER(INDEX(Margin[],0,MATCH(H$1&amp;"_"&amp;H$3,Margin[#Headers],0)),(Margin[Index]=H$2)*(Margin[Strategy]=H$5))*H34)/Client_Margin($C34),"-")</f>
        <v>0.10707692307692308</v>
      </c>
      <c r="I35" s="15" cm="1">
        <f t="array" ref="I35">IFERROR((_xlfn._xlws.FILTER(INDEX(Margin[],0,MATCH(I$1&amp;"_"&amp;I$3,Margin[#Headers],0)),(Margin[Index]=I$2)*(Margin[Strategy]=I$5))*I34)/Client_Margin($C34),"-")</f>
        <v>0.14399999999999999</v>
      </c>
      <c r="J35" s="15" cm="1">
        <f t="array" ref="J35">IFERROR((_xlfn._xlws.FILTER(INDEX(Margin[],0,MATCH(J$1&amp;"_"&amp;J$3,Margin[#Headers],0)),(Margin[Index]=J$2)*(Margin[Strategy]=J$5))*J34)/Client_Margin($C34),"-")</f>
        <v>0.12307692307692308</v>
      </c>
      <c r="K35" s="15" cm="1">
        <f t="array" ref="K35">IFERROR((_xlfn._xlws.FILTER(INDEX(Margin[],0,MATCH(K$1&amp;"_"&amp;K$3,Margin[#Headers],0)),(Margin[Index]=K$2)*(Margin[Strategy]=K$5))*K34)/Client_Margin($C34),"-")</f>
        <v>0.20307692307692307</v>
      </c>
      <c r="L35" s="15" cm="1">
        <f t="array" ref="L35">IFERROR((_xlfn._xlws.FILTER(INDEX(Margin[],0,MATCH(L$1&amp;"_"&amp;L$3,Margin[#Headers],0)),(Margin[Index]=L$2)*(Margin[Strategy]=L$5))*L34)/Client_Margin($C34),"-")</f>
        <v>0.51692307692307693</v>
      </c>
      <c r="M35" s="15" cm="1">
        <f t="array" ref="M35">IFERROR((_xlfn._xlws.FILTER(INDEX(Margin[],0,MATCH(M$1&amp;"_"&amp;M$3,Margin[#Headers],0)),(Margin[Index]=M$2)*(Margin[Strategy]=M$5))*M34)/Client_Margin($C34),"-")</f>
        <v>0</v>
      </c>
      <c r="N35" s="15" cm="1">
        <f t="array" ref="N35">IFERROR((_xlfn._xlws.FILTER(INDEX(Margin[],0,MATCH(N$1&amp;"_"&amp;N$3,Margin[#Headers],0)),(Margin[Index]=N$2)*(Margin[Strategy]=N$5))*N34)/Client_Margin($C34),"-")</f>
        <v>0</v>
      </c>
      <c r="O35" s="15" cm="1">
        <f t="array" ref="O35">IFERROR((_xlfn._xlws.FILTER(INDEX(Margin[],0,MATCH(O$1&amp;"_"&amp;O$3,Margin[#Headers],0)),(Margin[Index]=O$2)*(Margin[Strategy]=O$5))*O34)/Client_Margin($C34),"-")</f>
        <v>0</v>
      </c>
    </row>
    <row r="36" spans="1:15" x14ac:dyDescent="0.25">
      <c r="A36" t="str">
        <f>_xlfn.XLOOKUP(C36,'OI QTY'!$O$5:$O$21,'OI QTY'!$N$5:$N$21,"")</f>
        <v/>
      </c>
      <c r="B36">
        <f t="shared" si="3"/>
        <v>1</v>
      </c>
      <c r="C36" s="14" t="s">
        <v>38</v>
      </c>
      <c r="D36" s="14" cm="1">
        <f t="array" ref="D36">(_xlfn._xlws.FILTER(Fund[Margin],Fund[Client Id]=C36))/10000000</f>
        <v>1.5</v>
      </c>
      <c r="E36" s="17"/>
      <c r="F36" s="14" t="str" cm="1">
        <f t="array" ref="F36">IFERROR(IF(ROUNDUP((Client_Margin($C36)*Alloted(F$3,F$2,F$5)/Get_Margin(F$3,F$2,F$5,F$1)),0)*Get_Margin(F$3,F$2,F$5,F$1)&gt;((Client_Margin($C36)*Alloted(F$3,F$2,F$5)/Get_Margin(F$3,F$2,F$5,F$1))*Get_Margin(F$3,F$2,F$5,F$1))*$D$3,ROUNDDOWN((Client_Margin($C36)*Alloted(F$3,F$2,F$5)/Get_Margin(F$3,F$2,F$5,F$1)),0),ROUNDUP((Client_Margin($C36)*Alloted(F$3,F$2,F$5)/Get_Margin(F$3,F$2,F$5,F$1)),0)),"-")</f>
        <v>-</v>
      </c>
      <c r="G36" s="14" cm="1">
        <f t="array" ref="G36">IFERROR(IF(ROUNDUP((Client_Margin($C36)*Alloted(G$3,G$2,G$5)/Get_Margin(G$3,G$2,G$5,G$1)),0)*Get_Margin(G$3,G$2,G$5,G$1)&gt;((Client_Margin($C36)*Alloted(G$3,G$2,G$5)/Get_Margin(G$3,G$2,G$5,G$1))*Get_Margin(G$3,G$2,G$5,G$1))*$D$3,ROUNDDOWN((Client_Margin($C36)*Alloted(G$3,G$2,G$5)/Get_Margin(G$3,G$2,G$5,G$1)),0),ROUNDUP((Client_Margin($C36)*Alloted(G$3,G$2,G$5)/Get_Margin(G$3,G$2,G$5,G$1)),0)),"-")</f>
        <v>5</v>
      </c>
      <c r="H36" s="14" cm="1">
        <f t="array" ref="H36">IFERROR(IF(ROUNDUP((Client_Margin($C36)*Alloted(H$3,H$2,H$5)/Get_Margin(H$3,H$2,H$5,H$1)),0)*Get_Margin(H$3,H$2,H$5,H$1)&gt;((Client_Margin($C36)*Alloted(H$3,H$2,H$5)/Get_Margin(H$3,H$2,H$5,H$1))*Get_Margin(H$3,H$2,H$5,H$1))*$D$3,ROUNDDOWN((Client_Margin($C36)*Alloted(H$3,H$2,H$5)/Get_Margin(H$3,H$2,H$5,H$1)),0),ROUNDUP((Client_Margin($C36)*Alloted(H$3,H$2,H$5)/Get_Margin(H$3,H$2,H$5,H$1)),0)),"-")</f>
        <v>2</v>
      </c>
      <c r="I36" s="41">
        <v>1</v>
      </c>
      <c r="J36" s="41">
        <v>1</v>
      </c>
      <c r="K36" s="41">
        <v>0</v>
      </c>
      <c r="L36" s="14" cm="1">
        <f t="array" ref="L36">IFERROR(IF(ROUNDUP((Client_Margin($C36)*Alloted(L$3,L$2,L$5)/Get_Margin(L$3,L$2,L$5,L$1)),0)*Get_Margin(L$3,L$2,L$5,L$1)&gt;((Client_Margin($C36)*Alloted(L$3,L$2,L$5)/Get_Margin(L$3,L$2,L$5,L$1))*Get_Margin(L$3,L$2,L$5,L$1))*$D$3,ROUNDDOWN((Client_Margin($C36)*Alloted(L$3,L$2,L$5)/Get_Margin(L$3,L$2,L$5,L$1)),0),ROUNDUP((Client_Margin($C36)*Alloted(L$3,L$2,L$5)/Get_Margin(L$3,L$2,L$5,L$1)),0)),"-")</f>
        <v>8</v>
      </c>
      <c r="M36" s="14" cm="1">
        <f t="array" ref="M36">IFERROR(IF(ROUNDUP((Client_Margin($C36)*Alloted(M$3,M$2,M$5)/Get_Margin(M$3,M$2,M$5,M$1)),0)*Get_Margin(M$3,M$2,M$5,M$1)&gt;((Client_Margin($C36)*Alloted(M$3,M$2,M$5)/Get_Margin(M$3,M$2,M$5,M$1))*Get_Margin(M$3,M$2,M$5,M$1))*$D$3,ROUNDDOWN((Client_Margin($C36)*Alloted(M$3,M$2,M$5)/Get_Margin(M$3,M$2,M$5,M$1)),0),ROUNDUP((Client_Margin($C36)*Alloted(M$3,M$2,M$5)/Get_Margin(M$3,M$2,M$5,M$1)),0)),"-")</f>
        <v>0</v>
      </c>
      <c r="N36" s="14" cm="1">
        <f t="array" ref="N36">IFERROR(IF(ROUNDUP((Client_Margin($C36)*Alloted(N$3,N$2,N$5)/Get_Margin(N$3,N$2,N$5,N$1)),0)*Get_Margin(N$3,N$2,N$5,N$1)&gt;((Client_Margin($C36)*Alloted(N$3,N$2,N$5)/Get_Margin(N$3,N$2,N$5,N$1))*Get_Margin(N$3,N$2,N$5,N$1))*$D$3,ROUNDDOWN((Client_Margin($C36)*Alloted(N$3,N$2,N$5)/Get_Margin(N$3,N$2,N$5,N$1)),0),ROUNDUP((Client_Margin($C36)*Alloted(N$3,N$2,N$5)/Get_Margin(N$3,N$2,N$5,N$1)),0)),"-")</f>
        <v>0</v>
      </c>
      <c r="O36" s="41"/>
    </row>
    <row r="37" spans="1:15" x14ac:dyDescent="0.25">
      <c r="A37">
        <f>_xlfn.XLOOKUP(C37,'OI QTY'!$O$5:$O$21,'OI QTY'!$N$5:$N$21,"")</f>
        <v>0</v>
      </c>
      <c r="B37">
        <f t="shared" si="3"/>
        <v>0</v>
      </c>
      <c r="C37" s="14"/>
      <c r="D37" s="14"/>
      <c r="E37" s="15">
        <f>SUM(F37:O37)</f>
        <v>0.88960000000000006</v>
      </c>
      <c r="F37" s="15" t="str" cm="1">
        <f t="array" ref="F37">IFERROR((_xlfn._xlws.FILTER(INDEX(Margin[],0,MATCH(F$1&amp;"_"&amp;F$3,Margin[#Headers],0)),(Margin[Index]=F$2)*(Margin[Strategy]=F$5))*F36)/Client_Margin($C36),"-")</f>
        <v>-</v>
      </c>
      <c r="G37" s="15" cm="1">
        <f t="array" ref="G37">IFERROR((_xlfn._xlws.FILTER(INDEX(Margin[],0,MATCH(G$1&amp;"_"&amp;G$3,Margin[#Headers],0)),(Margin[Index]=G$2)*(Margin[Strategy]=G$5))*G36)/Client_Margin($C36),"-")</f>
        <v>5.3333333333333337E-2</v>
      </c>
      <c r="H37" s="15" cm="1">
        <f t="array" ref="H37">IFERROR((_xlfn._xlws.FILTER(INDEX(Margin[],0,MATCH(H$1&amp;"_"&amp;H$3,Margin[#Headers],0)),(Margin[Index]=H$2)*(Margin[Strategy]=H$5))*H36)/Client_Margin($C36),"-")</f>
        <v>9.2799999999999994E-2</v>
      </c>
      <c r="I37" s="15" cm="1">
        <f t="array" ref="I37">IFERROR((_xlfn._xlws.FILTER(INDEX(Margin[],0,MATCH(I$1&amp;"_"&amp;I$3,Margin[#Headers],0)),(Margin[Index]=I$2)*(Margin[Strategy]=I$5))*I36)/Client_Margin($C36),"-")</f>
        <v>0.12479999999999999</v>
      </c>
      <c r="J37" s="15" cm="1">
        <f t="array" ref="J37">IFERROR((_xlfn._xlws.FILTER(INDEX(Margin[],0,MATCH(J$1&amp;"_"&amp;J$3,Margin[#Headers],0)),(Margin[Index]=J$2)*(Margin[Strategy]=J$5))*J36)/Client_Margin($C36),"-")</f>
        <v>0.10666666666666667</v>
      </c>
      <c r="K37" s="15" cm="1">
        <f t="array" ref="K37">IFERROR((_xlfn._xlws.FILTER(INDEX(Margin[],0,MATCH(K$1&amp;"_"&amp;K$3,Margin[#Headers],0)),(Margin[Index]=K$2)*(Margin[Strategy]=K$5))*K36)/Client_Margin($C36),"-")</f>
        <v>0</v>
      </c>
      <c r="L37" s="15" cm="1">
        <f t="array" ref="L37">IFERROR((_xlfn._xlws.FILTER(INDEX(Margin[],0,MATCH(L$1&amp;"_"&amp;L$3,Margin[#Headers],0)),(Margin[Index]=L$2)*(Margin[Strategy]=L$5))*L36)/Client_Margin($C36),"-")</f>
        <v>0.51200000000000001</v>
      </c>
      <c r="M37" s="15" cm="1">
        <f t="array" ref="M37">IFERROR((_xlfn._xlws.FILTER(INDEX(Margin[],0,MATCH(M$1&amp;"_"&amp;M$3,Margin[#Headers],0)),(Margin[Index]=M$2)*(Margin[Strategy]=M$5))*M36)/Client_Margin($C36),"-")</f>
        <v>0</v>
      </c>
      <c r="N37" s="15" cm="1">
        <f t="array" ref="N37">IFERROR((_xlfn._xlws.FILTER(INDEX(Margin[],0,MATCH(N$1&amp;"_"&amp;N$3,Margin[#Headers],0)),(Margin[Index]=N$2)*(Margin[Strategy]=N$5))*N36)/Client_Margin($C36),"-")</f>
        <v>0</v>
      </c>
      <c r="O37" s="15" cm="1">
        <f t="array" ref="O37">IFERROR((_xlfn._xlws.FILTER(INDEX(Margin[],0,MATCH(O$1&amp;"_"&amp;O$3,Margin[#Headers],0)),(Margin[Index]=O$2)*(Margin[Strategy]=O$5))*O36)/Client_Margin($C36),"-")</f>
        <v>0</v>
      </c>
    </row>
    <row r="38" spans="1:15" x14ac:dyDescent="0.25">
      <c r="A38" t="str">
        <f>_xlfn.XLOOKUP(C38,'OI QTY'!$O$5:$O$21,'OI QTY'!$N$5:$N$21,"")</f>
        <v>K</v>
      </c>
      <c r="B38">
        <f t="shared" si="3"/>
        <v>1</v>
      </c>
      <c r="C38" s="14" t="s">
        <v>121</v>
      </c>
      <c r="D38" s="49" cm="1">
        <f t="array" ref="D38">(_xlfn._xlws.FILTER(Fund[Margin],Fund[Client Id]=C38))/10000000</f>
        <v>1.6</v>
      </c>
      <c r="E38" s="17"/>
      <c r="F38" s="14" t="str" cm="1">
        <f t="array" ref="F38">IFERROR(IF(ROUNDUP((Client_Margin($C38)*Alloted(F$3,F$2,F$5)/Get_Margin(F$3,F$2,F$5,F$1)),0)*Get_Margin(F$3,F$2,F$5,F$1)&gt;((Client_Margin($C38)*Alloted(F$3,F$2,F$5)/Get_Margin(F$3,F$2,F$5,F$1))*Get_Margin(F$3,F$2,F$5,F$1))*$D$3,ROUNDDOWN((Client_Margin($C38)*Alloted(F$3,F$2,F$5)/Get_Margin(F$3,F$2,F$5,F$1)),0),ROUNDUP((Client_Margin($C38)*Alloted(F$3,F$2,F$5)/Get_Margin(F$3,F$2,F$5,F$1)),0)),"-")</f>
        <v>-</v>
      </c>
      <c r="G38" s="14" cm="1">
        <f t="array" ref="G38">IFERROR(IF(ROUNDUP((Client_Margin($C38)*Alloted(G$3,G$2,G$5)/Get_Margin(G$3,G$2,G$5,G$1)),0)*Get_Margin(G$3,G$2,G$5,G$1)&gt;((Client_Margin($C38)*Alloted(G$3,G$2,G$5)/Get_Margin(G$3,G$2,G$5,G$1))*Get_Margin(G$3,G$2,G$5,G$1))*$D$3,ROUNDDOWN((Client_Margin($C38)*Alloted(G$3,G$2,G$5)/Get_Margin(G$3,G$2,G$5,G$1)),0),ROUNDUP((Client_Margin($C38)*Alloted(G$3,G$2,G$5)/Get_Margin(G$3,G$2,G$5,G$1)),0)),"-")</f>
        <v>5</v>
      </c>
      <c r="H38" s="14" cm="1">
        <f t="array" ref="H38">IFERROR(IF(ROUNDUP((Client_Margin($C38)*Alloted(H$3,H$2,H$5)/Get_Margin(H$3,H$2,H$5,H$1)),0)*Get_Margin(H$3,H$2,H$5,H$1)&gt;((Client_Margin($C38)*Alloted(H$3,H$2,H$5)/Get_Margin(H$3,H$2,H$5,H$1))*Get_Margin(H$3,H$2,H$5,H$1))*$D$3,ROUNDDOWN((Client_Margin($C38)*Alloted(H$3,H$2,H$5)/Get_Margin(H$3,H$2,H$5,H$1)),0),ROUNDUP((Client_Margin($C38)*Alloted(H$3,H$2,H$5)/Get_Margin(H$3,H$2,H$5,H$1)),0)),"-")</f>
        <v>2</v>
      </c>
      <c r="I38" s="41">
        <v>1</v>
      </c>
      <c r="J38" s="41">
        <v>1</v>
      </c>
      <c r="K38" s="41">
        <v>0</v>
      </c>
      <c r="L38" s="14" cm="1">
        <f t="array" ref="L38">IFERROR(IF(ROUNDUP((Client_Margin($C38)*Alloted(L$3,L$2,L$5)/Get_Margin(L$3,L$2,L$5,L$1)),0)*Get_Margin(L$3,L$2,L$5,L$1)&gt;((Client_Margin($C38)*Alloted(L$3,L$2,L$5)/Get_Margin(L$3,L$2,L$5,L$1))*Get_Margin(L$3,L$2,L$5,L$1))*$D$3,ROUNDDOWN((Client_Margin($C38)*Alloted(L$3,L$2,L$5)/Get_Margin(L$3,L$2,L$5,L$1)),0),ROUNDUP((Client_Margin($C38)*Alloted(L$3,L$2,L$5)/Get_Margin(L$3,L$2,L$5,L$1)),0)),"-")</f>
        <v>8</v>
      </c>
      <c r="M38" s="14" cm="1">
        <f t="array" ref="M38">IFERROR(IF(ROUNDUP((Client_Margin($C38)*Alloted(M$3,M$2,M$5)/Get_Margin(M$3,M$2,M$5,M$1)),0)*Get_Margin(M$3,M$2,M$5,M$1)&gt;((Client_Margin($C38)*Alloted(M$3,M$2,M$5)/Get_Margin(M$3,M$2,M$5,M$1))*Get_Margin(M$3,M$2,M$5,M$1))*$D$3,ROUNDDOWN((Client_Margin($C38)*Alloted(M$3,M$2,M$5)/Get_Margin(M$3,M$2,M$5,M$1)),0),ROUNDUP((Client_Margin($C38)*Alloted(M$3,M$2,M$5)/Get_Margin(M$3,M$2,M$5,M$1)),0)),"-")</f>
        <v>0</v>
      </c>
      <c r="N38" s="14" cm="1">
        <f t="array" ref="N38">IFERROR(IF(ROUNDUP((Client_Margin($C38)*Alloted(N$3,N$2,N$5)/Get_Margin(N$3,N$2,N$5,N$1)),0)*Get_Margin(N$3,N$2,N$5,N$1)&gt;((Client_Margin($C38)*Alloted(N$3,N$2,N$5)/Get_Margin(N$3,N$2,N$5,N$1))*Get_Margin(N$3,N$2,N$5,N$1))*$D$3,ROUNDDOWN((Client_Margin($C38)*Alloted(N$3,N$2,N$5)/Get_Margin(N$3,N$2,N$5,N$1)),0),ROUNDUP((Client_Margin($C38)*Alloted(N$3,N$2,N$5)/Get_Margin(N$3,N$2,N$5,N$1)),0)),"-")</f>
        <v>0</v>
      </c>
      <c r="O38" s="41"/>
    </row>
    <row r="39" spans="1:15" x14ac:dyDescent="0.25">
      <c r="A39">
        <f>_xlfn.XLOOKUP(C39,'OI QTY'!$O$5:$O$21,'OI QTY'!$N$5:$N$21,"")</f>
        <v>0</v>
      </c>
      <c r="B39">
        <v>0</v>
      </c>
      <c r="C39" s="14"/>
      <c r="D39" s="14"/>
      <c r="E39" s="15">
        <f>SUM(F39:O39)</f>
        <v>0.83399999999999996</v>
      </c>
      <c r="F39" s="15" t="str" cm="1">
        <f t="array" ref="F39">IFERROR((_xlfn._xlws.FILTER(INDEX(Margin[],0,MATCH(F$1&amp;"_"&amp;F$3,Margin[#Headers],0)),(Margin[Index]=F$2)*(Margin[Strategy]=F$5))*F38)/Client_Margin($C38),"-")</f>
        <v>-</v>
      </c>
      <c r="G39" s="15" cm="1">
        <f t="array" ref="G39">IFERROR((_xlfn._xlws.FILTER(INDEX(Margin[],0,MATCH(G$1&amp;"_"&amp;G$3,Margin[#Headers],0)),(Margin[Index]=G$2)*(Margin[Strategy]=G$5))*G38)/Client_Margin($C38),"-")</f>
        <v>0.05</v>
      </c>
      <c r="H39" s="15" cm="1">
        <f t="array" ref="H39">IFERROR((_xlfn._xlws.FILTER(INDEX(Margin[],0,MATCH(H$1&amp;"_"&amp;H$3,Margin[#Headers],0)),(Margin[Index]=H$2)*(Margin[Strategy]=H$5))*H38)/Client_Margin($C38),"-")</f>
        <v>8.6999999999999994E-2</v>
      </c>
      <c r="I39" s="15" cm="1">
        <f t="array" ref="I39">IFERROR((_xlfn._xlws.FILTER(INDEX(Margin[],0,MATCH(I$1&amp;"_"&amp;I$3,Margin[#Headers],0)),(Margin[Index]=I$2)*(Margin[Strategy]=I$5))*I38)/Client_Margin($C38),"-")</f>
        <v>0.11700000000000001</v>
      </c>
      <c r="J39" s="15" cm="1">
        <f t="array" ref="J39">IFERROR((_xlfn._xlws.FILTER(INDEX(Margin[],0,MATCH(J$1&amp;"_"&amp;J$3,Margin[#Headers],0)),(Margin[Index]=J$2)*(Margin[Strategy]=J$5))*J38)/Client_Margin($C38),"-")</f>
        <v>0.1</v>
      </c>
      <c r="K39" s="15" cm="1">
        <f t="array" ref="K39">IFERROR((_xlfn._xlws.FILTER(INDEX(Margin[],0,MATCH(K$1&amp;"_"&amp;K$3,Margin[#Headers],0)),(Margin[Index]=K$2)*(Margin[Strategy]=K$5))*K38)/Client_Margin($C38),"-")</f>
        <v>0</v>
      </c>
      <c r="L39" s="15" cm="1">
        <f t="array" ref="L39">IFERROR((_xlfn._xlws.FILTER(INDEX(Margin[],0,MATCH(L$1&amp;"_"&amp;L$3,Margin[#Headers],0)),(Margin[Index]=L$2)*(Margin[Strategy]=L$5))*L38)/Client_Margin($C38),"-")</f>
        <v>0.48</v>
      </c>
      <c r="M39" s="15" cm="1">
        <f t="array" ref="M39">IFERROR((_xlfn._xlws.FILTER(INDEX(Margin[],0,MATCH(M$1&amp;"_"&amp;M$3,Margin[#Headers],0)),(Margin[Index]=M$2)*(Margin[Strategy]=M$5))*M38)/Client_Margin($C38),"-")</f>
        <v>0</v>
      </c>
      <c r="N39" s="15" cm="1">
        <f t="array" ref="N39">IFERROR((_xlfn._xlws.FILTER(INDEX(Margin[],0,MATCH(N$1&amp;"_"&amp;N$3,Margin[#Headers],0)),(Margin[Index]=N$2)*(Margin[Strategy]=N$5))*N38)/Client_Margin($C38),"-")</f>
        <v>0</v>
      </c>
      <c r="O39" s="15" cm="1">
        <f t="array" ref="O39">IFERROR((_xlfn._xlws.FILTER(INDEX(Margin[],0,MATCH(O$1&amp;"_"&amp;O$3,Margin[#Headers],0)),(Margin[Index]=O$2)*(Margin[Strategy]=O$5))*O38)/Client_Margin($C38),"-")</f>
        <v>0</v>
      </c>
    </row>
    <row r="40" spans="1:15" x14ac:dyDescent="0.25">
      <c r="A40" t="str">
        <f>_xlfn.XLOOKUP(C40,'OI QTY'!$O$5:$O$21,'OI QTY'!$N$5:$N$21,"")</f>
        <v/>
      </c>
      <c r="B40">
        <v>1</v>
      </c>
      <c r="C40" s="14" t="s">
        <v>115</v>
      </c>
      <c r="D40" s="14" cm="1">
        <f t="array" ref="D40">(_xlfn._xlws.FILTER(Fund[Margin],Fund[Client Id]=C40))/10000000</f>
        <v>1.45</v>
      </c>
      <c r="E40" s="17"/>
      <c r="F40" s="14" t="str" cm="1">
        <f t="array" ref="F40">IFERROR(IF(ROUNDUP((Client_Margin($C40)*Alloted(F$3,F$2,F$5)/Get_Margin(F$3,F$2,F$5,F$1)),0)*Get_Margin(F$3,F$2,F$5,F$1)&gt;((Client_Margin($C40)*Alloted(F$3,F$2,F$5)/Get_Margin(F$3,F$2,F$5,F$1))*Get_Margin(F$3,F$2,F$5,F$1))*$D$3,ROUNDDOWN((Client_Margin($C40)*Alloted(F$3,F$2,F$5)/Get_Margin(F$3,F$2,F$5,F$1)),0),ROUNDUP((Client_Margin($C40)*Alloted(F$3,F$2,F$5)/Get_Margin(F$3,F$2,F$5,F$1)),0)),"-")</f>
        <v>-</v>
      </c>
      <c r="G40" s="14" cm="1">
        <f t="array" ref="G40">IFERROR(IF(ROUNDUP((Client_Margin($C40)*Alloted(G$3,G$2,G$5)/Get_Margin(G$3,G$2,G$5,G$1)),0)*Get_Margin(G$3,G$2,G$5,G$1)&gt;((Client_Margin($C40)*Alloted(G$3,G$2,G$5)/Get_Margin(G$3,G$2,G$5,G$1))*Get_Margin(G$3,G$2,G$5,G$1))*$D$3,ROUNDDOWN((Client_Margin($C40)*Alloted(G$3,G$2,G$5)/Get_Margin(G$3,G$2,G$5,G$1)),0),ROUNDUP((Client_Margin($C40)*Alloted(G$3,G$2,G$5)/Get_Margin(G$3,G$2,G$5,G$1)),0)),"-")</f>
        <v>5</v>
      </c>
      <c r="H40" s="14" cm="1">
        <f t="array" ref="H40">IFERROR(IF(ROUNDUP((Client_Margin($C40)*Alloted(H$3,H$2,H$5)/Get_Margin(H$3,H$2,H$5,H$1)),0)*Get_Margin(H$3,H$2,H$5,H$1)&gt;((Client_Margin($C40)*Alloted(H$3,H$2,H$5)/Get_Margin(H$3,H$2,H$5,H$1))*Get_Margin(H$3,H$2,H$5,H$1))*$D$3,ROUNDDOWN((Client_Margin($C40)*Alloted(H$3,H$2,H$5)/Get_Margin(H$3,H$2,H$5,H$1)),0),ROUNDUP((Client_Margin($C40)*Alloted(H$3,H$2,H$5)/Get_Margin(H$3,H$2,H$5,H$1)),0)),"-")</f>
        <v>2</v>
      </c>
      <c r="I40" s="41">
        <v>1</v>
      </c>
      <c r="J40" s="41">
        <v>1</v>
      </c>
      <c r="K40" s="41">
        <v>0</v>
      </c>
      <c r="L40" s="14" cm="1">
        <f t="array" ref="L40">IFERROR(IF(ROUNDUP((Client_Margin($C40)*Alloted(L$3,L$2,L$5)/Get_Margin(L$3,L$2,L$5,L$1)),0)*Get_Margin(L$3,L$2,L$5,L$1)&gt;((Client_Margin($C40)*Alloted(L$3,L$2,L$5)/Get_Margin(L$3,L$2,L$5,L$1))*Get_Margin(L$3,L$2,L$5,L$1))*$D$3,ROUNDDOWN((Client_Margin($C40)*Alloted(L$3,L$2,L$5)/Get_Margin(L$3,L$2,L$5,L$1)),0),ROUNDUP((Client_Margin($C40)*Alloted(L$3,L$2,L$5)/Get_Margin(L$3,L$2,L$5,L$1)),0)),"-")</f>
        <v>7</v>
      </c>
      <c r="M40" s="14" cm="1">
        <f t="array" ref="M40">IFERROR(IF(ROUNDUP((Client_Margin($C40)*Alloted(M$3,M$2,M$5)/Get_Margin(M$3,M$2,M$5,M$1)),0)*Get_Margin(M$3,M$2,M$5,M$1)&gt;((Client_Margin($C40)*Alloted(M$3,M$2,M$5)/Get_Margin(M$3,M$2,M$5,M$1))*Get_Margin(M$3,M$2,M$5,M$1))*$D$3,ROUNDDOWN((Client_Margin($C40)*Alloted(M$3,M$2,M$5)/Get_Margin(M$3,M$2,M$5,M$1)),0),ROUNDUP((Client_Margin($C40)*Alloted(M$3,M$2,M$5)/Get_Margin(M$3,M$2,M$5,M$1)),0)),"-")</f>
        <v>0</v>
      </c>
      <c r="N40" s="14" cm="1">
        <f t="array" ref="N40">IFERROR(IF(ROUNDUP((Client_Margin($C40)*Alloted(N$3,N$2,N$5)/Get_Margin(N$3,N$2,N$5,N$1)),0)*Get_Margin(N$3,N$2,N$5,N$1)&gt;((Client_Margin($C40)*Alloted(N$3,N$2,N$5)/Get_Margin(N$3,N$2,N$5,N$1))*Get_Margin(N$3,N$2,N$5,N$1))*$D$3,ROUNDDOWN((Client_Margin($C40)*Alloted(N$3,N$2,N$5)/Get_Margin(N$3,N$2,N$5,N$1)),0),ROUNDUP((Client_Margin($C40)*Alloted(N$3,N$2,N$5)/Get_Margin(N$3,N$2,N$5,N$1)),0)),"-")</f>
        <v>0</v>
      </c>
      <c r="O40" s="41"/>
    </row>
    <row r="41" spans="1:15" x14ac:dyDescent="0.25">
      <c r="A41">
        <f>_xlfn.XLOOKUP(C41,'OI QTY'!$O$5:$O$21,'OI QTY'!$N$5:$N$21,"")</f>
        <v>0</v>
      </c>
      <c r="B41">
        <v>0</v>
      </c>
      <c r="C41" s="14"/>
      <c r="D41" s="14"/>
      <c r="E41" s="15">
        <f>SUM(F41:O41)</f>
        <v>0.85406896551724132</v>
      </c>
      <c r="F41" s="15" t="str" cm="1">
        <f t="array" ref="F41">IFERROR((_xlfn._xlws.FILTER(INDEX(Margin[],0,MATCH(F$1&amp;"_"&amp;F$3,Margin[#Headers],0)),(Margin[Index]=F$2)*(Margin[Strategy]=F$5))*F40)/Client_Margin($C40),"-")</f>
        <v>-</v>
      </c>
      <c r="G41" s="15" cm="1">
        <f t="array" ref="G41">IFERROR((_xlfn._xlws.FILTER(INDEX(Margin[],0,MATCH(G$1&amp;"_"&amp;G$3,Margin[#Headers],0)),(Margin[Index]=G$2)*(Margin[Strategy]=G$5))*G40)/Client_Margin($C40),"-")</f>
        <v>5.5172413793103448E-2</v>
      </c>
      <c r="H41" s="15" cm="1">
        <f t="array" ref="H41">IFERROR((_xlfn._xlws.FILTER(INDEX(Margin[],0,MATCH(H$1&amp;"_"&amp;H$3,Margin[#Headers],0)),(Margin[Index]=H$2)*(Margin[Strategy]=H$5))*H40)/Client_Margin($C40),"-")</f>
        <v>9.6000000000000002E-2</v>
      </c>
      <c r="I41" s="15" cm="1">
        <f t="array" ref="I41">IFERROR((_xlfn._xlws.FILTER(INDEX(Margin[],0,MATCH(I$1&amp;"_"&amp;I$3,Margin[#Headers],0)),(Margin[Index]=I$2)*(Margin[Strategy]=I$5))*I40)/Client_Margin($C40),"-")</f>
        <v>0.12910344827586206</v>
      </c>
      <c r="J41" s="15" cm="1">
        <f t="array" ref="J41">IFERROR((_xlfn._xlws.FILTER(INDEX(Margin[],0,MATCH(J$1&amp;"_"&amp;J$3,Margin[#Headers],0)),(Margin[Index]=J$2)*(Margin[Strategy]=J$5))*J40)/Client_Margin($C40),"-")</f>
        <v>0.1103448275862069</v>
      </c>
      <c r="K41" s="15" cm="1">
        <f t="array" ref="K41">IFERROR((_xlfn._xlws.FILTER(INDEX(Margin[],0,MATCH(K$1&amp;"_"&amp;K$3,Margin[#Headers],0)),(Margin[Index]=K$2)*(Margin[Strategy]=K$5))*K40)/Client_Margin($C40),"-")</f>
        <v>0</v>
      </c>
      <c r="L41" s="15" cm="1">
        <f t="array" ref="L41">IFERROR((_xlfn._xlws.FILTER(INDEX(Margin[],0,MATCH(L$1&amp;"_"&amp;L$3,Margin[#Headers],0)),(Margin[Index]=L$2)*(Margin[Strategy]=L$5))*L40)/Client_Margin($C40),"-")</f>
        <v>0.46344827586206899</v>
      </c>
      <c r="M41" s="15" cm="1">
        <f t="array" ref="M41">IFERROR((_xlfn._xlws.FILTER(INDEX(Margin[],0,MATCH(M$1&amp;"_"&amp;M$3,Margin[#Headers],0)),(Margin[Index]=M$2)*(Margin[Strategy]=M$5))*M40)/Client_Margin($C40),"-")</f>
        <v>0</v>
      </c>
      <c r="N41" s="15" cm="1">
        <f t="array" ref="N41">IFERROR((_xlfn._xlws.FILTER(INDEX(Margin[],0,MATCH(N$1&amp;"_"&amp;N$3,Margin[#Headers],0)),(Margin[Index]=N$2)*(Margin[Strategy]=N$5))*N40)/Client_Margin($C40),"-")</f>
        <v>0</v>
      </c>
      <c r="O41" s="15" cm="1">
        <f t="array" ref="O41">IFERROR((_xlfn._xlws.FILTER(INDEX(Margin[],0,MATCH(O$1&amp;"_"&amp;O$3,Margin[#Headers],0)),(Margin[Index]=O$2)*(Margin[Strategy]=O$5))*O40)/Client_Margin($C40),"-")</f>
        <v>0</v>
      </c>
    </row>
    <row r="42" spans="1:15" x14ac:dyDescent="0.25">
      <c r="A42" t="str">
        <f>_xlfn.XLOOKUP(C42,'OI QTY'!$O$5:$O$21,'OI QTY'!$N$5:$N$21,"")</f>
        <v/>
      </c>
      <c r="B42">
        <f t="shared" si="3"/>
        <v>1</v>
      </c>
      <c r="C42" s="14" t="s">
        <v>40</v>
      </c>
      <c r="D42" s="14" cm="1">
        <f t="array" ref="D42">(_xlfn._xlws.FILTER(Fund[Margin],Fund[Client Id]=C42))/10000000</f>
        <v>1.3</v>
      </c>
      <c r="E42" s="17"/>
      <c r="F42" s="14" t="str" cm="1">
        <f t="array" ref="F42">IFERROR(IF(ROUNDUP((Client_Margin($C42)*Alloted(F$3,F$2,F$5)/Get_Margin(F$3,F$2,F$5,F$1)),0)*Get_Margin(F$3,F$2,F$5,F$1)&gt;((Client_Margin($C42)*Alloted(F$3,F$2,F$5)/Get_Margin(F$3,F$2,F$5,F$1))*Get_Margin(F$3,F$2,F$5,F$1))*$D$3,ROUNDDOWN((Client_Margin($C42)*Alloted(F$3,F$2,F$5)/Get_Margin(F$3,F$2,F$5,F$1)),0),ROUNDUP((Client_Margin($C42)*Alloted(F$3,F$2,F$5)/Get_Margin(F$3,F$2,F$5,F$1)),0)),"-")</f>
        <v>-</v>
      </c>
      <c r="G42" s="14" cm="1">
        <f t="array" ref="G42">IFERROR(IF(ROUNDUP((Client_Margin($C42)*Alloted(G$3,G$2,G$5)/Get_Margin(G$3,G$2,G$5,G$1)),0)*Get_Margin(G$3,G$2,G$5,G$1)&gt;((Client_Margin($C42)*Alloted(G$3,G$2,G$5)/Get_Margin(G$3,G$2,G$5,G$1))*Get_Margin(G$3,G$2,G$5,G$1))*$D$3,ROUNDDOWN((Client_Margin($C42)*Alloted(G$3,G$2,G$5)/Get_Margin(G$3,G$2,G$5,G$1)),0),ROUNDUP((Client_Margin($C42)*Alloted(G$3,G$2,G$5)/Get_Margin(G$3,G$2,G$5,G$1)),0)),"-")</f>
        <v>4</v>
      </c>
      <c r="H42" s="14" cm="1">
        <f t="array" ref="H42">IFERROR(IF(ROUNDUP((Client_Margin($C42)*Alloted(H$3,H$2,H$5)/Get_Margin(H$3,H$2,H$5,H$1)),0)*Get_Margin(H$3,H$2,H$5,H$1)&gt;((Client_Margin($C42)*Alloted(H$3,H$2,H$5)/Get_Margin(H$3,H$2,H$5,H$1))*Get_Margin(H$3,H$2,H$5,H$1))*$D$3,ROUNDDOWN((Client_Margin($C42)*Alloted(H$3,H$2,H$5)/Get_Margin(H$3,H$2,H$5,H$1)),0),ROUNDUP((Client_Margin($C42)*Alloted(H$3,H$2,H$5)/Get_Margin(H$3,H$2,H$5,H$1)),0)),"-")</f>
        <v>2</v>
      </c>
      <c r="I42" s="41">
        <v>1</v>
      </c>
      <c r="J42" s="41">
        <v>1</v>
      </c>
      <c r="K42" s="41">
        <v>0</v>
      </c>
      <c r="L42" s="14" cm="1">
        <f t="array" ref="L42">IFERROR(IF(ROUNDUP((Client_Margin($C42)*Alloted(L$3,L$2,L$5)/Get_Margin(L$3,L$2,L$5,L$1)),0)*Get_Margin(L$3,L$2,L$5,L$1)&gt;((Client_Margin($C42)*Alloted(L$3,L$2,L$5)/Get_Margin(L$3,L$2,L$5,L$1))*Get_Margin(L$3,L$2,L$5,L$1))*$D$3,ROUNDDOWN((Client_Margin($C42)*Alloted(L$3,L$2,L$5)/Get_Margin(L$3,L$2,L$5,L$1)),0),ROUNDUP((Client_Margin($C42)*Alloted(L$3,L$2,L$5)/Get_Margin(L$3,L$2,L$5,L$1)),0)),"-")</f>
        <v>7</v>
      </c>
      <c r="M42" s="14" cm="1">
        <f t="array" ref="M42">IFERROR(IF(ROUNDUP((Client_Margin($C42)*Alloted(M$3,M$2,M$5)/Get_Margin(M$3,M$2,M$5,M$1)),0)*Get_Margin(M$3,M$2,M$5,M$1)&gt;((Client_Margin($C42)*Alloted(M$3,M$2,M$5)/Get_Margin(M$3,M$2,M$5,M$1))*Get_Margin(M$3,M$2,M$5,M$1))*$D$3,ROUNDDOWN((Client_Margin($C42)*Alloted(M$3,M$2,M$5)/Get_Margin(M$3,M$2,M$5,M$1)),0),ROUNDUP((Client_Margin($C42)*Alloted(M$3,M$2,M$5)/Get_Margin(M$3,M$2,M$5,M$1)),0)),"-")</f>
        <v>0</v>
      </c>
      <c r="N42" s="14" cm="1">
        <f t="array" ref="N42">IFERROR(IF(ROUNDUP((Client_Margin($C42)*Alloted(N$3,N$2,N$5)/Get_Margin(N$3,N$2,N$5,N$1)),0)*Get_Margin(N$3,N$2,N$5,N$1)&gt;((Client_Margin($C42)*Alloted(N$3,N$2,N$5)/Get_Margin(N$3,N$2,N$5,N$1))*Get_Margin(N$3,N$2,N$5,N$1))*$D$3,ROUNDDOWN((Client_Margin($C42)*Alloted(N$3,N$2,N$5)/Get_Margin(N$3,N$2,N$5,N$1)),0),ROUNDUP((Client_Margin($C42)*Alloted(N$3,N$2,N$5)/Get_Margin(N$3,N$2,N$5,N$1)),0)),"-")</f>
        <v>0</v>
      </c>
      <c r="O42" s="41"/>
    </row>
    <row r="43" spans="1:15" x14ac:dyDescent="0.25">
      <c r="A43">
        <f>_xlfn.XLOOKUP(C43,'OI QTY'!$O$5:$O$21,'OI QTY'!$N$5:$N$21,"")</f>
        <v>0</v>
      </c>
      <c r="B43">
        <f t="shared" si="3"/>
        <v>0</v>
      </c>
      <c r="C43" s="14"/>
      <c r="D43" s="14"/>
      <c r="E43" s="15">
        <f>SUM(F43:O43)</f>
        <v>0.94030769230769229</v>
      </c>
      <c r="F43" s="15" t="str" cm="1">
        <f t="array" ref="F43">IFERROR((_xlfn._xlws.FILTER(INDEX(Margin[],0,MATCH(F$1&amp;"_"&amp;F$3,Margin[#Headers],0)),(Margin[Index]=F$2)*(Margin[Strategy]=F$5))*F42)/Client_Margin($C42),"-")</f>
        <v>-</v>
      </c>
      <c r="G43" s="15" cm="1">
        <f t="array" ref="G43">IFERROR((_xlfn._xlws.FILTER(INDEX(Margin[],0,MATCH(G$1&amp;"_"&amp;G$3,Margin[#Headers],0)),(Margin[Index]=G$2)*(Margin[Strategy]=G$5))*G42)/Client_Margin($C42),"-")</f>
        <v>4.9230769230769231E-2</v>
      </c>
      <c r="H43" s="15" cm="1">
        <f t="array" ref="H43">IFERROR((_xlfn._xlws.FILTER(INDEX(Margin[],0,MATCH(H$1&amp;"_"&amp;H$3,Margin[#Headers],0)),(Margin[Index]=H$2)*(Margin[Strategy]=H$5))*H42)/Client_Margin($C42),"-")</f>
        <v>0.10707692307692308</v>
      </c>
      <c r="I43" s="15" cm="1">
        <f t="array" ref="I43">IFERROR((_xlfn._xlws.FILTER(INDEX(Margin[],0,MATCH(I$1&amp;"_"&amp;I$3,Margin[#Headers],0)),(Margin[Index]=I$2)*(Margin[Strategy]=I$5))*I42)/Client_Margin($C42),"-")</f>
        <v>0.14399999999999999</v>
      </c>
      <c r="J43" s="15" cm="1">
        <f t="array" ref="J43">IFERROR((_xlfn._xlws.FILTER(INDEX(Margin[],0,MATCH(J$1&amp;"_"&amp;J$3,Margin[#Headers],0)),(Margin[Index]=J$2)*(Margin[Strategy]=J$5))*J42)/Client_Margin($C42),"-")</f>
        <v>0.12307692307692308</v>
      </c>
      <c r="K43" s="15" cm="1">
        <f t="array" ref="K43">IFERROR((_xlfn._xlws.FILTER(INDEX(Margin[],0,MATCH(K$1&amp;"_"&amp;K$3,Margin[#Headers],0)),(Margin[Index]=K$2)*(Margin[Strategy]=K$5))*K42)/Client_Margin($C42),"-")</f>
        <v>0</v>
      </c>
      <c r="L43" s="15" cm="1">
        <f t="array" ref="L43">IFERROR((_xlfn._xlws.FILTER(INDEX(Margin[],0,MATCH(L$1&amp;"_"&amp;L$3,Margin[#Headers],0)),(Margin[Index]=L$2)*(Margin[Strategy]=L$5))*L42)/Client_Margin($C42),"-")</f>
        <v>0.51692307692307693</v>
      </c>
      <c r="M43" s="15" cm="1">
        <f t="array" ref="M43">IFERROR((_xlfn._xlws.FILTER(INDEX(Margin[],0,MATCH(M$1&amp;"_"&amp;M$3,Margin[#Headers],0)),(Margin[Index]=M$2)*(Margin[Strategy]=M$5))*M42)/Client_Margin($C42),"-")</f>
        <v>0</v>
      </c>
      <c r="N43" s="15" cm="1">
        <f t="array" ref="N43">IFERROR((_xlfn._xlws.FILTER(INDEX(Margin[],0,MATCH(N$1&amp;"_"&amp;N$3,Margin[#Headers],0)),(Margin[Index]=N$2)*(Margin[Strategy]=N$5))*N42)/Client_Margin($C42),"-")</f>
        <v>0</v>
      </c>
      <c r="O43" s="15" cm="1">
        <f t="array" ref="O43">IFERROR((_xlfn._xlws.FILTER(INDEX(Margin[],0,MATCH(O$1&amp;"_"&amp;O$3,Margin[#Headers],0)),(Margin[Index]=O$2)*(Margin[Strategy]=O$5))*O42)/Client_Margin($C42),"-")</f>
        <v>0</v>
      </c>
    </row>
    <row r="49" spans="9:10" x14ac:dyDescent="0.25">
      <c r="I49" s="4"/>
      <c r="J49" s="4"/>
    </row>
    <row r="50" spans="9:10" x14ac:dyDescent="0.25">
      <c r="J50" s="4"/>
    </row>
    <row r="51" spans="9:10" x14ac:dyDescent="0.25">
      <c r="J51" s="4"/>
    </row>
    <row r="52" spans="9:10" x14ac:dyDescent="0.25">
      <c r="I52" s="4"/>
      <c r="J52" s="50"/>
    </row>
    <row r="53" spans="9:10" x14ac:dyDescent="0.25">
      <c r="I53" s="30"/>
      <c r="J53" s="30"/>
    </row>
    <row r="54" spans="9:10" x14ac:dyDescent="0.25">
      <c r="I54" s="4"/>
      <c r="J54" s="4"/>
    </row>
    <row r="55" spans="9:10" x14ac:dyDescent="0.25">
      <c r="I55" s="4"/>
      <c r="J55" s="4"/>
    </row>
    <row r="56" spans="9:10" x14ac:dyDescent="0.25">
      <c r="I56" s="4"/>
      <c r="J56" s="4"/>
    </row>
    <row r="57" spans="9:10" x14ac:dyDescent="0.25">
      <c r="I57" s="4"/>
      <c r="J57" s="4"/>
    </row>
    <row r="58" spans="9:10" x14ac:dyDescent="0.25">
      <c r="I58" s="4"/>
      <c r="J58" s="4"/>
    </row>
    <row r="59" spans="9:10" x14ac:dyDescent="0.25">
      <c r="I59" s="4"/>
      <c r="J59" s="4"/>
    </row>
    <row r="60" spans="9:10" x14ac:dyDescent="0.25">
      <c r="I60" s="4"/>
      <c r="J60" s="4"/>
    </row>
    <row r="61" spans="9:10" x14ac:dyDescent="0.25">
      <c r="I61" s="4"/>
      <c r="J61" s="4"/>
    </row>
    <row r="62" spans="9:10" x14ac:dyDescent="0.25">
      <c r="I62" s="4"/>
      <c r="J62" s="4"/>
    </row>
    <row r="63" spans="9:10" x14ac:dyDescent="0.25">
      <c r="I63" s="4"/>
      <c r="J63" s="4"/>
    </row>
    <row r="64" spans="9:10" x14ac:dyDescent="0.25">
      <c r="I64" s="4"/>
      <c r="J64" s="4"/>
    </row>
    <row r="65" spans="9:10" x14ac:dyDescent="0.25">
      <c r="I65" s="4"/>
      <c r="J65" s="4"/>
    </row>
    <row r="66" spans="9:10" x14ac:dyDescent="0.25">
      <c r="I66" s="4"/>
      <c r="J66" s="4"/>
    </row>
    <row r="67" spans="9:10" x14ac:dyDescent="0.25">
      <c r="I67" s="4"/>
      <c r="J67" s="4"/>
    </row>
    <row r="68" spans="9:10" x14ac:dyDescent="0.25">
      <c r="I68" s="4"/>
      <c r="J68" s="4"/>
    </row>
    <row r="69" spans="9:10" x14ac:dyDescent="0.25">
      <c r="I69" s="4"/>
      <c r="J69" s="4"/>
    </row>
    <row r="70" spans="9:10" x14ac:dyDescent="0.25">
      <c r="I70" s="4"/>
      <c r="J70" s="4"/>
    </row>
    <row r="71" spans="9:10" x14ac:dyDescent="0.25">
      <c r="I71" s="4"/>
      <c r="J71" s="4"/>
    </row>
    <row r="72" spans="9:10" x14ac:dyDescent="0.25">
      <c r="I72" s="4"/>
      <c r="J72" s="4"/>
    </row>
  </sheetData>
  <autoFilter ref="A5:O43" xr:uid="{712466E6-21EF-4A54-B30A-CDD04654CD43}"/>
  <conditionalFormatting sqref="E7:O7">
    <cfRule type="expression" dxfId="58" priority="31">
      <formula>E7&gt;E$4</formula>
    </cfRule>
  </conditionalFormatting>
  <conditionalFormatting sqref="E9:O9">
    <cfRule type="expression" dxfId="57" priority="30">
      <formula>E9&gt;E$4</formula>
    </cfRule>
  </conditionalFormatting>
  <conditionalFormatting sqref="E11:O11">
    <cfRule type="expression" dxfId="56" priority="29">
      <formula>E11&gt;E$4</formula>
    </cfRule>
  </conditionalFormatting>
  <conditionalFormatting sqref="E13:O13 E15:O15">
    <cfRule type="expression" dxfId="55" priority="28">
      <formula>E13&gt;E$4</formula>
    </cfRule>
  </conditionalFormatting>
  <conditionalFormatting sqref="E17:O17">
    <cfRule type="expression" dxfId="54" priority="27">
      <formula>E17&gt;E$4</formula>
    </cfRule>
  </conditionalFormatting>
  <conditionalFormatting sqref="E19:O19 E21:O21">
    <cfRule type="expression" dxfId="53" priority="26">
      <formula>E19&gt;E$4</formula>
    </cfRule>
  </conditionalFormatting>
  <conditionalFormatting sqref="E23:O23">
    <cfRule type="expression" dxfId="52" priority="25">
      <formula>E23&gt;E$4</formula>
    </cfRule>
  </conditionalFormatting>
  <conditionalFormatting sqref="E25:O25">
    <cfRule type="expression" dxfId="51" priority="24">
      <formula>E25&gt;E$4</formula>
    </cfRule>
  </conditionalFormatting>
  <conditionalFormatting sqref="E27:O27">
    <cfRule type="expression" dxfId="50" priority="23">
      <formula>E27&gt;E$4</formula>
    </cfRule>
  </conditionalFormatting>
  <conditionalFormatting sqref="E29:O29">
    <cfRule type="expression" dxfId="49" priority="22">
      <formula>E29&gt;E$4</formula>
    </cfRule>
  </conditionalFormatting>
  <conditionalFormatting sqref="E31:O31">
    <cfRule type="expression" dxfId="48" priority="21">
      <formula>E31&gt;E$4</formula>
    </cfRule>
  </conditionalFormatting>
  <conditionalFormatting sqref="E33:O33">
    <cfRule type="expression" dxfId="47" priority="19">
      <formula>E33&gt;E$4</formula>
    </cfRule>
  </conditionalFormatting>
  <conditionalFormatting sqref="E35:O35">
    <cfRule type="expression" dxfId="46" priority="18">
      <formula>E35&gt;E$4</formula>
    </cfRule>
  </conditionalFormatting>
  <conditionalFormatting sqref="E37:O37 E39:O39 E41:O41">
    <cfRule type="expression" dxfId="45" priority="17">
      <formula>E37&gt;E$4</formula>
    </cfRule>
  </conditionalFormatting>
  <conditionalFormatting sqref="E43:O43">
    <cfRule type="expression" dxfId="44" priority="16">
      <formula>E43&gt;E$4</formula>
    </cfRule>
  </conditionalFormatting>
  <dataValidations disablePrompts="1" count="2">
    <dataValidation type="list" allowBlank="1" showInputMessage="1" showErrorMessage="1" sqref="F1:O1" xr:uid="{23488071-82C1-411E-BA1D-F8E90B1D1AA1}">
      <formula1>"Expiry,N.Expiry"</formula1>
    </dataValidation>
    <dataValidation type="list" allowBlank="1" showInputMessage="1" showErrorMessage="1" sqref="F3:O3" xr:uid="{4CF8309E-F218-43AE-B3EE-5309E133F00F}">
      <formula1>"W.O.H,W.H"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546E-8EC4-4203-8C4F-856A90DBF75E}">
  <sheetPr codeName="Sheet4" filterMode="1"/>
  <dimension ref="A1:U43"/>
  <sheetViews>
    <sheetView zoomScale="90" zoomScaleNormal="90" workbookViewId="0">
      <selection activeCell="H54" sqref="H54"/>
    </sheetView>
  </sheetViews>
  <sheetFormatPr defaultRowHeight="15" x14ac:dyDescent="0.25"/>
  <cols>
    <col min="1" max="1" width="4.140625" customWidth="1"/>
    <col min="2" max="2" width="2.7109375" customWidth="1"/>
    <col min="3" max="3" width="13.5703125" style="4" bestFit="1" customWidth="1"/>
    <col min="4" max="4" width="10" style="4" bestFit="1" customWidth="1"/>
    <col min="5" max="5" width="7.140625" bestFit="1" customWidth="1"/>
    <col min="6" max="6" width="8.140625" bestFit="1" customWidth="1"/>
    <col min="7" max="7" width="7.5703125" bestFit="1" customWidth="1"/>
    <col min="8" max="10" width="16.85546875" bestFit="1" customWidth="1"/>
    <col min="11" max="11" width="13" bestFit="1" customWidth="1"/>
    <col min="12" max="12" width="12.85546875" bestFit="1" customWidth="1"/>
    <col min="13" max="13" width="13.7109375" bestFit="1" customWidth="1"/>
    <col min="14" max="14" width="15.28515625" bestFit="1" customWidth="1"/>
    <col min="15" max="15" width="15.140625" bestFit="1" customWidth="1"/>
    <col min="17" max="17" width="15.28515625" bestFit="1" customWidth="1"/>
  </cols>
  <sheetData>
    <row r="1" spans="1:21" x14ac:dyDescent="0.25">
      <c r="F1" s="4" t="s">
        <v>105</v>
      </c>
      <c r="G1" s="4" t="s">
        <v>104</v>
      </c>
      <c r="H1" s="4" t="s">
        <v>105</v>
      </c>
      <c r="I1" s="4" t="s">
        <v>105</v>
      </c>
      <c r="J1" s="4" t="s">
        <v>105</v>
      </c>
      <c r="K1" s="4" t="s">
        <v>105</v>
      </c>
      <c r="L1" s="4" t="s">
        <v>105</v>
      </c>
      <c r="M1" s="4" t="s">
        <v>105</v>
      </c>
      <c r="N1" s="4" t="s">
        <v>105</v>
      </c>
      <c r="O1" s="4" t="s">
        <v>105</v>
      </c>
    </row>
    <row r="2" spans="1:21" x14ac:dyDescent="0.25">
      <c r="C2"/>
      <c r="D2"/>
      <c r="F2" s="4" t="s">
        <v>14</v>
      </c>
      <c r="G2" s="4" t="s">
        <v>15</v>
      </c>
      <c r="H2" s="4" t="s">
        <v>15</v>
      </c>
      <c r="I2" s="4" t="s">
        <v>81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  <c r="O2" s="4" t="s">
        <v>14</v>
      </c>
    </row>
    <row r="3" spans="1:21" x14ac:dyDescent="0.25">
      <c r="C3"/>
      <c r="D3">
        <v>1.1499999999999999</v>
      </c>
      <c r="F3" s="4" t="s">
        <v>103</v>
      </c>
      <c r="G3" s="4" t="s">
        <v>103</v>
      </c>
      <c r="H3" s="4" t="s">
        <v>103</v>
      </c>
      <c r="I3" s="4" t="s">
        <v>102</v>
      </c>
      <c r="J3" s="4" t="s">
        <v>103</v>
      </c>
      <c r="K3" s="4" t="s">
        <v>103</v>
      </c>
      <c r="L3" s="4" t="s">
        <v>103</v>
      </c>
      <c r="M3" s="4" t="s">
        <v>103</v>
      </c>
      <c r="N3" s="4" t="s">
        <v>102</v>
      </c>
      <c r="O3" s="4" t="s">
        <v>102</v>
      </c>
      <c r="T3" s="4"/>
      <c r="U3" s="4"/>
    </row>
    <row r="4" spans="1:21" x14ac:dyDescent="0.25">
      <c r="E4" s="37">
        <f>SUM(F4:O4)</f>
        <v>0.30000000000000004</v>
      </c>
      <c r="F4" s="38" cm="1">
        <f t="array" ref="F4">IF(Wed!F3="W.H",_xlfn._xlws.FILTER(Margin[Strategy allotment % with hedge],(Margin[Strategy]=Wed!F$5)*(Margin[Index]=Wed!F$2)),_xlfn._xlws.FILTER(Margin[Strategy allotment % without hedge],(Margin[Strategy]=Wed!F$5)*(Margin[Index]=Wed!F$2)))</f>
        <v>0</v>
      </c>
      <c r="G4" s="38" cm="1">
        <f t="array" ref="G4">IF(Wed!G3="W.H",_xlfn._xlws.FILTER(Margin[Strategy allotment % with hedge],(Margin[Strategy]=Wed!G$5)*(Margin[Index]=Wed!G$2)),_xlfn._xlws.FILTER(Margin[Strategy allotment % without hedge],(Margin[Strategy]=Wed!G$5)*(Margin[Index]=Wed!G$2)))</f>
        <v>0</v>
      </c>
      <c r="H4" s="38" cm="1">
        <f t="array" ref="H4">IF(Wed!H3="W.H",_xlfn._xlws.FILTER(Margin[Strategy allotment % with hedge],(Margin[Strategy]=Wed!H$5)*(Margin[Index]=Wed!H$2)),_xlfn._xlws.FILTER(Margin[Strategy allotment % without hedge],(Margin[Strategy]=Wed!H$5)*(Margin[Index]=Wed!H$2)))</f>
        <v>0.1</v>
      </c>
      <c r="I4" s="38" cm="1">
        <f t="array" ref="I4">IF(Wed!I3="W.H",_xlfn._xlws.FILTER(Margin[Strategy allotment % with hedge],(Margin[Strategy]=Wed!I$5)*(Margin[Index]=Wed!I$2)),_xlfn._xlws.FILTER(Margin[Strategy allotment % without hedge],(Margin[Strategy]=Wed!I$5)*(Margin[Index]=Wed!I$2)))</f>
        <v>0.1</v>
      </c>
      <c r="J4" s="38" cm="1">
        <f t="array" ref="J4">IF(Wed!J3="W.H",_xlfn._xlws.FILTER(Margin[Strategy allotment % with hedge],(Margin[Strategy]=Wed!J$5)*(Margin[Index]=Wed!J$2)),_xlfn._xlws.FILTER(Margin[Strategy allotment % without hedge],(Margin[Strategy]=Wed!J$5)*(Margin[Index]=Wed!J$2)))</f>
        <v>0.1</v>
      </c>
      <c r="K4" s="38" cm="1">
        <f t="array" ref="K4">IF(Wed!K3="W.H",_xlfn._xlws.FILTER(Margin[Strategy allotment % with hedge],(Margin[Strategy]=Wed!K$5)*(Margin[Index]=Wed!K$2)),_xlfn._xlws.FILTER(Margin[Strategy allotment % without hedge],(Margin[Strategy]=Wed!K$5)*(Margin[Index]=Wed!K$2)))</f>
        <v>0</v>
      </c>
      <c r="L4" s="38" cm="1">
        <f t="array" ref="L4">IF(Wed!L3="W.H",_xlfn._xlws.FILTER(Margin[Strategy allotment % with hedge],(Margin[Strategy]=Wed!L$5)*(Margin[Index]=Wed!L$2)),_xlfn._xlws.FILTER(Margin[Strategy allotment % without hedge],(Margin[Strategy]=Wed!L$5)*(Margin[Index]=Wed!L$2)))</f>
        <v>0</v>
      </c>
      <c r="M4" s="38" cm="1">
        <f t="array" ref="M4">IF(Wed!M3="W.H",_xlfn._xlws.FILTER(Margin[Strategy allotment % with hedge],(Margin[Strategy]=Wed!M$5)*(Margin[Index]=Wed!M$2)),_xlfn._xlws.FILTER(Margin[Strategy allotment % without hedge],(Margin[Strategy]=Wed!M$5)*(Margin[Index]=Wed!M$2)))</f>
        <v>0</v>
      </c>
      <c r="N4" s="38" cm="1">
        <f t="array" ref="N4">IF(Wed!N3="W.H",_xlfn._xlws.FILTER(Margin[Strategy allotment % with hedge],(Margin[Strategy]=Wed!N$5)*(Margin[Index]=Wed!N$2)),_xlfn._xlws.FILTER(Margin[Strategy allotment % without hedge],(Margin[Strategy]=Wed!N$5)*(Margin[Index]=Wed!N$2)))</f>
        <v>0</v>
      </c>
      <c r="O4" s="38" cm="1">
        <f t="array" ref="O4">IF(Wed!O3="W.H",_xlfn._xlws.FILTER(Margin[Strategy allotment % with hedge],(Margin[Strategy]=Wed!O$5)*(Margin[Index]=Wed!O$2)),_xlfn._xlws.FILTER(Margin[Strategy allotment % without hedge],(Margin[Strategy]=Wed!O$5)*(Margin[Index]=Wed!O$2)))</f>
        <v>0</v>
      </c>
    </row>
    <row r="5" spans="1:21" x14ac:dyDescent="0.25">
      <c r="C5" s="16" t="s">
        <v>50</v>
      </c>
      <c r="D5" s="16" t="s">
        <v>51</v>
      </c>
      <c r="E5" s="16" t="s">
        <v>52</v>
      </c>
      <c r="F5" s="16" t="s">
        <v>67</v>
      </c>
      <c r="G5" s="16" t="s">
        <v>66</v>
      </c>
      <c r="H5" s="16" t="s">
        <v>70</v>
      </c>
      <c r="I5" s="16" t="s">
        <v>70</v>
      </c>
      <c r="J5" s="16" t="s">
        <v>70</v>
      </c>
      <c r="K5" s="16" t="s">
        <v>2</v>
      </c>
      <c r="L5" s="16" t="s">
        <v>3</v>
      </c>
      <c r="M5" s="16" t="s">
        <v>4</v>
      </c>
      <c r="N5" s="16" t="s">
        <v>5</v>
      </c>
      <c r="O5" s="16" t="s">
        <v>6</v>
      </c>
    </row>
    <row r="6" spans="1:21" hidden="1" x14ac:dyDescent="0.25">
      <c r="A6" t="str">
        <f>_xlfn.XLOOKUP(C6,'OI QTY'!$O$5:$O$21,'OI QTY'!$N$5:$N$21,"")</f>
        <v>H</v>
      </c>
      <c r="B6">
        <f>IF(C6="",0,1)</f>
        <v>1</v>
      </c>
      <c r="C6" s="14" t="s">
        <v>20</v>
      </c>
      <c r="D6" s="14" cm="1">
        <f t="array" ref="D6">(_xlfn._xlws.FILTER(Fund[Margin],Fund[Client Id]=C6))/10000000</f>
        <v>7.5</v>
      </c>
      <c r="E6" s="14"/>
      <c r="F6" s="14" t="str" cm="1">
        <f t="array" ref="F6">IFERROR(IF(ROUNDUP((Client_Margin($C6)*Alloted(F$3,F$2,F$5)/Get_Margin(F$3,F$2,F$5,F$1)),0)*Get_Margin(F$3,F$2,F$5,F$1)&gt;((Client_Margin($C6)*Alloted(F$3,F$2,F$5)/Get_Margin(F$3,F$2,F$5,F$1))*Get_Margin(F$3,F$2,F$5,F$1))*$D$3,ROUNDDOWN((Client_Margin($C6)*Alloted(F$3,F$2,F$5)/Get_Margin(F$3,F$2,F$5,F$1)),0),ROUNDUP((Client_Margin($C6)*Alloted(F$3,F$2,F$5)/Get_Margin(F$3,F$2,F$5,F$1)),0)),"-")</f>
        <v>-</v>
      </c>
      <c r="G6" s="14" t="str" cm="1">
        <f t="array" ref="G6">IFERROR(IF(ROUNDUP((Client_Margin($C6)*Alloted(G$3,G$2,G$5)/Get_Margin(G$3,G$2,G$5,G$1)),0)*Get_Margin(G$3,G$2,G$5,G$1)&gt;((Client_Margin($C6)*Alloted(G$3,G$2,G$5)/Get_Margin(G$3,G$2,G$5,G$1))*Get_Margin(G$3,G$2,G$5,G$1))*$D$3,ROUNDDOWN((Client_Margin($C6)*Alloted(G$3,G$2,G$5)/Get_Margin(G$3,G$2,G$5,G$1)),0),ROUNDUP((Client_Margin($C6)*Alloted(G$3,G$2,G$5)/Get_Margin(G$3,G$2,G$5,G$1)),0)),"-")</f>
        <v>-</v>
      </c>
      <c r="H6" s="14" cm="1">
        <f t="array" ref="H6">IFERROR(IF(ROUNDUP((Client_Margin($C6)*Alloted(H$3,H$2,H$5)/Get_Margin(H$3,H$2,H$5,H$1)),0)*Get_Margin(H$3,H$2,H$5,H$1)&gt;((Client_Margin($C6)*Alloted(H$3,H$2,H$5)/Get_Margin(H$3,H$2,H$5,H$1))*Get_Margin(H$3,H$2,H$5,H$1))*$D$3,ROUNDDOWN((Client_Margin($C6)*Alloted(H$3,H$2,H$5)/Get_Margin(H$3,H$2,H$5,H$1)),0),ROUNDUP((Client_Margin($C6)*Alloted(H$3,H$2,H$5)/Get_Margin(H$3,H$2,H$5,H$1)),0)),"-")</f>
        <v>11</v>
      </c>
      <c r="I6" s="14" cm="1">
        <f t="array" ref="I6">IFERROR(IF(ROUNDUP((Client_Margin($C6)*Alloted(I$3,I$2,I$5)/Get_Margin(I$3,I$2,I$5,I$1)),0)*Get_Margin(I$3,I$2,I$5,I$1)&gt;((Client_Margin($C6)*Alloted(I$3,I$2,I$5)/Get_Margin(I$3,I$2,I$5,I$1))*Get_Margin(I$3,I$2,I$5,I$1))*$D$3,ROUNDDOWN((Client_Margin($C6)*Alloted(I$3,I$2,I$5)/Get_Margin(I$3,I$2,I$5,I$1)),0),ROUNDUP((Client_Margin($C6)*Alloted(I$3,I$2,I$5)/Get_Margin(I$3,I$2,I$5,I$1)),0)),"-")</f>
        <v>4</v>
      </c>
      <c r="J6" s="14" cm="1">
        <f t="array" ref="J6">IFERROR(IF(ROUNDUP((Client_Margin($C6)*Alloted(J$3,J$2,J$5)/Get_Margin(J$3,J$2,J$5,J$1)),0)*Get_Margin(J$3,J$2,J$5,J$1)&gt;((Client_Margin($C6)*Alloted(J$3,J$2,J$5)/Get_Margin(J$3,J$2,J$5,J$1))*Get_Margin(J$3,J$2,J$5,J$1))*$D$3,ROUNDDOWN((Client_Margin($C6)*Alloted(J$3,J$2,J$5)/Get_Margin(J$3,J$2,J$5,J$1)),0),ROUNDUP((Client_Margin($C6)*Alloted(J$3,J$2,J$5)/Get_Margin(J$3,J$2,J$5,J$1)),0)),"-")</f>
        <v>5</v>
      </c>
      <c r="K6" s="14" cm="1">
        <f t="array" ref="K6">IFERROR(IF(ROUNDUP((Client_Margin($C6)*Alloted(K$3,K$2,K$5)/Get_Margin(K$3,K$2,K$5,K$1)),0)*Get_Margin(K$3,K$2,K$5,K$1)&gt;((Client_Margin($C6)*Alloted(K$3,K$2,K$5)/Get_Margin(K$3,K$2,K$5,K$1))*Get_Margin(K$3,K$2,K$5,K$1))*$D$3,ROUNDDOWN((Client_Margin($C6)*Alloted(K$3,K$2,K$5)/Get_Margin(K$3,K$2,K$5,K$1)),0),ROUNDUP((Client_Margin($C6)*Alloted(K$3,K$2,K$5)/Get_Margin(K$3,K$2,K$5,K$1)),0)),"-")</f>
        <v>0</v>
      </c>
      <c r="L6" s="14" cm="1">
        <f t="array" ref="L6">IFERROR(IF(ROUNDUP((Client_Margin($C6)*Alloted(L$3,L$2,L$5)/Get_Margin(L$3,L$2,L$5,L$1)),0)*Get_Margin(L$3,L$2,L$5,L$1)&gt;((Client_Margin($C6)*Alloted(L$3,L$2,L$5)/Get_Margin(L$3,L$2,L$5,L$1))*Get_Margin(L$3,L$2,L$5,L$1))*$D$3,ROUNDDOWN((Client_Margin($C6)*Alloted(L$3,L$2,L$5)/Get_Margin(L$3,L$2,L$5,L$1)),0),ROUNDUP((Client_Margin($C6)*Alloted(L$3,L$2,L$5)/Get_Margin(L$3,L$2,L$5,L$1)),0)),"-")</f>
        <v>0</v>
      </c>
      <c r="M6" s="14" cm="1">
        <f t="array" ref="M6">IFERROR(IF(ROUNDUP((Client_Margin($C6)*Alloted(M$3,M$2,M$5)/Get_Margin(M$3,M$2,M$5,M$1)),0)*Get_Margin(M$3,M$2,M$5,M$1)&gt;((Client_Margin($C6)*Alloted(M$3,M$2,M$5)/Get_Margin(M$3,M$2,M$5,M$1))*Get_Margin(M$3,M$2,M$5,M$1))*$D$3,ROUNDDOWN((Client_Margin($C6)*Alloted(M$3,M$2,M$5)/Get_Margin(M$3,M$2,M$5,M$1)),0),ROUNDUP((Client_Margin($C6)*Alloted(M$3,M$2,M$5)/Get_Margin(M$3,M$2,M$5,M$1)),0)),"-")</f>
        <v>0</v>
      </c>
      <c r="N6" s="14" cm="1">
        <f t="array" ref="N6">IFERROR(IF(ROUNDUP((Client_Margin($C6)*Alloted(N$3,N$2,N$5)/Get_Margin(N$3,N$2,N$5,N$1)),0)*Get_Margin(N$3,N$2,N$5,N$1)&gt;((Client_Margin($C6)*Alloted(N$3,N$2,N$5)/Get_Margin(N$3,N$2,N$5,N$1))*Get_Margin(N$3,N$2,N$5,N$1))*$D$3,ROUNDDOWN((Client_Margin($C6)*Alloted(N$3,N$2,N$5)/Get_Margin(N$3,N$2,N$5,N$1)),0),ROUNDUP((Client_Margin($C6)*Alloted(N$3,N$2,N$5)/Get_Margin(N$3,N$2,N$5,N$1)),0)),"-")</f>
        <v>0</v>
      </c>
      <c r="O6" s="14" cm="1">
        <f t="array" ref="O6">IFERROR(IF(ROUNDUP((Client_Margin($C6)*Alloted(O$3,O$2,O$5)/Get_Margin(O$3,O$2,O$5,O$1)),0)*Get_Margin(O$3,O$2,O$5,O$1)&gt;((Client_Margin($C6)*Alloted(O$3,O$2,O$5)/Get_Margin(O$3,O$2,O$5,O$1))*Get_Margin(O$3,O$2,O$5,O$1))*$D$3,ROUNDDOWN((Client_Margin($C6)*Alloted(O$3,O$2,O$5)/Get_Margin(O$3,O$2,O$5,O$1)),0),ROUNDUP((Client_Margin($C6)*Alloted(O$3,O$2,O$5)/Get_Margin(O$3,O$2,O$5,O$1)),0)),"-")</f>
        <v>0</v>
      </c>
    </row>
    <row r="7" spans="1:21" hidden="1" x14ac:dyDescent="0.25">
      <c r="A7">
        <f>_xlfn.XLOOKUP(C7,'OI QTY'!$O$5:$O$21,'OI QTY'!$N$5:$N$21,"")</f>
        <v>0</v>
      </c>
      <c r="B7">
        <f t="shared" ref="B7:B11" si="0">IF(C7="",0,1)</f>
        <v>0</v>
      </c>
      <c r="C7" s="14"/>
      <c r="D7" s="14"/>
      <c r="E7" s="15">
        <f>SUM(F7:O7)</f>
        <v>0.30858666666666668</v>
      </c>
      <c r="F7" s="15" t="str" cm="1">
        <f t="array" ref="F7">IFERROR((_xlfn._xlws.FILTER(INDEX(Margin[],0,MATCH(F$1&amp;"_"&amp;F$3,Margin[#Headers],0)),(Margin[Index]=F$2)*(Margin[Strategy]=F$5))*F6)/Client_Margin($C6),"-")</f>
        <v>-</v>
      </c>
      <c r="G7" s="15" t="str" cm="1">
        <f t="array" ref="G7">IFERROR((_xlfn._xlws.FILTER(INDEX(Margin[],0,MATCH(G$1&amp;"_"&amp;G$3,Margin[#Headers],0)),(Margin[Index]=G$2)*(Margin[Strategy]=G$5))*G6)/Client_Margin($C6),"-")</f>
        <v>-</v>
      </c>
      <c r="H7" s="15" cm="1">
        <f t="array" ref="H7">IFERROR((_xlfn._xlws.FILTER(INDEX(Margin[],0,MATCH(H$1&amp;"_"&amp;H$3,Margin[#Headers],0)),(Margin[Index]=H$2)*(Margin[Strategy]=H$5))*H6)/Client_Margin($C6),"-")</f>
        <v>0.10208</v>
      </c>
      <c r="I7" s="15" cm="1">
        <f t="array" ref="I7">IFERROR((_xlfn._xlws.FILTER(INDEX(Margin[],0,MATCH(I$1&amp;"_"&amp;I$3,Margin[#Headers],0)),(Margin[Index]=I$2)*(Margin[Strategy]=I$5))*I6)/Client_Margin($C6),"-")</f>
        <v>9.9839999999999998E-2</v>
      </c>
      <c r="J7" s="15" cm="1">
        <f t="array" ref="J7">IFERROR((_xlfn._xlws.FILTER(INDEX(Margin[],0,MATCH(J$1&amp;"_"&amp;J$3,Margin[#Headers],0)),(Margin[Index]=J$2)*(Margin[Strategy]=J$5))*J6)/Client_Margin($C6),"-")</f>
        <v>0.10666666666666667</v>
      </c>
      <c r="K7" s="15" cm="1">
        <f t="array" ref="K7">IFERROR((_xlfn._xlws.FILTER(INDEX(Margin[],0,MATCH(K$1&amp;"_"&amp;K$3,Margin[#Headers],0)),(Margin[Index]=K$2)*(Margin[Strategy]=K$5))*K6)/Client_Margin($C6),"-")</f>
        <v>0</v>
      </c>
      <c r="L7" s="15" cm="1">
        <f t="array" ref="L7">IFERROR((_xlfn._xlws.FILTER(INDEX(Margin[],0,MATCH(L$1&amp;"_"&amp;L$3,Margin[#Headers],0)),(Margin[Index]=L$2)*(Margin[Strategy]=L$5))*L6)/Client_Margin($C6),"-")</f>
        <v>0</v>
      </c>
      <c r="M7" s="15" cm="1">
        <f t="array" ref="M7">IFERROR((_xlfn._xlws.FILTER(INDEX(Margin[],0,MATCH(M$1&amp;"_"&amp;M$3,Margin[#Headers],0)),(Margin[Index]=M$2)*(Margin[Strategy]=M$5))*M6)/Client_Margin($C6),"-")</f>
        <v>0</v>
      </c>
      <c r="N7" s="15" cm="1">
        <f t="array" ref="N7">IFERROR((_xlfn._xlws.FILTER(INDEX(Margin[],0,MATCH(N$1&amp;"_"&amp;N$3,Margin[#Headers],0)),(Margin[Index]=N$2)*(Margin[Strategy]=N$5))*N6)/Client_Margin($C6),"-")</f>
        <v>0</v>
      </c>
      <c r="O7" s="15" cm="1">
        <f t="array" ref="O7">IFERROR((_xlfn._xlws.FILTER(INDEX(Margin[],0,MATCH(O$1&amp;"_"&amp;O$3,Margin[#Headers],0)),(Margin[Index]=O$2)*(Margin[Strategy]=O$5))*O6)/Client_Margin($C6),"-")</f>
        <v>0</v>
      </c>
    </row>
    <row r="8" spans="1:21" hidden="1" x14ac:dyDescent="0.25">
      <c r="A8" t="str">
        <f>_xlfn.XLOOKUP(C8,'OI QTY'!$O$5:$O$21,'OI QTY'!$N$5:$N$21,"")</f>
        <v/>
      </c>
      <c r="B8">
        <f t="shared" si="0"/>
        <v>1</v>
      </c>
      <c r="C8" s="14" t="s">
        <v>46</v>
      </c>
      <c r="D8" s="14" cm="1">
        <f t="array" ref="D8">(_xlfn._xlws.FILTER(Fund[Margin],Fund[Client Id]=C8))/10000000</f>
        <v>6.8</v>
      </c>
      <c r="E8" s="17"/>
      <c r="F8" s="14" t="str" cm="1">
        <f t="array" ref="F8">IFERROR(IF(ROUNDUP((Client_Margin($C8)*Alloted(F$3,F$2,F$5)/Get_Margin(F$3,F$2,F$5,F$1)),0)*Get_Margin(F$3,F$2,F$5,F$1)&gt;((Client_Margin($C8)*Alloted(F$3,F$2,F$5)/Get_Margin(F$3,F$2,F$5,F$1))*Get_Margin(F$3,F$2,F$5,F$1))*$D$3,ROUNDDOWN((Client_Margin($C8)*Alloted(F$3,F$2,F$5)/Get_Margin(F$3,F$2,F$5,F$1)),0),ROUNDUP((Client_Margin($C8)*Alloted(F$3,F$2,F$5)/Get_Margin(F$3,F$2,F$5,F$1)),0)),"-")</f>
        <v>-</v>
      </c>
      <c r="G8" s="14" t="str" cm="1">
        <f t="array" ref="G8">IFERROR(IF(ROUNDUP((Client_Margin($C8)*Alloted(G$3,G$2,G$5)/Get_Margin(G$3,G$2,G$5,G$1)),0)*Get_Margin(G$3,G$2,G$5,G$1)&gt;((Client_Margin($C8)*Alloted(G$3,G$2,G$5)/Get_Margin(G$3,G$2,G$5,G$1))*Get_Margin(G$3,G$2,G$5,G$1))*$D$3,ROUNDDOWN((Client_Margin($C8)*Alloted(G$3,G$2,G$5)/Get_Margin(G$3,G$2,G$5,G$1)),0),ROUNDUP((Client_Margin($C8)*Alloted(G$3,G$2,G$5)/Get_Margin(G$3,G$2,G$5,G$1)),0)),"-")</f>
        <v>-</v>
      </c>
      <c r="H8" s="14" cm="1">
        <f t="array" ref="H8">IFERROR(IF(ROUNDUP((Client_Margin($C8)*Alloted(H$3,H$2,H$5)/Get_Margin(H$3,H$2,H$5,H$1)),0)*Get_Margin(H$3,H$2,H$5,H$1)&gt;((Client_Margin($C8)*Alloted(H$3,H$2,H$5)/Get_Margin(H$3,H$2,H$5,H$1))*Get_Margin(H$3,H$2,H$5,H$1))*$D$3,ROUNDDOWN((Client_Margin($C8)*Alloted(H$3,H$2,H$5)/Get_Margin(H$3,H$2,H$5,H$1)),0),ROUNDUP((Client_Margin($C8)*Alloted(H$3,H$2,H$5)/Get_Margin(H$3,H$2,H$5,H$1)),0)),"-")</f>
        <v>10</v>
      </c>
      <c r="I8" s="14" cm="1">
        <f t="array" ref="I8">IFERROR(IF(ROUNDUP((Client_Margin($C8)*Alloted(I$3,I$2,I$5)/Get_Margin(I$3,I$2,I$5,I$1)),0)*Get_Margin(I$3,I$2,I$5,I$1)&gt;((Client_Margin($C8)*Alloted(I$3,I$2,I$5)/Get_Margin(I$3,I$2,I$5,I$1))*Get_Margin(I$3,I$2,I$5,I$1))*$D$3,ROUNDDOWN((Client_Margin($C8)*Alloted(I$3,I$2,I$5)/Get_Margin(I$3,I$2,I$5,I$1)),0),ROUNDUP((Client_Margin($C8)*Alloted(I$3,I$2,I$5)/Get_Margin(I$3,I$2,I$5,I$1)),0)),"-")</f>
        <v>4</v>
      </c>
      <c r="J8" s="14" cm="1">
        <f t="array" ref="J8">IFERROR(IF(ROUNDUP((Client_Margin($C8)*Alloted(J$3,J$2,J$5)/Get_Margin(J$3,J$2,J$5,J$1)),0)*Get_Margin(J$3,J$2,J$5,J$1)&gt;((Client_Margin($C8)*Alloted(J$3,J$2,J$5)/Get_Margin(J$3,J$2,J$5,J$1))*Get_Margin(J$3,J$2,J$5,J$1))*$D$3,ROUNDDOWN((Client_Margin($C8)*Alloted(J$3,J$2,J$5)/Get_Margin(J$3,J$2,J$5,J$1)),0),ROUNDUP((Client_Margin($C8)*Alloted(J$3,J$2,J$5)/Get_Margin(J$3,J$2,J$5,J$1)),0)),"-")</f>
        <v>4</v>
      </c>
      <c r="K8" s="14" cm="1">
        <f t="array" ref="K8">IFERROR(IF(ROUNDUP((Client_Margin($C8)*Alloted(K$3,K$2,K$5)/Get_Margin(K$3,K$2,K$5,K$1)),0)*Get_Margin(K$3,K$2,K$5,K$1)&gt;((Client_Margin($C8)*Alloted(K$3,K$2,K$5)/Get_Margin(K$3,K$2,K$5,K$1))*Get_Margin(K$3,K$2,K$5,K$1))*$D$3,ROUNDDOWN((Client_Margin($C8)*Alloted(K$3,K$2,K$5)/Get_Margin(K$3,K$2,K$5,K$1)),0),ROUNDUP((Client_Margin($C8)*Alloted(K$3,K$2,K$5)/Get_Margin(K$3,K$2,K$5,K$1)),0)),"-")</f>
        <v>0</v>
      </c>
      <c r="L8" s="14" cm="1">
        <f t="array" ref="L8">IFERROR(IF(ROUNDUP((Client_Margin($C8)*Alloted(L$3,L$2,L$5)/Get_Margin(L$3,L$2,L$5,L$1)),0)*Get_Margin(L$3,L$2,L$5,L$1)&gt;((Client_Margin($C8)*Alloted(L$3,L$2,L$5)/Get_Margin(L$3,L$2,L$5,L$1))*Get_Margin(L$3,L$2,L$5,L$1))*$D$3,ROUNDDOWN((Client_Margin($C8)*Alloted(L$3,L$2,L$5)/Get_Margin(L$3,L$2,L$5,L$1)),0),ROUNDUP((Client_Margin($C8)*Alloted(L$3,L$2,L$5)/Get_Margin(L$3,L$2,L$5,L$1)),0)),"-")</f>
        <v>0</v>
      </c>
      <c r="M8" s="14" cm="1">
        <f t="array" ref="M8">IFERROR(IF(ROUNDUP((Client_Margin($C8)*Alloted(M$3,M$2,M$5)/Get_Margin(M$3,M$2,M$5,M$1)),0)*Get_Margin(M$3,M$2,M$5,M$1)&gt;((Client_Margin($C8)*Alloted(M$3,M$2,M$5)/Get_Margin(M$3,M$2,M$5,M$1))*Get_Margin(M$3,M$2,M$5,M$1))*$D$3,ROUNDDOWN((Client_Margin($C8)*Alloted(M$3,M$2,M$5)/Get_Margin(M$3,M$2,M$5,M$1)),0),ROUNDUP((Client_Margin($C8)*Alloted(M$3,M$2,M$5)/Get_Margin(M$3,M$2,M$5,M$1)),0)),"-")</f>
        <v>0</v>
      </c>
      <c r="N8" s="14" cm="1">
        <f t="array" ref="N8">IFERROR(IF(ROUNDUP((Client_Margin($C8)*Alloted(N$3,N$2,N$5)/Get_Margin(N$3,N$2,N$5,N$1)),0)*Get_Margin(N$3,N$2,N$5,N$1)&gt;((Client_Margin($C8)*Alloted(N$3,N$2,N$5)/Get_Margin(N$3,N$2,N$5,N$1))*Get_Margin(N$3,N$2,N$5,N$1))*$D$3,ROUNDDOWN((Client_Margin($C8)*Alloted(N$3,N$2,N$5)/Get_Margin(N$3,N$2,N$5,N$1)),0),ROUNDUP((Client_Margin($C8)*Alloted(N$3,N$2,N$5)/Get_Margin(N$3,N$2,N$5,N$1)),0)),"-")</f>
        <v>0</v>
      </c>
      <c r="O8" s="14" cm="1">
        <f t="array" ref="O8">IFERROR(IF(ROUNDUP((Client_Margin($C8)*Alloted(O$3,O$2,O$5)/Get_Margin(O$3,O$2,O$5,O$1)),0)*Get_Margin(O$3,O$2,O$5,O$1)&gt;((Client_Margin($C8)*Alloted(O$3,O$2,O$5)/Get_Margin(O$3,O$2,O$5,O$1))*Get_Margin(O$3,O$2,O$5,O$1))*$D$3,ROUNDDOWN((Client_Margin($C8)*Alloted(O$3,O$2,O$5)/Get_Margin(O$3,O$2,O$5,O$1)),0),ROUNDUP((Client_Margin($C8)*Alloted(O$3,O$2,O$5)/Get_Margin(O$3,O$2,O$5,O$1)),0)),"-")</f>
        <v>0</v>
      </c>
    </row>
    <row r="9" spans="1:21" hidden="1" x14ac:dyDescent="0.25">
      <c r="A9">
        <f>_xlfn.XLOOKUP(C9,'OI QTY'!$O$5:$O$21,'OI QTY'!$N$5:$N$21,"")</f>
        <v>0</v>
      </c>
      <c r="B9">
        <f t="shared" si="0"/>
        <v>0</v>
      </c>
      <c r="C9" s="14"/>
      <c r="D9" s="14"/>
      <c r="E9" s="15">
        <f>SUM(F9:O9)</f>
        <v>0.30658823529411766</v>
      </c>
      <c r="F9" s="15" t="str" cm="1">
        <f t="array" ref="F9">IFERROR((_xlfn._xlws.FILTER(INDEX(Margin[],0,MATCH(F$1&amp;"_"&amp;F$3,Margin[#Headers],0)),(Margin[Index]=F$2)*(Margin[Strategy]=F$5))*F8)/Client_Margin($C8),"-")</f>
        <v>-</v>
      </c>
      <c r="G9" s="15" t="str" cm="1">
        <f t="array" ref="G9">IFERROR((_xlfn._xlws.FILTER(INDEX(Margin[],0,MATCH(G$1&amp;"_"&amp;G$3,Margin[#Headers],0)),(Margin[Index]=G$2)*(Margin[Strategy]=G$5))*G8)/Client_Margin($C8),"-")</f>
        <v>-</v>
      </c>
      <c r="H9" s="15" cm="1">
        <f t="array" ref="H9">IFERROR((_xlfn._xlws.FILTER(INDEX(Margin[],0,MATCH(H$1&amp;"_"&amp;H$3,Margin[#Headers],0)),(Margin[Index]=H$2)*(Margin[Strategy]=H$5))*H8)/Client_Margin($C8),"-")</f>
        <v>0.10235294117647059</v>
      </c>
      <c r="I9" s="15" cm="1">
        <f t="array" ref="I9">IFERROR((_xlfn._xlws.FILTER(INDEX(Margin[],0,MATCH(I$1&amp;"_"&amp;I$3,Margin[#Headers],0)),(Margin[Index]=I$2)*(Margin[Strategy]=I$5))*I8)/Client_Margin($C8),"-")</f>
        <v>0.11011764705882353</v>
      </c>
      <c r="J9" s="15" cm="1">
        <f t="array" ref="J9">IFERROR((_xlfn._xlws.FILTER(INDEX(Margin[],0,MATCH(J$1&amp;"_"&amp;J$3,Margin[#Headers],0)),(Margin[Index]=J$2)*(Margin[Strategy]=J$5))*J8)/Client_Margin($C8),"-")</f>
        <v>9.4117647058823528E-2</v>
      </c>
      <c r="K9" s="15" cm="1">
        <f t="array" ref="K9">IFERROR((_xlfn._xlws.FILTER(INDEX(Margin[],0,MATCH(K$1&amp;"_"&amp;K$3,Margin[#Headers],0)),(Margin[Index]=K$2)*(Margin[Strategy]=K$5))*K8)/Client_Margin($C8),"-")</f>
        <v>0</v>
      </c>
      <c r="L9" s="15" cm="1">
        <f t="array" ref="L9">IFERROR((_xlfn._xlws.FILTER(INDEX(Margin[],0,MATCH(L$1&amp;"_"&amp;L$3,Margin[#Headers],0)),(Margin[Index]=L$2)*(Margin[Strategy]=L$5))*L8)/Client_Margin($C8),"-")</f>
        <v>0</v>
      </c>
      <c r="M9" s="15" cm="1">
        <f t="array" ref="M9">IFERROR((_xlfn._xlws.FILTER(INDEX(Margin[],0,MATCH(M$1&amp;"_"&amp;M$3,Margin[#Headers],0)),(Margin[Index]=M$2)*(Margin[Strategy]=M$5))*M8)/Client_Margin($C8),"-")</f>
        <v>0</v>
      </c>
      <c r="N9" s="15" cm="1">
        <f t="array" ref="N9">IFERROR((_xlfn._xlws.FILTER(INDEX(Margin[],0,MATCH(N$1&amp;"_"&amp;N$3,Margin[#Headers],0)),(Margin[Index]=N$2)*(Margin[Strategy]=N$5))*N8)/Client_Margin($C8),"-")</f>
        <v>0</v>
      </c>
      <c r="O9" s="15" cm="1">
        <f t="array" ref="O9">IFERROR((_xlfn._xlws.FILTER(INDEX(Margin[],0,MATCH(O$1&amp;"_"&amp;O$3,Margin[#Headers],0)),(Margin[Index]=O$2)*(Margin[Strategy]=O$5))*O8)/Client_Margin($C8),"-")</f>
        <v>0</v>
      </c>
    </row>
    <row r="10" spans="1:21" x14ac:dyDescent="0.25">
      <c r="A10" t="str">
        <f>_xlfn.XLOOKUP(C10,'OI QTY'!$O$5:$O$21,'OI QTY'!$N$5:$N$21,"")</f>
        <v>M</v>
      </c>
      <c r="B10">
        <f t="shared" si="0"/>
        <v>1</v>
      </c>
      <c r="C10" s="14" t="s">
        <v>127</v>
      </c>
      <c r="D10" s="14" cm="1">
        <f t="array" ref="D10">(_xlfn._xlws.FILTER(Fund[Margin],Fund[Client Id]=C10))/10000000</f>
        <v>4.5999999999999996</v>
      </c>
      <c r="E10" s="17"/>
      <c r="F10" s="14" t="str" cm="1">
        <f t="array" ref="F10">IFERROR(IF(ROUNDUP((Client_Margin($C10)*Alloted(F$3,F$2,F$5)/Get_Margin(F$3,F$2,F$5,F$1)),0)*Get_Margin(F$3,F$2,F$5,F$1)&gt;((Client_Margin($C10)*Alloted(F$3,F$2,F$5)/Get_Margin(F$3,F$2,F$5,F$1))*Get_Margin(F$3,F$2,F$5,F$1))*$D$3,ROUNDDOWN((Client_Margin($C10)*Alloted(F$3,F$2,F$5)/Get_Margin(F$3,F$2,F$5,F$1)),0),ROUNDUP((Client_Margin($C10)*Alloted(F$3,F$2,F$5)/Get_Margin(F$3,F$2,F$5,F$1)),0)),"-")</f>
        <v>-</v>
      </c>
      <c r="G10" s="14" t="str" cm="1">
        <f t="array" ref="G10">IFERROR(IF(ROUNDUP((Client_Margin($C10)*Alloted(G$3,G$2,G$5)/Get_Margin(G$3,G$2,G$5,G$1)),0)*Get_Margin(G$3,G$2,G$5,G$1)&gt;((Client_Margin($C10)*Alloted(G$3,G$2,G$5)/Get_Margin(G$3,G$2,G$5,G$1))*Get_Margin(G$3,G$2,G$5,G$1))*$D$3,ROUNDDOWN((Client_Margin($C10)*Alloted(G$3,G$2,G$5)/Get_Margin(G$3,G$2,G$5,G$1)),0),ROUNDUP((Client_Margin($C10)*Alloted(G$3,G$2,G$5)/Get_Margin(G$3,G$2,G$5,G$1)),0)),"-")</f>
        <v>-</v>
      </c>
      <c r="H10" s="14" cm="1">
        <f t="array" ref="H10">IFERROR(IF(ROUNDUP((Client_Margin($C10)*Alloted(H$3,H$2,H$5)/Get_Margin(H$3,H$2,H$5,H$1)),0)*Get_Margin(H$3,H$2,H$5,H$1)&gt;((Client_Margin($C10)*Alloted(H$3,H$2,H$5)/Get_Margin(H$3,H$2,H$5,H$1))*Get_Margin(H$3,H$2,H$5,H$1))*$D$3,ROUNDDOWN((Client_Margin($C10)*Alloted(H$3,H$2,H$5)/Get_Margin(H$3,H$2,H$5,H$1)),0),ROUNDUP((Client_Margin($C10)*Alloted(H$3,H$2,H$5)/Get_Margin(H$3,H$2,H$5,H$1)),0)),"-")</f>
        <v>7</v>
      </c>
      <c r="I10" s="14" cm="1">
        <f t="array" ref="I10">IFERROR(IF(ROUNDUP((Client_Margin($C10)*Alloted(I$3,I$2,I$5)/Get_Margin(I$3,I$2,I$5,I$1)),0)*Get_Margin(I$3,I$2,I$5,I$1)&gt;((Client_Margin($C10)*Alloted(I$3,I$2,I$5)/Get_Margin(I$3,I$2,I$5,I$1))*Get_Margin(I$3,I$2,I$5,I$1))*$D$3,ROUNDDOWN((Client_Margin($C10)*Alloted(I$3,I$2,I$5)/Get_Margin(I$3,I$2,I$5,I$1)),0),ROUNDUP((Client_Margin($C10)*Alloted(I$3,I$2,I$5)/Get_Margin(I$3,I$2,I$5,I$1)),0)),"-")</f>
        <v>2</v>
      </c>
      <c r="J10" s="14" cm="1">
        <f t="array" ref="J10">IFERROR(IF(ROUNDUP((Client_Margin($C10)*Alloted(J$3,J$2,J$5)/Get_Margin(J$3,J$2,J$5,J$1)),0)*Get_Margin(J$3,J$2,J$5,J$1)&gt;((Client_Margin($C10)*Alloted(J$3,J$2,J$5)/Get_Margin(J$3,J$2,J$5,J$1))*Get_Margin(J$3,J$2,J$5,J$1))*$D$3,ROUNDDOWN((Client_Margin($C10)*Alloted(J$3,J$2,J$5)/Get_Margin(J$3,J$2,J$5,J$1)),0),ROUNDUP((Client_Margin($C10)*Alloted(J$3,J$2,J$5)/Get_Margin(J$3,J$2,J$5,J$1)),0)),"-")</f>
        <v>3</v>
      </c>
      <c r="K10" s="14" cm="1">
        <f t="array" ref="K10">IFERROR(IF(ROUNDUP((Client_Margin($C10)*Alloted(K$3,K$2,K$5)/Get_Margin(K$3,K$2,K$5,K$1)),0)*Get_Margin(K$3,K$2,K$5,K$1)&gt;((Client_Margin($C10)*Alloted(K$3,K$2,K$5)/Get_Margin(K$3,K$2,K$5,K$1))*Get_Margin(K$3,K$2,K$5,K$1))*$D$3,ROUNDDOWN((Client_Margin($C10)*Alloted(K$3,K$2,K$5)/Get_Margin(K$3,K$2,K$5,K$1)),0),ROUNDUP((Client_Margin($C10)*Alloted(K$3,K$2,K$5)/Get_Margin(K$3,K$2,K$5,K$1)),0)),"-")</f>
        <v>0</v>
      </c>
      <c r="L10" s="14" cm="1">
        <f t="array" ref="L10">IFERROR(IF(ROUNDUP((Client_Margin($C10)*Alloted(L$3,L$2,L$5)/Get_Margin(L$3,L$2,L$5,L$1)),0)*Get_Margin(L$3,L$2,L$5,L$1)&gt;((Client_Margin($C10)*Alloted(L$3,L$2,L$5)/Get_Margin(L$3,L$2,L$5,L$1))*Get_Margin(L$3,L$2,L$5,L$1))*$D$3,ROUNDDOWN((Client_Margin($C10)*Alloted(L$3,L$2,L$5)/Get_Margin(L$3,L$2,L$5,L$1)),0),ROUNDUP((Client_Margin($C10)*Alloted(L$3,L$2,L$5)/Get_Margin(L$3,L$2,L$5,L$1)),0)),"-")</f>
        <v>0</v>
      </c>
      <c r="M10" s="14" cm="1">
        <f t="array" ref="M10">IFERROR(IF(ROUNDUP((Client_Margin($C10)*Alloted(M$3,M$2,M$5)/Get_Margin(M$3,M$2,M$5,M$1)),0)*Get_Margin(M$3,M$2,M$5,M$1)&gt;((Client_Margin($C10)*Alloted(M$3,M$2,M$5)/Get_Margin(M$3,M$2,M$5,M$1))*Get_Margin(M$3,M$2,M$5,M$1))*$D$3,ROUNDDOWN((Client_Margin($C10)*Alloted(M$3,M$2,M$5)/Get_Margin(M$3,M$2,M$5,M$1)),0),ROUNDUP((Client_Margin($C10)*Alloted(M$3,M$2,M$5)/Get_Margin(M$3,M$2,M$5,M$1)),0)),"-")</f>
        <v>0</v>
      </c>
      <c r="N10" s="14" cm="1">
        <f t="array" ref="N10">IFERROR(IF(ROUNDUP((Client_Margin($C10)*Alloted(N$3,N$2,N$5)/Get_Margin(N$3,N$2,N$5,N$1)),0)*Get_Margin(N$3,N$2,N$5,N$1)&gt;((Client_Margin($C10)*Alloted(N$3,N$2,N$5)/Get_Margin(N$3,N$2,N$5,N$1))*Get_Margin(N$3,N$2,N$5,N$1))*$D$3,ROUNDDOWN((Client_Margin($C10)*Alloted(N$3,N$2,N$5)/Get_Margin(N$3,N$2,N$5,N$1)),0),ROUNDUP((Client_Margin($C10)*Alloted(N$3,N$2,N$5)/Get_Margin(N$3,N$2,N$5,N$1)),0)),"-")</f>
        <v>0</v>
      </c>
      <c r="O10" s="14" cm="1">
        <f t="array" ref="O10">IFERROR(IF(ROUNDUP((Client_Margin($C10)*Alloted(O$3,O$2,O$5)/Get_Margin(O$3,O$2,O$5,O$1)),0)*Get_Margin(O$3,O$2,O$5,O$1)&gt;((Client_Margin($C10)*Alloted(O$3,O$2,O$5)/Get_Margin(O$3,O$2,O$5,O$1))*Get_Margin(O$3,O$2,O$5,O$1))*$D$3,ROUNDDOWN((Client_Margin($C10)*Alloted(O$3,O$2,O$5)/Get_Margin(O$3,O$2,O$5,O$1)),0),ROUNDUP((Client_Margin($C10)*Alloted(O$3,O$2,O$5)/Get_Margin(O$3,O$2,O$5,O$1)),0)),"-")</f>
        <v>0</v>
      </c>
    </row>
    <row r="11" spans="1:21" hidden="1" x14ac:dyDescent="0.25">
      <c r="A11">
        <f>_xlfn.XLOOKUP(C11,'OI QTY'!$O$5:$O$21,'OI QTY'!$N$5:$N$21,"")</f>
        <v>0</v>
      </c>
      <c r="B11">
        <f t="shared" si="0"/>
        <v>0</v>
      </c>
      <c r="C11" s="14"/>
      <c r="D11" s="14"/>
      <c r="E11" s="15">
        <f>SUM(F11:O11)</f>
        <v>0.29165217391304349</v>
      </c>
      <c r="F11" s="15" t="str" cm="1">
        <f t="array" ref="F11">IFERROR((_xlfn._xlws.FILTER(INDEX(Margin[],0,MATCH(F$1&amp;"_"&amp;F$3,Margin[#Headers],0)),(Margin[Index]=F$2)*(Margin[Strategy]=F$5))*F10)/Client_Margin($C10),"-")</f>
        <v>-</v>
      </c>
      <c r="G11" s="15" t="str" cm="1">
        <f t="array" ref="G11">IFERROR((_xlfn._xlws.FILTER(INDEX(Margin[],0,MATCH(G$1&amp;"_"&amp;G$3,Margin[#Headers],0)),(Margin[Index]=G$2)*(Margin[Strategy]=G$5))*G10)/Client_Margin($C10),"-")</f>
        <v>-</v>
      </c>
      <c r="H11" s="15" cm="1">
        <f t="array" ref="H11">IFERROR((_xlfn._xlws.FILTER(INDEX(Margin[],0,MATCH(H$1&amp;"_"&amp;H$3,Margin[#Headers],0)),(Margin[Index]=H$2)*(Margin[Strategy]=H$5))*H10)/Client_Margin($C10),"-")</f>
        <v>0.10591304347826087</v>
      </c>
      <c r="I11" s="15" cm="1">
        <f t="array" ref="I11">IFERROR((_xlfn._xlws.FILTER(INDEX(Margin[],0,MATCH(I$1&amp;"_"&amp;I$3,Margin[#Headers],0)),(Margin[Index]=I$2)*(Margin[Strategy]=I$5))*I10)/Client_Margin($C10),"-")</f>
        <v>8.1391304347826085E-2</v>
      </c>
      <c r="J11" s="15" cm="1">
        <f t="array" ref="J11">IFERROR((_xlfn._xlws.FILTER(INDEX(Margin[],0,MATCH(J$1&amp;"_"&amp;J$3,Margin[#Headers],0)),(Margin[Index]=J$2)*(Margin[Strategy]=J$5))*J10)/Client_Margin($C10),"-")</f>
        <v>0.10434782608695652</v>
      </c>
      <c r="K11" s="15" cm="1">
        <f t="array" ref="K11">IFERROR((_xlfn._xlws.FILTER(INDEX(Margin[],0,MATCH(K$1&amp;"_"&amp;K$3,Margin[#Headers],0)),(Margin[Index]=K$2)*(Margin[Strategy]=K$5))*K10)/Client_Margin($C10),"-")</f>
        <v>0</v>
      </c>
      <c r="L11" s="15" cm="1">
        <f t="array" ref="L11">IFERROR((_xlfn._xlws.FILTER(INDEX(Margin[],0,MATCH(L$1&amp;"_"&amp;L$3,Margin[#Headers],0)),(Margin[Index]=L$2)*(Margin[Strategy]=L$5))*L10)/Client_Margin($C10),"-")</f>
        <v>0</v>
      </c>
      <c r="M11" s="15" cm="1">
        <f t="array" ref="M11">IFERROR((_xlfn._xlws.FILTER(INDEX(Margin[],0,MATCH(M$1&amp;"_"&amp;M$3,Margin[#Headers],0)),(Margin[Index]=M$2)*(Margin[Strategy]=M$5))*M10)/Client_Margin($C10),"-")</f>
        <v>0</v>
      </c>
      <c r="N11" s="15" cm="1">
        <f t="array" ref="N11">IFERROR((_xlfn._xlws.FILTER(INDEX(Margin[],0,MATCH(N$1&amp;"_"&amp;N$3,Margin[#Headers],0)),(Margin[Index]=N$2)*(Margin[Strategy]=N$5))*N10)/Client_Margin($C10),"-")</f>
        <v>0</v>
      </c>
      <c r="O11" s="15" cm="1">
        <f t="array" ref="O11">IFERROR((_xlfn._xlws.FILTER(INDEX(Margin[],0,MATCH(O$1&amp;"_"&amp;O$3,Margin[#Headers],0)),(Margin[Index]=O$2)*(Margin[Strategy]=O$5))*O10)/Client_Margin($C10),"-")</f>
        <v>0</v>
      </c>
    </row>
    <row r="12" spans="1:21" x14ac:dyDescent="0.25">
      <c r="A12" t="str">
        <f>_xlfn.XLOOKUP(C12,'OI QTY'!$O$5:$O$21,'OI QTY'!$N$5:$N$21,"")</f>
        <v>M</v>
      </c>
      <c r="B12">
        <f>IF(C12="",0,1)</f>
        <v>1</v>
      </c>
      <c r="C12" s="14" t="s">
        <v>112</v>
      </c>
      <c r="D12" s="14" cm="1">
        <f t="array" ref="D12">(_xlfn._xlws.FILTER(Fund[Margin],Fund[Client Id]=C12))/10000000</f>
        <v>7</v>
      </c>
      <c r="E12" s="17"/>
      <c r="F12" s="14" t="str" cm="1">
        <f t="array" ref="F12">IFERROR(IF(ROUNDUP((Client_Margin($C12)*Alloted(F$3,F$2,F$5)/Get_Margin(F$3,F$2,F$5,F$1)),0)*Get_Margin(F$3,F$2,F$5,F$1)&gt;((Client_Margin($C12)*Alloted(F$3,F$2,F$5)/Get_Margin(F$3,F$2,F$5,F$1))*Get_Margin(F$3,F$2,F$5,F$1))*$D$3,ROUNDDOWN((Client_Margin($C12)*Alloted(F$3,F$2,F$5)/Get_Margin(F$3,F$2,F$5,F$1)),0),ROUNDUP((Client_Margin($C12)*Alloted(F$3,F$2,F$5)/Get_Margin(F$3,F$2,F$5,F$1)),0)),"-")</f>
        <v>-</v>
      </c>
      <c r="G12" s="14" t="str" cm="1">
        <f t="array" ref="G12">IFERROR(IF(ROUNDUP((Client_Margin($C12)*Alloted(G$3,G$2,G$5)/Get_Margin(G$3,G$2,G$5,G$1)),0)*Get_Margin(G$3,G$2,G$5,G$1)&gt;((Client_Margin($C12)*Alloted(G$3,G$2,G$5)/Get_Margin(G$3,G$2,G$5,G$1))*Get_Margin(G$3,G$2,G$5,G$1))*$D$3,ROUNDDOWN((Client_Margin($C12)*Alloted(G$3,G$2,G$5)/Get_Margin(G$3,G$2,G$5,G$1)),0),ROUNDUP((Client_Margin($C12)*Alloted(G$3,G$2,G$5)/Get_Margin(G$3,G$2,G$5,G$1)),0)),"-")</f>
        <v>-</v>
      </c>
      <c r="H12" s="14" cm="1">
        <f t="array" ref="H12">IFERROR(IF(ROUNDUP((Client_Margin($C12)*Alloted(H$3,H$2,H$5)/Get_Margin(H$3,H$2,H$5,H$1)),0)*Get_Margin(H$3,H$2,H$5,H$1)&gt;((Client_Margin($C12)*Alloted(H$3,H$2,H$5)/Get_Margin(H$3,H$2,H$5,H$1))*Get_Margin(H$3,H$2,H$5,H$1))*$D$3,ROUNDDOWN((Client_Margin($C12)*Alloted(H$3,H$2,H$5)/Get_Margin(H$3,H$2,H$5,H$1)),0),ROUNDUP((Client_Margin($C12)*Alloted(H$3,H$2,H$5)/Get_Margin(H$3,H$2,H$5,H$1)),0)),"-")</f>
        <v>11</v>
      </c>
      <c r="I12" s="14" cm="1">
        <f t="array" ref="I12">IFERROR(IF(ROUNDUP((Client_Margin($C12)*Alloted(I$3,I$2,I$5)/Get_Margin(I$3,I$2,I$5,I$1)),0)*Get_Margin(I$3,I$2,I$5,I$1)&gt;((Client_Margin($C12)*Alloted(I$3,I$2,I$5)/Get_Margin(I$3,I$2,I$5,I$1))*Get_Margin(I$3,I$2,I$5,I$1))*$D$3,ROUNDDOWN((Client_Margin($C12)*Alloted(I$3,I$2,I$5)/Get_Margin(I$3,I$2,I$5,I$1)),0),ROUNDUP((Client_Margin($C12)*Alloted(I$3,I$2,I$5)/Get_Margin(I$3,I$2,I$5,I$1)),0)),"-")</f>
        <v>4</v>
      </c>
      <c r="J12" s="14" cm="1">
        <f t="array" ref="J12">IFERROR(IF(ROUNDUP((Client_Margin($C12)*Alloted(J$3,J$2,J$5)/Get_Margin(J$3,J$2,J$5,J$1)),0)*Get_Margin(J$3,J$2,J$5,J$1)&gt;((Client_Margin($C12)*Alloted(J$3,J$2,J$5)/Get_Margin(J$3,J$2,J$5,J$1))*Get_Margin(J$3,J$2,J$5,J$1))*$D$3,ROUNDDOWN((Client_Margin($C12)*Alloted(J$3,J$2,J$5)/Get_Margin(J$3,J$2,J$5,J$1)),0),ROUNDUP((Client_Margin($C12)*Alloted(J$3,J$2,J$5)/Get_Margin(J$3,J$2,J$5,J$1)),0)),"-")</f>
        <v>5</v>
      </c>
      <c r="K12" s="14" cm="1">
        <f t="array" ref="K12">IFERROR(IF(ROUNDUP((Client_Margin($C12)*Alloted(K$3,K$2,K$5)/Get_Margin(K$3,K$2,K$5,K$1)),0)*Get_Margin(K$3,K$2,K$5,K$1)&gt;((Client_Margin($C12)*Alloted(K$3,K$2,K$5)/Get_Margin(K$3,K$2,K$5,K$1))*Get_Margin(K$3,K$2,K$5,K$1))*$D$3,ROUNDDOWN((Client_Margin($C12)*Alloted(K$3,K$2,K$5)/Get_Margin(K$3,K$2,K$5,K$1)),0),ROUNDUP((Client_Margin($C12)*Alloted(K$3,K$2,K$5)/Get_Margin(K$3,K$2,K$5,K$1)),0)),"-")</f>
        <v>0</v>
      </c>
      <c r="L12" s="14" cm="1">
        <f t="array" ref="L12">IFERROR(IF(ROUNDUP((Client_Margin($C12)*Alloted(L$3,L$2,L$5)/Get_Margin(L$3,L$2,L$5,L$1)),0)*Get_Margin(L$3,L$2,L$5,L$1)&gt;((Client_Margin($C12)*Alloted(L$3,L$2,L$5)/Get_Margin(L$3,L$2,L$5,L$1))*Get_Margin(L$3,L$2,L$5,L$1))*$D$3,ROUNDDOWN((Client_Margin($C12)*Alloted(L$3,L$2,L$5)/Get_Margin(L$3,L$2,L$5,L$1)),0),ROUNDUP((Client_Margin($C12)*Alloted(L$3,L$2,L$5)/Get_Margin(L$3,L$2,L$5,L$1)),0)),"-")</f>
        <v>0</v>
      </c>
      <c r="M12" s="14" cm="1">
        <f t="array" ref="M12">IFERROR(IF(ROUNDUP((Client_Margin($C12)*Alloted(M$3,M$2,M$5)/Get_Margin(M$3,M$2,M$5,M$1)),0)*Get_Margin(M$3,M$2,M$5,M$1)&gt;((Client_Margin($C12)*Alloted(M$3,M$2,M$5)/Get_Margin(M$3,M$2,M$5,M$1))*Get_Margin(M$3,M$2,M$5,M$1))*$D$3,ROUNDDOWN((Client_Margin($C12)*Alloted(M$3,M$2,M$5)/Get_Margin(M$3,M$2,M$5,M$1)),0),ROUNDUP((Client_Margin($C12)*Alloted(M$3,M$2,M$5)/Get_Margin(M$3,M$2,M$5,M$1)),0)),"-")</f>
        <v>0</v>
      </c>
      <c r="N12" s="14" cm="1">
        <f t="array" ref="N12">IFERROR(IF(ROUNDUP((Client_Margin($C12)*Alloted(N$3,N$2,N$5)/Get_Margin(N$3,N$2,N$5,N$1)),0)*Get_Margin(N$3,N$2,N$5,N$1)&gt;((Client_Margin($C12)*Alloted(N$3,N$2,N$5)/Get_Margin(N$3,N$2,N$5,N$1))*Get_Margin(N$3,N$2,N$5,N$1))*$D$3,ROUNDDOWN((Client_Margin($C12)*Alloted(N$3,N$2,N$5)/Get_Margin(N$3,N$2,N$5,N$1)),0),ROUNDUP((Client_Margin($C12)*Alloted(N$3,N$2,N$5)/Get_Margin(N$3,N$2,N$5,N$1)),0)),"-")</f>
        <v>0</v>
      </c>
      <c r="O12" s="14" cm="1">
        <f t="array" ref="O12">IFERROR(IF(ROUNDUP((Client_Margin($C12)*Alloted(O$3,O$2,O$5)/Get_Margin(O$3,O$2,O$5,O$1)),0)*Get_Margin(O$3,O$2,O$5,O$1)&gt;((Client_Margin($C12)*Alloted(O$3,O$2,O$5)/Get_Margin(O$3,O$2,O$5,O$1))*Get_Margin(O$3,O$2,O$5,O$1))*$D$3,ROUNDDOWN((Client_Margin($C12)*Alloted(O$3,O$2,O$5)/Get_Margin(O$3,O$2,O$5,O$1)),0),ROUNDUP((Client_Margin($C12)*Alloted(O$3,O$2,O$5)/Get_Margin(O$3,O$2,O$5,O$1)),0)),"-")</f>
        <v>0</v>
      </c>
    </row>
    <row r="13" spans="1:21" hidden="1" x14ac:dyDescent="0.25">
      <c r="A13">
        <f>_xlfn.XLOOKUP(C13,'OI QTY'!$O$5:$O$21,'OI QTY'!$N$5:$N$21,"")</f>
        <v>0</v>
      </c>
      <c r="B13">
        <f>IF(C13="",0,1)</f>
        <v>0</v>
      </c>
      <c r="C13" s="14"/>
      <c r="D13" s="14"/>
      <c r="E13" s="15">
        <f>SUM(F13:O13)</f>
        <v>0.33062857142857144</v>
      </c>
      <c r="F13" s="15" t="str" cm="1">
        <f t="array" ref="F13">IFERROR((_xlfn._xlws.FILTER(INDEX(Margin[],0,MATCH(F$1&amp;"_"&amp;F$3,Margin[#Headers],0)),(Margin[Index]=F$2)*(Margin[Strategy]=F$5))*F12)/Client_Margin($C12),"-")</f>
        <v>-</v>
      </c>
      <c r="G13" s="15" t="str" cm="1">
        <f t="array" ref="G13">IFERROR((_xlfn._xlws.FILTER(INDEX(Margin[],0,MATCH(G$1&amp;"_"&amp;G$3,Margin[#Headers],0)),(Margin[Index]=G$2)*(Margin[Strategy]=G$5))*G12)/Client_Margin($C12),"-")</f>
        <v>-</v>
      </c>
      <c r="H13" s="15" cm="1">
        <f t="array" ref="H13">IFERROR((_xlfn._xlws.FILTER(INDEX(Margin[],0,MATCH(H$1&amp;"_"&amp;H$3,Margin[#Headers],0)),(Margin[Index]=H$2)*(Margin[Strategy]=H$5))*H12)/Client_Margin($C12),"-")</f>
        <v>0.10937142857142858</v>
      </c>
      <c r="I13" s="15" cm="1">
        <f t="array" ref="I13">IFERROR((_xlfn._xlws.FILTER(INDEX(Margin[],0,MATCH(I$1&amp;"_"&amp;I$3,Margin[#Headers],0)),(Margin[Index]=I$2)*(Margin[Strategy]=I$5))*I12)/Client_Margin($C12),"-")</f>
        <v>0.10697142857142856</v>
      </c>
      <c r="J13" s="15" cm="1">
        <f t="array" ref="J13">IFERROR((_xlfn._xlws.FILTER(INDEX(Margin[],0,MATCH(J$1&amp;"_"&amp;J$3,Margin[#Headers],0)),(Margin[Index]=J$2)*(Margin[Strategy]=J$5))*J12)/Client_Margin($C12),"-")</f>
        <v>0.11428571428571428</v>
      </c>
      <c r="K13" s="15" cm="1">
        <f t="array" ref="K13">IFERROR((_xlfn._xlws.FILTER(INDEX(Margin[],0,MATCH(K$1&amp;"_"&amp;K$3,Margin[#Headers],0)),(Margin[Index]=K$2)*(Margin[Strategy]=K$5))*K12)/Client_Margin($C12),"-")</f>
        <v>0</v>
      </c>
      <c r="L13" s="15" cm="1">
        <f t="array" ref="L13">IFERROR((_xlfn._xlws.FILTER(INDEX(Margin[],0,MATCH(L$1&amp;"_"&amp;L$3,Margin[#Headers],0)),(Margin[Index]=L$2)*(Margin[Strategy]=L$5))*L12)/Client_Margin($C12),"-")</f>
        <v>0</v>
      </c>
      <c r="M13" s="15" cm="1">
        <f t="array" ref="M13">IFERROR((_xlfn._xlws.FILTER(INDEX(Margin[],0,MATCH(M$1&amp;"_"&amp;M$3,Margin[#Headers],0)),(Margin[Index]=M$2)*(Margin[Strategy]=M$5))*M12)/Client_Margin($C12),"-")</f>
        <v>0</v>
      </c>
      <c r="N13" s="15" cm="1">
        <f t="array" ref="N13">IFERROR((_xlfn._xlws.FILTER(INDEX(Margin[],0,MATCH(N$1&amp;"_"&amp;N$3,Margin[#Headers],0)),(Margin[Index]=N$2)*(Margin[Strategy]=N$5))*N12)/Client_Margin($C12),"-")</f>
        <v>0</v>
      </c>
      <c r="O13" s="15" cm="1">
        <f t="array" ref="O13">IFERROR((_xlfn._xlws.FILTER(INDEX(Margin[],0,MATCH(O$1&amp;"_"&amp;O$3,Margin[#Headers],0)),(Margin[Index]=O$2)*(Margin[Strategy]=O$5))*O12)/Client_Margin($C12),"-")</f>
        <v>0</v>
      </c>
    </row>
    <row r="14" spans="1:21" x14ac:dyDescent="0.25">
      <c r="A14" t="str">
        <f>_xlfn.XLOOKUP(C14,'OI QTY'!$O$5:$O$21,'OI QTY'!$N$5:$N$21,"")</f>
        <v>M</v>
      </c>
      <c r="B14">
        <f t="shared" ref="B14:B15" si="1">IF(C14="",0,1)</f>
        <v>1</v>
      </c>
      <c r="C14" s="14" t="s">
        <v>123</v>
      </c>
      <c r="D14" s="14" cm="1">
        <f t="array" ref="D14">(_xlfn._xlws.FILTER(Fund[Margin],Fund[Client Id]=C14))/10000000</f>
        <v>4</v>
      </c>
      <c r="E14" s="17"/>
      <c r="F14" s="14" t="str" cm="1">
        <f t="array" ref="F14">IFERROR(IF(ROUNDUP((Client_Margin($C14)*Alloted(F$3,F$2,F$5)/Get_Margin(F$3,F$2,F$5,F$1)),0)*Get_Margin(F$3,F$2,F$5,F$1)&gt;((Client_Margin($C14)*Alloted(F$3,F$2,F$5)/Get_Margin(F$3,F$2,F$5,F$1))*Get_Margin(F$3,F$2,F$5,F$1))*$D$3,ROUNDDOWN((Client_Margin($C14)*Alloted(F$3,F$2,F$5)/Get_Margin(F$3,F$2,F$5,F$1)),0),ROUNDUP((Client_Margin($C14)*Alloted(F$3,F$2,F$5)/Get_Margin(F$3,F$2,F$5,F$1)),0)),"-")</f>
        <v>-</v>
      </c>
      <c r="G14" s="14" t="str" cm="1">
        <f t="array" ref="G14">IFERROR(IF(ROUNDUP((Client_Margin($C14)*Alloted(G$3,G$2,G$5)/Get_Margin(G$3,G$2,G$5,G$1)),0)*Get_Margin(G$3,G$2,G$5,G$1)&gt;((Client_Margin($C14)*Alloted(G$3,G$2,G$5)/Get_Margin(G$3,G$2,G$5,G$1))*Get_Margin(G$3,G$2,G$5,G$1))*$D$3,ROUNDDOWN((Client_Margin($C14)*Alloted(G$3,G$2,G$5)/Get_Margin(G$3,G$2,G$5,G$1)),0),ROUNDUP((Client_Margin($C14)*Alloted(G$3,G$2,G$5)/Get_Margin(G$3,G$2,G$5,G$1)),0)),"-")</f>
        <v>-</v>
      </c>
      <c r="H14" s="14" cm="1">
        <f t="array" ref="H14">IFERROR(IF(ROUNDUP((Client_Margin($C14)*Alloted(H$3,H$2,H$5)/Get_Margin(H$3,H$2,H$5,H$1)),0)*Get_Margin(H$3,H$2,H$5,H$1)&gt;((Client_Margin($C14)*Alloted(H$3,H$2,H$5)/Get_Margin(H$3,H$2,H$5,H$1))*Get_Margin(H$3,H$2,H$5,H$1))*$D$3,ROUNDDOWN((Client_Margin($C14)*Alloted(H$3,H$2,H$5)/Get_Margin(H$3,H$2,H$5,H$1)),0),ROUNDUP((Client_Margin($C14)*Alloted(H$3,H$2,H$5)/Get_Margin(H$3,H$2,H$5,H$1)),0)),"-")</f>
        <v>6</v>
      </c>
      <c r="I14" s="14" cm="1">
        <f t="array" ref="I14">IFERROR(IF(ROUNDUP((Client_Margin($C14)*Alloted(I$3,I$2,I$5)/Get_Margin(I$3,I$2,I$5,I$1)),0)*Get_Margin(I$3,I$2,I$5,I$1)&gt;((Client_Margin($C14)*Alloted(I$3,I$2,I$5)/Get_Margin(I$3,I$2,I$5,I$1))*Get_Margin(I$3,I$2,I$5,I$1))*$D$3,ROUNDDOWN((Client_Margin($C14)*Alloted(I$3,I$2,I$5)/Get_Margin(I$3,I$2,I$5,I$1)),0),ROUNDUP((Client_Margin($C14)*Alloted(I$3,I$2,I$5)/Get_Margin(I$3,I$2,I$5,I$1)),0)),"-")</f>
        <v>2</v>
      </c>
      <c r="J14" s="14" cm="1">
        <f t="array" ref="J14">IFERROR(IF(ROUNDUP((Client_Margin($C14)*Alloted(J$3,J$2,J$5)/Get_Margin(J$3,J$2,J$5,J$1)),0)*Get_Margin(J$3,J$2,J$5,J$1)&gt;((Client_Margin($C14)*Alloted(J$3,J$2,J$5)/Get_Margin(J$3,J$2,J$5,J$1))*Get_Margin(J$3,J$2,J$5,J$1))*$D$3,ROUNDDOWN((Client_Margin($C14)*Alloted(J$3,J$2,J$5)/Get_Margin(J$3,J$2,J$5,J$1)),0),ROUNDUP((Client_Margin($C14)*Alloted(J$3,J$2,J$5)/Get_Margin(J$3,J$2,J$5,J$1)),0)),"-")</f>
        <v>2</v>
      </c>
      <c r="K14" s="14" cm="1">
        <f t="array" ref="K14">IFERROR(IF(ROUNDUP((Client_Margin($C14)*Alloted(K$3,K$2,K$5)/Get_Margin(K$3,K$2,K$5,K$1)),0)*Get_Margin(K$3,K$2,K$5,K$1)&gt;((Client_Margin($C14)*Alloted(K$3,K$2,K$5)/Get_Margin(K$3,K$2,K$5,K$1))*Get_Margin(K$3,K$2,K$5,K$1))*$D$3,ROUNDDOWN((Client_Margin($C14)*Alloted(K$3,K$2,K$5)/Get_Margin(K$3,K$2,K$5,K$1)),0),ROUNDUP((Client_Margin($C14)*Alloted(K$3,K$2,K$5)/Get_Margin(K$3,K$2,K$5,K$1)),0)),"-")</f>
        <v>0</v>
      </c>
      <c r="L14" s="14" cm="1">
        <f t="array" ref="L14">IFERROR(IF(ROUNDUP((Client_Margin($C14)*Alloted(L$3,L$2,L$5)/Get_Margin(L$3,L$2,L$5,L$1)),0)*Get_Margin(L$3,L$2,L$5,L$1)&gt;((Client_Margin($C14)*Alloted(L$3,L$2,L$5)/Get_Margin(L$3,L$2,L$5,L$1))*Get_Margin(L$3,L$2,L$5,L$1))*$D$3,ROUNDDOWN((Client_Margin($C14)*Alloted(L$3,L$2,L$5)/Get_Margin(L$3,L$2,L$5,L$1)),0),ROUNDUP((Client_Margin($C14)*Alloted(L$3,L$2,L$5)/Get_Margin(L$3,L$2,L$5,L$1)),0)),"-")</f>
        <v>0</v>
      </c>
      <c r="M14" s="14" cm="1">
        <f t="array" ref="M14">IFERROR(IF(ROUNDUP((Client_Margin($C14)*Alloted(M$3,M$2,M$5)/Get_Margin(M$3,M$2,M$5,M$1)),0)*Get_Margin(M$3,M$2,M$5,M$1)&gt;((Client_Margin($C14)*Alloted(M$3,M$2,M$5)/Get_Margin(M$3,M$2,M$5,M$1))*Get_Margin(M$3,M$2,M$5,M$1))*$D$3,ROUNDDOWN((Client_Margin($C14)*Alloted(M$3,M$2,M$5)/Get_Margin(M$3,M$2,M$5,M$1)),0),ROUNDUP((Client_Margin($C14)*Alloted(M$3,M$2,M$5)/Get_Margin(M$3,M$2,M$5,M$1)),0)),"-")</f>
        <v>0</v>
      </c>
      <c r="N14" s="14" cm="1">
        <f t="array" ref="N14">IFERROR(IF(ROUNDUP((Client_Margin($C14)*Alloted(N$3,N$2,N$5)/Get_Margin(N$3,N$2,N$5,N$1)),0)*Get_Margin(N$3,N$2,N$5,N$1)&gt;((Client_Margin($C14)*Alloted(N$3,N$2,N$5)/Get_Margin(N$3,N$2,N$5,N$1))*Get_Margin(N$3,N$2,N$5,N$1))*$D$3,ROUNDDOWN((Client_Margin($C14)*Alloted(N$3,N$2,N$5)/Get_Margin(N$3,N$2,N$5,N$1)),0),ROUNDUP((Client_Margin($C14)*Alloted(N$3,N$2,N$5)/Get_Margin(N$3,N$2,N$5,N$1)),0)),"-")</f>
        <v>0</v>
      </c>
      <c r="O14" s="14" cm="1">
        <f t="array" ref="O14">IFERROR(IF(ROUNDUP((Client_Margin($C14)*Alloted(O$3,O$2,O$5)/Get_Margin(O$3,O$2,O$5,O$1)),0)*Get_Margin(O$3,O$2,O$5,O$1)&gt;((Client_Margin($C14)*Alloted(O$3,O$2,O$5)/Get_Margin(O$3,O$2,O$5,O$1))*Get_Margin(O$3,O$2,O$5,O$1))*$D$3,ROUNDDOWN((Client_Margin($C14)*Alloted(O$3,O$2,O$5)/Get_Margin(O$3,O$2,O$5,O$1)),0),ROUNDUP((Client_Margin($C14)*Alloted(O$3,O$2,O$5)/Get_Margin(O$3,O$2,O$5,O$1)),0)),"-")</f>
        <v>0</v>
      </c>
    </row>
    <row r="15" spans="1:21" hidden="1" x14ac:dyDescent="0.25">
      <c r="A15">
        <f>_xlfn.XLOOKUP(C15,'OI QTY'!$O$5:$O$21,'OI QTY'!$N$5:$N$21,"")</f>
        <v>0</v>
      </c>
      <c r="B15">
        <f t="shared" si="1"/>
        <v>0</v>
      </c>
      <c r="C15" s="14"/>
      <c r="D15" s="14"/>
      <c r="E15" s="15">
        <f>SUM(F15:O15)</f>
        <v>0.27800000000000002</v>
      </c>
      <c r="F15" s="15" t="str" cm="1">
        <f t="array" ref="F15">IFERROR((_xlfn._xlws.FILTER(INDEX(Margin[],0,MATCH(F$1&amp;"_"&amp;F$3,Margin[#Headers],0)),(Margin[Index]=F$2)*(Margin[Strategy]=F$5))*F14)/Client_Margin($C14),"-")</f>
        <v>-</v>
      </c>
      <c r="G15" s="15" t="str" cm="1">
        <f t="array" ref="G15">IFERROR((_xlfn._xlws.FILTER(INDEX(Margin[],0,MATCH(G$1&amp;"_"&amp;G$3,Margin[#Headers],0)),(Margin[Index]=G$2)*(Margin[Strategy]=G$5))*G14)/Client_Margin($C14),"-")</f>
        <v>-</v>
      </c>
      <c r="H15" s="15" cm="1">
        <f t="array" ref="H15">IFERROR((_xlfn._xlws.FILTER(INDEX(Margin[],0,MATCH(H$1&amp;"_"&amp;H$3,Margin[#Headers],0)),(Margin[Index]=H$2)*(Margin[Strategy]=H$5))*H14)/Client_Margin($C14),"-")</f>
        <v>0.10440000000000001</v>
      </c>
      <c r="I15" s="15" cm="1">
        <f t="array" ref="I15">IFERROR((_xlfn._xlws.FILTER(INDEX(Margin[],0,MATCH(I$1&amp;"_"&amp;I$3,Margin[#Headers],0)),(Margin[Index]=I$2)*(Margin[Strategy]=I$5))*I14)/Client_Margin($C14),"-")</f>
        <v>9.3600000000000003E-2</v>
      </c>
      <c r="J15" s="15" cm="1">
        <f t="array" ref="J15">IFERROR((_xlfn._xlws.FILTER(INDEX(Margin[],0,MATCH(J$1&amp;"_"&amp;J$3,Margin[#Headers],0)),(Margin[Index]=J$2)*(Margin[Strategy]=J$5))*J14)/Client_Margin($C14),"-")</f>
        <v>0.08</v>
      </c>
      <c r="K15" s="15" cm="1">
        <f t="array" ref="K15">IFERROR((_xlfn._xlws.FILTER(INDEX(Margin[],0,MATCH(K$1&amp;"_"&amp;K$3,Margin[#Headers],0)),(Margin[Index]=K$2)*(Margin[Strategy]=K$5))*K14)/Client_Margin($C14),"-")</f>
        <v>0</v>
      </c>
      <c r="L15" s="15" cm="1">
        <f t="array" ref="L15">IFERROR((_xlfn._xlws.FILTER(INDEX(Margin[],0,MATCH(L$1&amp;"_"&amp;L$3,Margin[#Headers],0)),(Margin[Index]=L$2)*(Margin[Strategy]=L$5))*L14)/Client_Margin($C14),"-")</f>
        <v>0</v>
      </c>
      <c r="M15" s="15" cm="1">
        <f t="array" ref="M15">IFERROR((_xlfn._xlws.FILTER(INDEX(Margin[],0,MATCH(M$1&amp;"_"&amp;M$3,Margin[#Headers],0)),(Margin[Index]=M$2)*(Margin[Strategy]=M$5))*M14)/Client_Margin($C14),"-")</f>
        <v>0</v>
      </c>
      <c r="N15" s="15" cm="1">
        <f t="array" ref="N15">IFERROR((_xlfn._xlws.FILTER(INDEX(Margin[],0,MATCH(N$1&amp;"_"&amp;N$3,Margin[#Headers],0)),(Margin[Index]=N$2)*(Margin[Strategy]=N$5))*N14)/Client_Margin($C14),"-")</f>
        <v>0</v>
      </c>
      <c r="O15" s="15" cm="1">
        <f t="array" ref="O15">IFERROR((_xlfn._xlws.FILTER(INDEX(Margin[],0,MATCH(O$1&amp;"_"&amp;O$3,Margin[#Headers],0)),(Margin[Index]=O$2)*(Margin[Strategy]=O$5))*O14)/Client_Margin($C14),"-")</f>
        <v>0</v>
      </c>
    </row>
    <row r="16" spans="1:21" x14ac:dyDescent="0.25">
      <c r="A16" t="str">
        <f>_xlfn.XLOOKUP(C16,'OI QTY'!$O$5:$O$21,'OI QTY'!$N$5:$N$21,"")</f>
        <v>M</v>
      </c>
      <c r="B16">
        <f t="shared" ref="B16:B27" si="2">IF(C16="",0,1)</f>
        <v>1</v>
      </c>
      <c r="C16" s="14" t="s">
        <v>128</v>
      </c>
      <c r="D16" s="14" cm="1">
        <f t="array" ref="D16">(_xlfn._xlws.FILTER(Fund[Margin],Fund[Client Id]=C16))/10000000</f>
        <v>2</v>
      </c>
      <c r="E16" s="17"/>
      <c r="F16" s="14" t="str" cm="1">
        <f t="array" ref="F16">IFERROR(IF(ROUNDUP((Client_Margin($C16)*Alloted(F$3,F$2,F$5)/Get_Margin(F$3,F$2,F$5,F$1)),0)*Get_Margin(F$3,F$2,F$5,F$1)&gt;((Client_Margin($C16)*Alloted(F$3,F$2,F$5)/Get_Margin(F$3,F$2,F$5,F$1))*Get_Margin(F$3,F$2,F$5,F$1))*$D$3,ROUNDDOWN((Client_Margin($C16)*Alloted(F$3,F$2,F$5)/Get_Margin(F$3,F$2,F$5,F$1)),0),ROUNDUP((Client_Margin($C16)*Alloted(F$3,F$2,F$5)/Get_Margin(F$3,F$2,F$5,F$1)),0)),"-")</f>
        <v>-</v>
      </c>
      <c r="G16" s="14" t="str" cm="1">
        <f t="array" ref="G16">IFERROR(IF(ROUNDUP((Client_Margin($C16)*Alloted(G$3,G$2,G$5)/Get_Margin(G$3,G$2,G$5,G$1)),0)*Get_Margin(G$3,G$2,G$5,G$1)&gt;((Client_Margin($C16)*Alloted(G$3,G$2,G$5)/Get_Margin(G$3,G$2,G$5,G$1))*Get_Margin(G$3,G$2,G$5,G$1))*$D$3,ROUNDDOWN((Client_Margin($C16)*Alloted(G$3,G$2,G$5)/Get_Margin(G$3,G$2,G$5,G$1)),0),ROUNDUP((Client_Margin($C16)*Alloted(G$3,G$2,G$5)/Get_Margin(G$3,G$2,G$5,G$1)),0)),"-")</f>
        <v>-</v>
      </c>
      <c r="H16" s="14" cm="1">
        <f t="array" ref="H16">IFERROR(IF(ROUNDUP((Client_Margin($C16)*Alloted(H$3,H$2,H$5)/Get_Margin(H$3,H$2,H$5,H$1)),0)*Get_Margin(H$3,H$2,H$5,H$1)&gt;((Client_Margin($C16)*Alloted(H$3,H$2,H$5)/Get_Margin(H$3,H$2,H$5,H$1))*Get_Margin(H$3,H$2,H$5,H$1))*$D$3,ROUNDDOWN((Client_Margin($C16)*Alloted(H$3,H$2,H$5)/Get_Margin(H$3,H$2,H$5,H$1)),0),ROUNDUP((Client_Margin($C16)*Alloted(H$3,H$2,H$5)/Get_Margin(H$3,H$2,H$5,H$1)),0)),"-")</f>
        <v>3</v>
      </c>
      <c r="I16" s="14" cm="1">
        <f t="array" ref="I16">IFERROR(IF(ROUNDUP((Client_Margin($C16)*Alloted(I$3,I$2,I$5)/Get_Margin(I$3,I$2,I$5,I$1)),0)*Get_Margin(I$3,I$2,I$5,I$1)&gt;((Client_Margin($C16)*Alloted(I$3,I$2,I$5)/Get_Margin(I$3,I$2,I$5,I$1))*Get_Margin(I$3,I$2,I$5,I$1))*$D$3,ROUNDDOWN((Client_Margin($C16)*Alloted(I$3,I$2,I$5)/Get_Margin(I$3,I$2,I$5,I$1)),0),ROUNDUP((Client_Margin($C16)*Alloted(I$3,I$2,I$5)/Get_Margin(I$3,I$2,I$5,I$1)),0)),"-")</f>
        <v>1</v>
      </c>
      <c r="J16" s="14" cm="1">
        <f t="array" ref="J16">IFERROR(IF(ROUNDUP((Client_Margin($C16)*Alloted(J$3,J$2,J$5)/Get_Margin(J$3,J$2,J$5,J$1)),0)*Get_Margin(J$3,J$2,J$5,J$1)&gt;((Client_Margin($C16)*Alloted(J$3,J$2,J$5)/Get_Margin(J$3,J$2,J$5,J$1))*Get_Margin(J$3,J$2,J$5,J$1))*$D$3,ROUNDDOWN((Client_Margin($C16)*Alloted(J$3,J$2,J$5)/Get_Margin(J$3,J$2,J$5,J$1)),0),ROUNDUP((Client_Margin($C16)*Alloted(J$3,J$2,J$5)/Get_Margin(J$3,J$2,J$5,J$1)),0)),"-")</f>
        <v>1</v>
      </c>
      <c r="K16" s="14" cm="1">
        <f t="array" ref="K16">IFERROR(IF(ROUNDUP((Client_Margin($C16)*Alloted(K$3,K$2,K$5)/Get_Margin(K$3,K$2,K$5,K$1)),0)*Get_Margin(K$3,K$2,K$5,K$1)&gt;((Client_Margin($C16)*Alloted(K$3,K$2,K$5)/Get_Margin(K$3,K$2,K$5,K$1))*Get_Margin(K$3,K$2,K$5,K$1))*$D$3,ROUNDDOWN((Client_Margin($C16)*Alloted(K$3,K$2,K$5)/Get_Margin(K$3,K$2,K$5,K$1)),0),ROUNDUP((Client_Margin($C16)*Alloted(K$3,K$2,K$5)/Get_Margin(K$3,K$2,K$5,K$1)),0)),"-")</f>
        <v>0</v>
      </c>
      <c r="L16" s="14" cm="1">
        <f t="array" ref="L16">IFERROR(IF(ROUNDUP((Client_Margin($C16)*Alloted(L$3,L$2,L$5)/Get_Margin(L$3,L$2,L$5,L$1)),0)*Get_Margin(L$3,L$2,L$5,L$1)&gt;((Client_Margin($C16)*Alloted(L$3,L$2,L$5)/Get_Margin(L$3,L$2,L$5,L$1))*Get_Margin(L$3,L$2,L$5,L$1))*$D$3,ROUNDDOWN((Client_Margin($C16)*Alloted(L$3,L$2,L$5)/Get_Margin(L$3,L$2,L$5,L$1)),0),ROUNDUP((Client_Margin($C16)*Alloted(L$3,L$2,L$5)/Get_Margin(L$3,L$2,L$5,L$1)),0)),"-")</f>
        <v>0</v>
      </c>
      <c r="M16" s="14" cm="1">
        <f t="array" ref="M16">IFERROR(IF(ROUNDUP((Client_Margin($C16)*Alloted(M$3,M$2,M$5)/Get_Margin(M$3,M$2,M$5,M$1)),0)*Get_Margin(M$3,M$2,M$5,M$1)&gt;((Client_Margin($C16)*Alloted(M$3,M$2,M$5)/Get_Margin(M$3,M$2,M$5,M$1))*Get_Margin(M$3,M$2,M$5,M$1))*$D$3,ROUNDDOWN((Client_Margin($C16)*Alloted(M$3,M$2,M$5)/Get_Margin(M$3,M$2,M$5,M$1)),0),ROUNDUP((Client_Margin($C16)*Alloted(M$3,M$2,M$5)/Get_Margin(M$3,M$2,M$5,M$1)),0)),"-")</f>
        <v>0</v>
      </c>
      <c r="N16" s="14" cm="1">
        <f t="array" ref="N16">IFERROR(IF(ROUNDUP((Client_Margin($C16)*Alloted(N$3,N$2,N$5)/Get_Margin(N$3,N$2,N$5,N$1)),0)*Get_Margin(N$3,N$2,N$5,N$1)&gt;((Client_Margin($C16)*Alloted(N$3,N$2,N$5)/Get_Margin(N$3,N$2,N$5,N$1))*Get_Margin(N$3,N$2,N$5,N$1))*$D$3,ROUNDDOWN((Client_Margin($C16)*Alloted(N$3,N$2,N$5)/Get_Margin(N$3,N$2,N$5,N$1)),0),ROUNDUP((Client_Margin($C16)*Alloted(N$3,N$2,N$5)/Get_Margin(N$3,N$2,N$5,N$1)),0)),"-")</f>
        <v>0</v>
      </c>
      <c r="O16" s="14" cm="1">
        <f t="array" ref="O16">IFERROR(IF(ROUNDUP((Client_Margin($C16)*Alloted(O$3,O$2,O$5)/Get_Margin(O$3,O$2,O$5,O$1)),0)*Get_Margin(O$3,O$2,O$5,O$1)&gt;((Client_Margin($C16)*Alloted(O$3,O$2,O$5)/Get_Margin(O$3,O$2,O$5,O$1))*Get_Margin(O$3,O$2,O$5,O$1))*$D$3,ROUNDDOWN((Client_Margin($C16)*Alloted(O$3,O$2,O$5)/Get_Margin(O$3,O$2,O$5,O$1)),0),ROUNDUP((Client_Margin($C16)*Alloted(O$3,O$2,O$5)/Get_Margin(O$3,O$2,O$5,O$1)),0)),"-")</f>
        <v>0</v>
      </c>
    </row>
    <row r="17" spans="1:15" hidden="1" x14ac:dyDescent="0.25">
      <c r="A17">
        <f>_xlfn.XLOOKUP(C17,'OI QTY'!$O$5:$O$21,'OI QTY'!$N$5:$N$21,"")</f>
        <v>0</v>
      </c>
      <c r="B17">
        <f t="shared" si="2"/>
        <v>0</v>
      </c>
      <c r="C17" s="14"/>
      <c r="D17" s="14"/>
      <c r="E17" s="15">
        <f>SUM(F17:O17)</f>
        <v>0.27800000000000002</v>
      </c>
      <c r="F17" s="15" t="str" cm="1">
        <f t="array" ref="F17">IFERROR((_xlfn._xlws.FILTER(INDEX(Margin[],0,MATCH(F$1&amp;"_"&amp;F$3,Margin[#Headers],0)),(Margin[Index]=F$2)*(Margin[Strategy]=F$5))*F16)/Client_Margin($C16),"-")</f>
        <v>-</v>
      </c>
      <c r="G17" s="15" t="str" cm="1">
        <f t="array" ref="G17">IFERROR((_xlfn._xlws.FILTER(INDEX(Margin[],0,MATCH(G$1&amp;"_"&amp;G$3,Margin[#Headers],0)),(Margin[Index]=G$2)*(Margin[Strategy]=G$5))*G16)/Client_Margin($C16),"-")</f>
        <v>-</v>
      </c>
      <c r="H17" s="15" cm="1">
        <f t="array" ref="H17">IFERROR((_xlfn._xlws.FILTER(INDEX(Margin[],0,MATCH(H$1&amp;"_"&amp;H$3,Margin[#Headers],0)),(Margin[Index]=H$2)*(Margin[Strategy]=H$5))*H16)/Client_Margin($C16),"-")</f>
        <v>0.10440000000000001</v>
      </c>
      <c r="I17" s="15" cm="1">
        <f t="array" ref="I17">IFERROR((_xlfn._xlws.FILTER(INDEX(Margin[],0,MATCH(I$1&amp;"_"&amp;I$3,Margin[#Headers],0)),(Margin[Index]=I$2)*(Margin[Strategy]=I$5))*I16)/Client_Margin($C16),"-")</f>
        <v>9.3600000000000003E-2</v>
      </c>
      <c r="J17" s="15" cm="1">
        <f t="array" ref="J17">IFERROR((_xlfn._xlws.FILTER(INDEX(Margin[],0,MATCH(J$1&amp;"_"&amp;J$3,Margin[#Headers],0)),(Margin[Index]=J$2)*(Margin[Strategy]=J$5))*J16)/Client_Margin($C16),"-")</f>
        <v>0.08</v>
      </c>
      <c r="K17" s="15" cm="1">
        <f t="array" ref="K17">IFERROR((_xlfn._xlws.FILTER(INDEX(Margin[],0,MATCH(K$1&amp;"_"&amp;K$3,Margin[#Headers],0)),(Margin[Index]=K$2)*(Margin[Strategy]=K$5))*K16)/Client_Margin($C16),"-")</f>
        <v>0</v>
      </c>
      <c r="L17" s="15" cm="1">
        <f t="array" ref="L17">IFERROR((_xlfn._xlws.FILTER(INDEX(Margin[],0,MATCH(L$1&amp;"_"&amp;L$3,Margin[#Headers],0)),(Margin[Index]=L$2)*(Margin[Strategy]=L$5))*L16)/Client_Margin($C16),"-")</f>
        <v>0</v>
      </c>
      <c r="M17" s="15" cm="1">
        <f t="array" ref="M17">IFERROR((_xlfn._xlws.FILTER(INDEX(Margin[],0,MATCH(M$1&amp;"_"&amp;M$3,Margin[#Headers],0)),(Margin[Index]=M$2)*(Margin[Strategy]=M$5))*M16)/Client_Margin($C16),"-")</f>
        <v>0</v>
      </c>
      <c r="N17" s="15" cm="1">
        <f t="array" ref="N17">IFERROR((_xlfn._xlws.FILTER(INDEX(Margin[],0,MATCH(N$1&amp;"_"&amp;N$3,Margin[#Headers],0)),(Margin[Index]=N$2)*(Margin[Strategy]=N$5))*N16)/Client_Margin($C16),"-")</f>
        <v>0</v>
      </c>
      <c r="O17" s="15" cm="1">
        <f t="array" ref="O17">IFERROR((_xlfn._xlws.FILTER(INDEX(Margin[],0,MATCH(O$1&amp;"_"&amp;O$3,Margin[#Headers],0)),(Margin[Index]=O$2)*(Margin[Strategy]=O$5))*O16)/Client_Margin($C16),"-")</f>
        <v>0</v>
      </c>
    </row>
    <row r="18" spans="1:15" hidden="1" x14ac:dyDescent="0.25">
      <c r="A18" t="str">
        <f>_xlfn.XLOOKUP(C18,'OI QTY'!$O$5:$O$21,'OI QTY'!$N$5:$N$21,"")</f>
        <v/>
      </c>
      <c r="B18">
        <f t="shared" si="2"/>
        <v>1</v>
      </c>
      <c r="C18" s="14" t="s">
        <v>34</v>
      </c>
      <c r="D18" s="14" cm="1">
        <f t="array" ref="D18">(_xlfn._xlws.FILTER(Fund[Margin],Fund[Client Id]=C18))/10000000</f>
        <v>5.0999999999999996</v>
      </c>
      <c r="E18" s="17"/>
      <c r="F18" s="14" t="str" cm="1">
        <f t="array" ref="F18">IFERROR(IF(ROUNDUP((Client_Margin($C18)*Alloted(F$3,F$2,F$5)/Get_Margin(F$3,F$2,F$5,F$1)),0)*Get_Margin(F$3,F$2,F$5,F$1)&gt;((Client_Margin($C18)*Alloted(F$3,F$2,F$5)/Get_Margin(F$3,F$2,F$5,F$1))*Get_Margin(F$3,F$2,F$5,F$1))*$D$3,ROUNDDOWN((Client_Margin($C18)*Alloted(F$3,F$2,F$5)/Get_Margin(F$3,F$2,F$5,F$1)),0),ROUNDUP((Client_Margin($C18)*Alloted(F$3,F$2,F$5)/Get_Margin(F$3,F$2,F$5,F$1)),0)),"-")</f>
        <v>-</v>
      </c>
      <c r="G18" s="14" t="str" cm="1">
        <f t="array" ref="G18">IFERROR(IF(ROUNDUP((Client_Margin($C18)*Alloted(G$3,G$2,G$5)/Get_Margin(G$3,G$2,G$5,G$1)),0)*Get_Margin(G$3,G$2,G$5,G$1)&gt;((Client_Margin($C18)*Alloted(G$3,G$2,G$5)/Get_Margin(G$3,G$2,G$5,G$1))*Get_Margin(G$3,G$2,G$5,G$1))*$D$3,ROUNDDOWN((Client_Margin($C18)*Alloted(G$3,G$2,G$5)/Get_Margin(G$3,G$2,G$5,G$1)),0),ROUNDUP((Client_Margin($C18)*Alloted(G$3,G$2,G$5)/Get_Margin(G$3,G$2,G$5,G$1)),0)),"-")</f>
        <v>-</v>
      </c>
      <c r="H18" s="14" cm="1">
        <f t="array" ref="H18">IFERROR(IF(ROUNDUP((Client_Margin($C18)*Alloted(H$3,H$2,H$5)/Get_Margin(H$3,H$2,H$5,H$1)),0)*Get_Margin(H$3,H$2,H$5,H$1)&gt;((Client_Margin($C18)*Alloted(H$3,H$2,H$5)/Get_Margin(H$3,H$2,H$5,H$1))*Get_Margin(H$3,H$2,H$5,H$1))*$D$3,ROUNDDOWN((Client_Margin($C18)*Alloted(H$3,H$2,H$5)/Get_Margin(H$3,H$2,H$5,H$1)),0),ROUNDUP((Client_Margin($C18)*Alloted(H$3,H$2,H$5)/Get_Margin(H$3,H$2,H$5,H$1)),0)),"-")</f>
        <v>8</v>
      </c>
      <c r="I18" s="14" cm="1">
        <f t="array" ref="I18">IFERROR(IF(ROUNDUP((Client_Margin($C18)*Alloted(I$3,I$2,I$5)/Get_Margin(I$3,I$2,I$5,I$1)),0)*Get_Margin(I$3,I$2,I$5,I$1)&gt;((Client_Margin($C18)*Alloted(I$3,I$2,I$5)/Get_Margin(I$3,I$2,I$5,I$1))*Get_Margin(I$3,I$2,I$5,I$1))*$D$3,ROUNDDOWN((Client_Margin($C18)*Alloted(I$3,I$2,I$5)/Get_Margin(I$3,I$2,I$5,I$1)),0),ROUNDUP((Client_Margin($C18)*Alloted(I$3,I$2,I$5)/Get_Margin(I$3,I$2,I$5,I$1)),0)),"-")</f>
        <v>3</v>
      </c>
      <c r="J18" s="14" cm="1">
        <f t="array" ref="J18">IFERROR(IF(ROUNDUP((Client_Margin($C18)*Alloted(J$3,J$2,J$5)/Get_Margin(J$3,J$2,J$5,J$1)),0)*Get_Margin(J$3,J$2,J$5,J$1)&gt;((Client_Margin($C18)*Alloted(J$3,J$2,J$5)/Get_Margin(J$3,J$2,J$5,J$1))*Get_Margin(J$3,J$2,J$5,J$1))*$D$3,ROUNDDOWN((Client_Margin($C18)*Alloted(J$3,J$2,J$5)/Get_Margin(J$3,J$2,J$5,J$1)),0),ROUNDUP((Client_Margin($C18)*Alloted(J$3,J$2,J$5)/Get_Margin(J$3,J$2,J$5,J$1)),0)),"-")</f>
        <v>3</v>
      </c>
      <c r="K18" s="14" cm="1">
        <f t="array" ref="K18">IFERROR(IF(ROUNDUP((Client_Margin($C18)*Alloted(K$3,K$2,K$5)/Get_Margin(K$3,K$2,K$5,K$1)),0)*Get_Margin(K$3,K$2,K$5,K$1)&gt;((Client_Margin($C18)*Alloted(K$3,K$2,K$5)/Get_Margin(K$3,K$2,K$5,K$1))*Get_Margin(K$3,K$2,K$5,K$1))*$D$3,ROUNDDOWN((Client_Margin($C18)*Alloted(K$3,K$2,K$5)/Get_Margin(K$3,K$2,K$5,K$1)),0),ROUNDUP((Client_Margin($C18)*Alloted(K$3,K$2,K$5)/Get_Margin(K$3,K$2,K$5,K$1)),0)),"-")</f>
        <v>0</v>
      </c>
      <c r="L18" s="14" cm="1">
        <f t="array" ref="L18">IFERROR(IF(ROUNDUP((Client_Margin($C18)*Alloted(L$3,L$2,L$5)/Get_Margin(L$3,L$2,L$5,L$1)),0)*Get_Margin(L$3,L$2,L$5,L$1)&gt;((Client_Margin($C18)*Alloted(L$3,L$2,L$5)/Get_Margin(L$3,L$2,L$5,L$1))*Get_Margin(L$3,L$2,L$5,L$1))*$D$3,ROUNDDOWN((Client_Margin($C18)*Alloted(L$3,L$2,L$5)/Get_Margin(L$3,L$2,L$5,L$1)),0),ROUNDUP((Client_Margin($C18)*Alloted(L$3,L$2,L$5)/Get_Margin(L$3,L$2,L$5,L$1)),0)),"-")</f>
        <v>0</v>
      </c>
      <c r="M18" s="14" cm="1">
        <f t="array" ref="M18">IFERROR(IF(ROUNDUP((Client_Margin($C18)*Alloted(M$3,M$2,M$5)/Get_Margin(M$3,M$2,M$5,M$1)),0)*Get_Margin(M$3,M$2,M$5,M$1)&gt;((Client_Margin($C18)*Alloted(M$3,M$2,M$5)/Get_Margin(M$3,M$2,M$5,M$1))*Get_Margin(M$3,M$2,M$5,M$1))*$D$3,ROUNDDOWN((Client_Margin($C18)*Alloted(M$3,M$2,M$5)/Get_Margin(M$3,M$2,M$5,M$1)),0),ROUNDUP((Client_Margin($C18)*Alloted(M$3,M$2,M$5)/Get_Margin(M$3,M$2,M$5,M$1)),0)),"-")</f>
        <v>0</v>
      </c>
      <c r="N18" s="14" cm="1">
        <f t="array" ref="N18">IFERROR(IF(ROUNDUP((Client_Margin($C18)*Alloted(N$3,N$2,N$5)/Get_Margin(N$3,N$2,N$5,N$1)),0)*Get_Margin(N$3,N$2,N$5,N$1)&gt;((Client_Margin($C18)*Alloted(N$3,N$2,N$5)/Get_Margin(N$3,N$2,N$5,N$1))*Get_Margin(N$3,N$2,N$5,N$1))*$D$3,ROUNDDOWN((Client_Margin($C18)*Alloted(N$3,N$2,N$5)/Get_Margin(N$3,N$2,N$5,N$1)),0),ROUNDUP((Client_Margin($C18)*Alloted(N$3,N$2,N$5)/Get_Margin(N$3,N$2,N$5,N$1)),0)),"-")</f>
        <v>0</v>
      </c>
      <c r="O18" s="14" cm="1">
        <f t="array" ref="O18">IFERROR(IF(ROUNDUP((Client_Margin($C18)*Alloted(O$3,O$2,O$5)/Get_Margin(O$3,O$2,O$5,O$1)),0)*Get_Margin(O$3,O$2,O$5,O$1)&gt;((Client_Margin($C18)*Alloted(O$3,O$2,O$5)/Get_Margin(O$3,O$2,O$5,O$1))*Get_Margin(O$3,O$2,O$5,O$1))*$D$3,ROUNDDOWN((Client_Margin($C18)*Alloted(O$3,O$2,O$5)/Get_Margin(O$3,O$2,O$5,O$1)),0),ROUNDUP((Client_Margin($C18)*Alloted(O$3,O$2,O$5)/Get_Margin(O$3,O$2,O$5,O$1)),0)),"-")</f>
        <v>0</v>
      </c>
    </row>
    <row r="19" spans="1:15" hidden="1" x14ac:dyDescent="0.25">
      <c r="A19">
        <f>_xlfn.XLOOKUP(C19,'OI QTY'!$O$5:$O$21,'OI QTY'!$N$5:$N$21,"")</f>
        <v>0</v>
      </c>
      <c r="B19">
        <f t="shared" si="2"/>
        <v>0</v>
      </c>
      <c r="C19" s="14"/>
      <c r="D19" s="14"/>
      <c r="E19" s="15">
        <f>SUM(F19:O19)</f>
        <v>0.31341176470588233</v>
      </c>
      <c r="F19" s="15" t="str" cm="1">
        <f t="array" ref="F19">IFERROR((_xlfn._xlws.FILTER(INDEX(Margin[],0,MATCH(F$1&amp;"_"&amp;F$3,Margin[#Headers],0)),(Margin[Index]=F$2)*(Margin[Strategy]=F$5))*F18)/Client_Margin($C18),"-")</f>
        <v>-</v>
      </c>
      <c r="G19" s="15" t="str" cm="1">
        <f t="array" ref="G19">IFERROR((_xlfn._xlws.FILTER(INDEX(Margin[],0,MATCH(G$1&amp;"_"&amp;G$3,Margin[#Headers],0)),(Margin[Index]=G$2)*(Margin[Strategy]=G$5))*G18)/Client_Margin($C18),"-")</f>
        <v>-</v>
      </c>
      <c r="H19" s="15" cm="1">
        <f t="array" ref="H19">IFERROR((_xlfn._xlws.FILTER(INDEX(Margin[],0,MATCH(H$1&amp;"_"&amp;H$3,Margin[#Headers],0)),(Margin[Index]=H$2)*(Margin[Strategy]=H$5))*H18)/Client_Margin($C18),"-")</f>
        <v>0.10917647058823529</v>
      </c>
      <c r="I19" s="15" cm="1">
        <f t="array" ref="I19">IFERROR((_xlfn._xlws.FILTER(INDEX(Margin[],0,MATCH(I$1&amp;"_"&amp;I$3,Margin[#Headers],0)),(Margin[Index]=I$2)*(Margin[Strategy]=I$5))*I18)/Client_Margin($C18),"-")</f>
        <v>0.11011764705882353</v>
      </c>
      <c r="J19" s="15" cm="1">
        <f t="array" ref="J19">IFERROR((_xlfn._xlws.FILTER(INDEX(Margin[],0,MATCH(J$1&amp;"_"&amp;J$3,Margin[#Headers],0)),(Margin[Index]=J$2)*(Margin[Strategy]=J$5))*J18)/Client_Margin($C18),"-")</f>
        <v>9.4117647058823528E-2</v>
      </c>
      <c r="K19" s="15" cm="1">
        <f t="array" ref="K19">IFERROR((_xlfn._xlws.FILTER(INDEX(Margin[],0,MATCH(K$1&amp;"_"&amp;K$3,Margin[#Headers],0)),(Margin[Index]=K$2)*(Margin[Strategy]=K$5))*K18)/Client_Margin($C18),"-")</f>
        <v>0</v>
      </c>
      <c r="L19" s="15" cm="1">
        <f t="array" ref="L19">IFERROR((_xlfn._xlws.FILTER(INDEX(Margin[],0,MATCH(L$1&amp;"_"&amp;L$3,Margin[#Headers],0)),(Margin[Index]=L$2)*(Margin[Strategy]=L$5))*L18)/Client_Margin($C18),"-")</f>
        <v>0</v>
      </c>
      <c r="M19" s="15" cm="1">
        <f t="array" ref="M19">IFERROR((_xlfn._xlws.FILTER(INDEX(Margin[],0,MATCH(M$1&amp;"_"&amp;M$3,Margin[#Headers],0)),(Margin[Index]=M$2)*(Margin[Strategy]=M$5))*M18)/Client_Margin($C18),"-")</f>
        <v>0</v>
      </c>
      <c r="N19" s="15" cm="1">
        <f t="array" ref="N19">IFERROR((_xlfn._xlws.FILTER(INDEX(Margin[],0,MATCH(N$1&amp;"_"&amp;N$3,Margin[#Headers],0)),(Margin[Index]=N$2)*(Margin[Strategy]=N$5))*N18)/Client_Margin($C18),"-")</f>
        <v>0</v>
      </c>
      <c r="O19" s="15" cm="1">
        <f t="array" ref="O19">IFERROR((_xlfn._xlws.FILTER(INDEX(Margin[],0,MATCH(O$1&amp;"_"&amp;O$3,Margin[#Headers],0)),(Margin[Index]=O$2)*(Margin[Strategy]=O$5))*O18)/Client_Margin($C18),"-")</f>
        <v>0</v>
      </c>
    </row>
    <row r="20" spans="1:15" hidden="1" x14ac:dyDescent="0.25">
      <c r="A20" t="str">
        <f>_xlfn.XLOOKUP(C20,'OI QTY'!$O$5:$O$21,'OI QTY'!$N$5:$N$21,"")</f>
        <v/>
      </c>
      <c r="B20">
        <v>1</v>
      </c>
      <c r="C20" s="14" t="s">
        <v>117</v>
      </c>
      <c r="D20" s="14" cm="1">
        <f t="array" ref="D20">(_xlfn._xlws.FILTER(Fund[Margin],Fund[Client Id]=C20))/10000000</f>
        <v>2.8</v>
      </c>
      <c r="E20" s="17"/>
      <c r="F20" s="14" t="str" cm="1">
        <f t="array" ref="F20">IFERROR(IF(ROUNDUP((Client_Margin($C20)*Alloted(F$3,F$2,F$5)/Get_Margin(F$3,F$2,F$5,F$1)),0)*Get_Margin(F$3,F$2,F$5,F$1)&gt;((Client_Margin($C20)*Alloted(F$3,F$2,F$5)/Get_Margin(F$3,F$2,F$5,F$1))*Get_Margin(F$3,F$2,F$5,F$1))*$D$3,ROUNDDOWN((Client_Margin($C20)*Alloted(F$3,F$2,F$5)/Get_Margin(F$3,F$2,F$5,F$1)),0),ROUNDUP((Client_Margin($C20)*Alloted(F$3,F$2,F$5)/Get_Margin(F$3,F$2,F$5,F$1)),0)),"-")</f>
        <v>-</v>
      </c>
      <c r="G20" s="14" t="str" cm="1">
        <f t="array" ref="G20">IFERROR(IF(ROUNDUP((Client_Margin($C20)*Alloted(G$3,G$2,G$5)/Get_Margin(G$3,G$2,G$5,G$1)),0)*Get_Margin(G$3,G$2,G$5,G$1)&gt;((Client_Margin($C20)*Alloted(G$3,G$2,G$5)/Get_Margin(G$3,G$2,G$5,G$1))*Get_Margin(G$3,G$2,G$5,G$1))*$D$3,ROUNDDOWN((Client_Margin($C20)*Alloted(G$3,G$2,G$5)/Get_Margin(G$3,G$2,G$5,G$1)),0),ROUNDUP((Client_Margin($C20)*Alloted(G$3,G$2,G$5)/Get_Margin(G$3,G$2,G$5,G$1)),0)),"-")</f>
        <v>-</v>
      </c>
      <c r="H20" s="14" cm="1">
        <f t="array" ref="H20">IFERROR(IF(ROUNDUP((Client_Margin($C20)*Alloted(H$3,H$2,H$5)/Get_Margin(H$3,H$2,H$5,H$1)),0)*Get_Margin(H$3,H$2,H$5,H$1)&gt;((Client_Margin($C20)*Alloted(H$3,H$2,H$5)/Get_Margin(H$3,H$2,H$5,H$1))*Get_Margin(H$3,H$2,H$5,H$1))*$D$3,ROUNDDOWN((Client_Margin($C20)*Alloted(H$3,H$2,H$5)/Get_Margin(H$3,H$2,H$5,H$1)),0),ROUNDUP((Client_Margin($C20)*Alloted(H$3,H$2,H$5)/Get_Margin(H$3,H$2,H$5,H$1)),0)),"-")</f>
        <v>4</v>
      </c>
      <c r="I20" s="14" cm="1">
        <f t="array" ref="I20">IFERROR(IF(ROUNDUP((Client_Margin($C20)*Alloted(I$3,I$2,I$5)/Get_Margin(I$3,I$2,I$5,I$1)),0)*Get_Margin(I$3,I$2,I$5,I$1)&gt;((Client_Margin($C20)*Alloted(I$3,I$2,I$5)/Get_Margin(I$3,I$2,I$5,I$1))*Get_Margin(I$3,I$2,I$5,I$1))*$D$3,ROUNDDOWN((Client_Margin($C20)*Alloted(I$3,I$2,I$5)/Get_Margin(I$3,I$2,I$5,I$1)),0),ROUNDUP((Client_Margin($C20)*Alloted(I$3,I$2,I$5)/Get_Margin(I$3,I$2,I$5,I$1)),0)),"-")</f>
        <v>1</v>
      </c>
      <c r="J20" s="14" cm="1">
        <f t="array" ref="J20">IFERROR(IF(ROUNDUP((Client_Margin($C20)*Alloted(J$3,J$2,J$5)/Get_Margin(J$3,J$2,J$5,J$1)),0)*Get_Margin(J$3,J$2,J$5,J$1)&gt;((Client_Margin($C20)*Alloted(J$3,J$2,J$5)/Get_Margin(J$3,J$2,J$5,J$1))*Get_Margin(J$3,J$2,J$5,J$1))*$D$3,ROUNDDOWN((Client_Margin($C20)*Alloted(J$3,J$2,J$5)/Get_Margin(J$3,J$2,J$5,J$1)),0),ROUNDUP((Client_Margin($C20)*Alloted(J$3,J$2,J$5)/Get_Margin(J$3,J$2,J$5,J$1)),0)),"-")</f>
        <v>2</v>
      </c>
      <c r="K20" s="14" cm="1">
        <f t="array" ref="K20">IFERROR(IF(ROUNDUP((Client_Margin($C20)*Alloted(K$3,K$2,K$5)/Get_Margin(K$3,K$2,K$5,K$1)),0)*Get_Margin(K$3,K$2,K$5,K$1)&gt;((Client_Margin($C20)*Alloted(K$3,K$2,K$5)/Get_Margin(K$3,K$2,K$5,K$1))*Get_Margin(K$3,K$2,K$5,K$1))*$D$3,ROUNDDOWN((Client_Margin($C20)*Alloted(K$3,K$2,K$5)/Get_Margin(K$3,K$2,K$5,K$1)),0),ROUNDUP((Client_Margin($C20)*Alloted(K$3,K$2,K$5)/Get_Margin(K$3,K$2,K$5,K$1)),0)),"-")</f>
        <v>0</v>
      </c>
      <c r="L20" s="14" cm="1">
        <f t="array" ref="L20">IFERROR(IF(ROUNDUP((Client_Margin($C20)*Alloted(L$3,L$2,L$5)/Get_Margin(L$3,L$2,L$5,L$1)),0)*Get_Margin(L$3,L$2,L$5,L$1)&gt;((Client_Margin($C20)*Alloted(L$3,L$2,L$5)/Get_Margin(L$3,L$2,L$5,L$1))*Get_Margin(L$3,L$2,L$5,L$1))*$D$3,ROUNDDOWN((Client_Margin($C20)*Alloted(L$3,L$2,L$5)/Get_Margin(L$3,L$2,L$5,L$1)),0),ROUNDUP((Client_Margin($C20)*Alloted(L$3,L$2,L$5)/Get_Margin(L$3,L$2,L$5,L$1)),0)),"-")</f>
        <v>0</v>
      </c>
      <c r="M20" s="14" cm="1">
        <f t="array" ref="M20">IFERROR(IF(ROUNDUP((Client_Margin($C20)*Alloted(M$3,M$2,M$5)/Get_Margin(M$3,M$2,M$5,M$1)),0)*Get_Margin(M$3,M$2,M$5,M$1)&gt;((Client_Margin($C20)*Alloted(M$3,M$2,M$5)/Get_Margin(M$3,M$2,M$5,M$1))*Get_Margin(M$3,M$2,M$5,M$1))*$D$3,ROUNDDOWN((Client_Margin($C20)*Alloted(M$3,M$2,M$5)/Get_Margin(M$3,M$2,M$5,M$1)),0),ROUNDUP((Client_Margin($C20)*Alloted(M$3,M$2,M$5)/Get_Margin(M$3,M$2,M$5,M$1)),0)),"-")</f>
        <v>0</v>
      </c>
      <c r="N20" s="14" cm="1">
        <f t="array" ref="N20">IFERROR(IF(ROUNDUP((Client_Margin($C20)*Alloted(N$3,N$2,N$5)/Get_Margin(N$3,N$2,N$5,N$1)),0)*Get_Margin(N$3,N$2,N$5,N$1)&gt;((Client_Margin($C20)*Alloted(N$3,N$2,N$5)/Get_Margin(N$3,N$2,N$5,N$1))*Get_Margin(N$3,N$2,N$5,N$1))*$D$3,ROUNDDOWN((Client_Margin($C20)*Alloted(N$3,N$2,N$5)/Get_Margin(N$3,N$2,N$5,N$1)),0),ROUNDUP((Client_Margin($C20)*Alloted(N$3,N$2,N$5)/Get_Margin(N$3,N$2,N$5,N$1)),0)),"-")</f>
        <v>0</v>
      </c>
      <c r="O20" s="14" cm="1">
        <f t="array" ref="O20">IFERROR(IF(ROUNDUP((Client_Margin($C20)*Alloted(O$3,O$2,O$5)/Get_Margin(O$3,O$2,O$5,O$1)),0)*Get_Margin(O$3,O$2,O$5,O$1)&gt;((Client_Margin($C20)*Alloted(O$3,O$2,O$5)/Get_Margin(O$3,O$2,O$5,O$1))*Get_Margin(O$3,O$2,O$5,O$1))*$D$3,ROUNDDOWN((Client_Margin($C20)*Alloted(O$3,O$2,O$5)/Get_Margin(O$3,O$2,O$5,O$1)),0),ROUNDUP((Client_Margin($C20)*Alloted(O$3,O$2,O$5)/Get_Margin(O$3,O$2,O$5,O$1)),0)),"-")</f>
        <v>0</v>
      </c>
    </row>
    <row r="21" spans="1:15" hidden="1" x14ac:dyDescent="0.25">
      <c r="A21">
        <f>_xlfn.XLOOKUP(C21,'OI QTY'!$O$5:$O$21,'OI QTY'!$N$5:$N$21,"")</f>
        <v>0</v>
      </c>
      <c r="B21">
        <v>0</v>
      </c>
      <c r="C21" s="14"/>
      <c r="D21" s="14"/>
      <c r="E21" s="15">
        <f>SUM(F21:O21)</f>
        <v>0.28057142857142853</v>
      </c>
      <c r="F21" s="15" t="str" cm="1">
        <f t="array" ref="F21">IFERROR((_xlfn._xlws.FILTER(INDEX(Margin[],0,MATCH(F$1&amp;"_"&amp;F$3,Margin[#Headers],0)),(Margin[Index]=F$2)*(Margin[Strategy]=F$5))*F20)/Client_Margin($C20),"-")</f>
        <v>-</v>
      </c>
      <c r="G21" s="15" t="str" cm="1">
        <f t="array" ref="G21">IFERROR((_xlfn._xlws.FILTER(INDEX(Margin[],0,MATCH(G$1&amp;"_"&amp;G$3,Margin[#Headers],0)),(Margin[Index]=G$2)*(Margin[Strategy]=G$5))*G20)/Client_Margin($C20),"-")</f>
        <v>-</v>
      </c>
      <c r="H21" s="15" cm="1">
        <f t="array" ref="H21">IFERROR((_xlfn._xlws.FILTER(INDEX(Margin[],0,MATCH(H$1&amp;"_"&amp;H$3,Margin[#Headers],0)),(Margin[Index]=H$2)*(Margin[Strategy]=H$5))*H20)/Client_Margin($C20),"-")</f>
        <v>9.9428571428571422E-2</v>
      </c>
      <c r="I21" s="15" cm="1">
        <f t="array" ref="I21">IFERROR((_xlfn._xlws.FILTER(INDEX(Margin[],0,MATCH(I$1&amp;"_"&amp;I$3,Margin[#Headers],0)),(Margin[Index]=I$2)*(Margin[Strategy]=I$5))*I20)/Client_Margin($C20),"-")</f>
        <v>6.6857142857142851E-2</v>
      </c>
      <c r="J21" s="15" cm="1">
        <f t="array" ref="J21">IFERROR((_xlfn._xlws.FILTER(INDEX(Margin[],0,MATCH(J$1&amp;"_"&amp;J$3,Margin[#Headers],0)),(Margin[Index]=J$2)*(Margin[Strategy]=J$5))*J20)/Client_Margin($C20),"-")</f>
        <v>0.11428571428571428</v>
      </c>
      <c r="K21" s="15" cm="1">
        <f t="array" ref="K21">IFERROR((_xlfn._xlws.FILTER(INDEX(Margin[],0,MATCH(K$1&amp;"_"&amp;K$3,Margin[#Headers],0)),(Margin[Index]=K$2)*(Margin[Strategy]=K$5))*K20)/Client_Margin($C20),"-")</f>
        <v>0</v>
      </c>
      <c r="L21" s="15" cm="1">
        <f t="array" ref="L21">IFERROR((_xlfn._xlws.FILTER(INDEX(Margin[],0,MATCH(L$1&amp;"_"&amp;L$3,Margin[#Headers],0)),(Margin[Index]=L$2)*(Margin[Strategy]=L$5))*L20)/Client_Margin($C20),"-")</f>
        <v>0</v>
      </c>
      <c r="M21" s="15" cm="1">
        <f t="array" ref="M21">IFERROR((_xlfn._xlws.FILTER(INDEX(Margin[],0,MATCH(M$1&amp;"_"&amp;M$3,Margin[#Headers],0)),(Margin[Index]=M$2)*(Margin[Strategy]=M$5))*M20)/Client_Margin($C20),"-")</f>
        <v>0</v>
      </c>
      <c r="N21" s="15" cm="1">
        <f t="array" ref="N21">IFERROR((_xlfn._xlws.FILTER(INDEX(Margin[],0,MATCH(N$1&amp;"_"&amp;N$3,Margin[#Headers],0)),(Margin[Index]=N$2)*(Margin[Strategy]=N$5))*N20)/Client_Margin($C20),"-")</f>
        <v>0</v>
      </c>
      <c r="O21" s="15" cm="1">
        <f t="array" ref="O21">IFERROR((_xlfn._xlws.FILTER(INDEX(Margin[],0,MATCH(O$1&amp;"_"&amp;O$3,Margin[#Headers],0)),(Margin[Index]=O$2)*(Margin[Strategy]=O$5))*O20)/Client_Margin($C20),"-")</f>
        <v>0</v>
      </c>
    </row>
    <row r="22" spans="1:15" hidden="1" x14ac:dyDescent="0.25">
      <c r="A22" t="str">
        <f>_xlfn.XLOOKUP(C22,'OI QTY'!$O$5:$O$21,'OI QTY'!$N$5:$N$21,"")</f>
        <v/>
      </c>
      <c r="B22">
        <f t="shared" si="2"/>
        <v>1</v>
      </c>
      <c r="C22" s="14" t="s">
        <v>28</v>
      </c>
      <c r="D22" s="14" cm="1">
        <f t="array" ref="D22">(_xlfn._xlws.FILTER(Fund[Margin],Fund[Client Id]=C22))/10000000</f>
        <v>2.8</v>
      </c>
      <c r="E22" s="17"/>
      <c r="F22" s="14" t="str" cm="1">
        <f t="array" ref="F22">IFERROR(IF(ROUNDUP((Client_Margin($C22)*Alloted(F$3,F$2,F$5)/Get_Margin(F$3,F$2,F$5,F$1)),0)*Get_Margin(F$3,F$2,F$5,F$1)&gt;((Client_Margin($C22)*Alloted(F$3,F$2,F$5)/Get_Margin(F$3,F$2,F$5,F$1))*Get_Margin(F$3,F$2,F$5,F$1))*$D$3,ROUNDDOWN((Client_Margin($C22)*Alloted(F$3,F$2,F$5)/Get_Margin(F$3,F$2,F$5,F$1)),0),ROUNDUP((Client_Margin($C22)*Alloted(F$3,F$2,F$5)/Get_Margin(F$3,F$2,F$5,F$1)),0)),"-")</f>
        <v>-</v>
      </c>
      <c r="G22" s="14" t="str" cm="1">
        <f t="array" ref="G22">IFERROR(IF(ROUNDUP((Client_Margin($C22)*Alloted(G$3,G$2,G$5)/Get_Margin(G$3,G$2,G$5,G$1)),0)*Get_Margin(G$3,G$2,G$5,G$1)&gt;((Client_Margin($C22)*Alloted(G$3,G$2,G$5)/Get_Margin(G$3,G$2,G$5,G$1))*Get_Margin(G$3,G$2,G$5,G$1))*$D$3,ROUNDDOWN((Client_Margin($C22)*Alloted(G$3,G$2,G$5)/Get_Margin(G$3,G$2,G$5,G$1)),0),ROUNDUP((Client_Margin($C22)*Alloted(G$3,G$2,G$5)/Get_Margin(G$3,G$2,G$5,G$1)),0)),"-")</f>
        <v>-</v>
      </c>
      <c r="H22" s="14" cm="1">
        <f t="array" ref="H22">IFERROR(IF(ROUNDUP((Client_Margin($C22)*Alloted(H$3,H$2,H$5)/Get_Margin(H$3,H$2,H$5,H$1)),0)*Get_Margin(H$3,H$2,H$5,H$1)&gt;((Client_Margin($C22)*Alloted(H$3,H$2,H$5)/Get_Margin(H$3,H$2,H$5,H$1))*Get_Margin(H$3,H$2,H$5,H$1))*$D$3,ROUNDDOWN((Client_Margin($C22)*Alloted(H$3,H$2,H$5)/Get_Margin(H$3,H$2,H$5,H$1)),0),ROUNDUP((Client_Margin($C22)*Alloted(H$3,H$2,H$5)/Get_Margin(H$3,H$2,H$5,H$1)),0)),"-")</f>
        <v>4</v>
      </c>
      <c r="I22" s="14" cm="1">
        <f t="array" ref="I22">IFERROR(IF(ROUNDUP((Client_Margin($C22)*Alloted(I$3,I$2,I$5)/Get_Margin(I$3,I$2,I$5,I$1)),0)*Get_Margin(I$3,I$2,I$5,I$1)&gt;((Client_Margin($C22)*Alloted(I$3,I$2,I$5)/Get_Margin(I$3,I$2,I$5,I$1))*Get_Margin(I$3,I$2,I$5,I$1))*$D$3,ROUNDDOWN((Client_Margin($C22)*Alloted(I$3,I$2,I$5)/Get_Margin(I$3,I$2,I$5,I$1)),0),ROUNDUP((Client_Margin($C22)*Alloted(I$3,I$2,I$5)/Get_Margin(I$3,I$2,I$5,I$1)),0)),"-")</f>
        <v>1</v>
      </c>
      <c r="J22" s="14" cm="1">
        <f t="array" ref="J22">IFERROR(IF(ROUNDUP((Client_Margin($C22)*Alloted(J$3,J$2,J$5)/Get_Margin(J$3,J$2,J$5,J$1)),0)*Get_Margin(J$3,J$2,J$5,J$1)&gt;((Client_Margin($C22)*Alloted(J$3,J$2,J$5)/Get_Margin(J$3,J$2,J$5,J$1))*Get_Margin(J$3,J$2,J$5,J$1))*$D$3,ROUNDDOWN((Client_Margin($C22)*Alloted(J$3,J$2,J$5)/Get_Margin(J$3,J$2,J$5,J$1)),0),ROUNDUP((Client_Margin($C22)*Alloted(J$3,J$2,J$5)/Get_Margin(J$3,J$2,J$5,J$1)),0)),"-")</f>
        <v>2</v>
      </c>
      <c r="K22" s="14" cm="1">
        <f t="array" ref="K22">IFERROR(IF(ROUNDUP((Client_Margin($C22)*Alloted(K$3,K$2,K$5)/Get_Margin(K$3,K$2,K$5,K$1)),0)*Get_Margin(K$3,K$2,K$5,K$1)&gt;((Client_Margin($C22)*Alloted(K$3,K$2,K$5)/Get_Margin(K$3,K$2,K$5,K$1))*Get_Margin(K$3,K$2,K$5,K$1))*$D$3,ROUNDDOWN((Client_Margin($C22)*Alloted(K$3,K$2,K$5)/Get_Margin(K$3,K$2,K$5,K$1)),0),ROUNDUP((Client_Margin($C22)*Alloted(K$3,K$2,K$5)/Get_Margin(K$3,K$2,K$5,K$1)),0)),"-")</f>
        <v>0</v>
      </c>
      <c r="L22" s="14" cm="1">
        <f t="array" ref="L22">IFERROR(IF(ROUNDUP((Client_Margin($C22)*Alloted(L$3,L$2,L$5)/Get_Margin(L$3,L$2,L$5,L$1)),0)*Get_Margin(L$3,L$2,L$5,L$1)&gt;((Client_Margin($C22)*Alloted(L$3,L$2,L$5)/Get_Margin(L$3,L$2,L$5,L$1))*Get_Margin(L$3,L$2,L$5,L$1))*$D$3,ROUNDDOWN((Client_Margin($C22)*Alloted(L$3,L$2,L$5)/Get_Margin(L$3,L$2,L$5,L$1)),0),ROUNDUP((Client_Margin($C22)*Alloted(L$3,L$2,L$5)/Get_Margin(L$3,L$2,L$5,L$1)),0)),"-")</f>
        <v>0</v>
      </c>
      <c r="M22" s="14" cm="1">
        <f t="array" ref="M22">IFERROR(IF(ROUNDUP((Client_Margin($C22)*Alloted(M$3,M$2,M$5)/Get_Margin(M$3,M$2,M$5,M$1)),0)*Get_Margin(M$3,M$2,M$5,M$1)&gt;((Client_Margin($C22)*Alloted(M$3,M$2,M$5)/Get_Margin(M$3,M$2,M$5,M$1))*Get_Margin(M$3,M$2,M$5,M$1))*$D$3,ROUNDDOWN((Client_Margin($C22)*Alloted(M$3,M$2,M$5)/Get_Margin(M$3,M$2,M$5,M$1)),0),ROUNDUP((Client_Margin($C22)*Alloted(M$3,M$2,M$5)/Get_Margin(M$3,M$2,M$5,M$1)),0)),"-")</f>
        <v>0</v>
      </c>
      <c r="N22" s="14" cm="1">
        <f t="array" ref="N22">IFERROR(IF(ROUNDUP((Client_Margin($C22)*Alloted(N$3,N$2,N$5)/Get_Margin(N$3,N$2,N$5,N$1)),0)*Get_Margin(N$3,N$2,N$5,N$1)&gt;((Client_Margin($C22)*Alloted(N$3,N$2,N$5)/Get_Margin(N$3,N$2,N$5,N$1))*Get_Margin(N$3,N$2,N$5,N$1))*$D$3,ROUNDDOWN((Client_Margin($C22)*Alloted(N$3,N$2,N$5)/Get_Margin(N$3,N$2,N$5,N$1)),0),ROUNDUP((Client_Margin($C22)*Alloted(N$3,N$2,N$5)/Get_Margin(N$3,N$2,N$5,N$1)),0)),"-")</f>
        <v>0</v>
      </c>
      <c r="O22" s="14" cm="1">
        <f t="array" ref="O22">IFERROR(IF(ROUNDUP((Client_Margin($C22)*Alloted(O$3,O$2,O$5)/Get_Margin(O$3,O$2,O$5,O$1)),0)*Get_Margin(O$3,O$2,O$5,O$1)&gt;((Client_Margin($C22)*Alloted(O$3,O$2,O$5)/Get_Margin(O$3,O$2,O$5,O$1))*Get_Margin(O$3,O$2,O$5,O$1))*$D$3,ROUNDDOWN((Client_Margin($C22)*Alloted(O$3,O$2,O$5)/Get_Margin(O$3,O$2,O$5,O$1)),0),ROUNDUP((Client_Margin($C22)*Alloted(O$3,O$2,O$5)/Get_Margin(O$3,O$2,O$5,O$1)),0)),"-")</f>
        <v>0</v>
      </c>
    </row>
    <row r="23" spans="1:15" hidden="1" x14ac:dyDescent="0.25">
      <c r="A23">
        <f>_xlfn.XLOOKUP(C23,'OI QTY'!$O$5:$O$21,'OI QTY'!$N$5:$N$21,"")</f>
        <v>0</v>
      </c>
      <c r="B23">
        <f t="shared" si="2"/>
        <v>0</v>
      </c>
      <c r="C23" s="14"/>
      <c r="D23" s="14"/>
      <c r="E23" s="15">
        <f>SUM(F23:O23)</f>
        <v>0.28057142857142853</v>
      </c>
      <c r="F23" s="15" t="str" cm="1">
        <f t="array" ref="F23">IFERROR((_xlfn._xlws.FILTER(INDEX(Margin[],0,MATCH(F$1&amp;"_"&amp;F$3,Margin[#Headers],0)),(Margin[Index]=F$2)*(Margin[Strategy]=F$5))*F22)/Client_Margin($C22),"-")</f>
        <v>-</v>
      </c>
      <c r="G23" s="15" t="str" cm="1">
        <f t="array" ref="G23">IFERROR((_xlfn._xlws.FILTER(INDEX(Margin[],0,MATCH(G$1&amp;"_"&amp;G$3,Margin[#Headers],0)),(Margin[Index]=G$2)*(Margin[Strategy]=G$5))*G22)/Client_Margin($C22),"-")</f>
        <v>-</v>
      </c>
      <c r="H23" s="15" cm="1">
        <f t="array" ref="H23">IFERROR((_xlfn._xlws.FILTER(INDEX(Margin[],0,MATCH(H$1&amp;"_"&amp;H$3,Margin[#Headers],0)),(Margin[Index]=H$2)*(Margin[Strategy]=H$5))*H22)/Client_Margin($C22),"-")</f>
        <v>9.9428571428571422E-2</v>
      </c>
      <c r="I23" s="15" cm="1">
        <f t="array" ref="I23">IFERROR((_xlfn._xlws.FILTER(INDEX(Margin[],0,MATCH(I$1&amp;"_"&amp;I$3,Margin[#Headers],0)),(Margin[Index]=I$2)*(Margin[Strategy]=I$5))*I22)/Client_Margin($C22),"-")</f>
        <v>6.6857142857142851E-2</v>
      </c>
      <c r="J23" s="15" cm="1">
        <f t="array" ref="J23">IFERROR((_xlfn._xlws.FILTER(INDEX(Margin[],0,MATCH(J$1&amp;"_"&amp;J$3,Margin[#Headers],0)),(Margin[Index]=J$2)*(Margin[Strategy]=J$5))*J22)/Client_Margin($C22),"-")</f>
        <v>0.11428571428571428</v>
      </c>
      <c r="K23" s="15" cm="1">
        <f t="array" ref="K23">IFERROR((_xlfn._xlws.FILTER(INDEX(Margin[],0,MATCH(K$1&amp;"_"&amp;K$3,Margin[#Headers],0)),(Margin[Index]=K$2)*(Margin[Strategy]=K$5))*K22)/Client_Margin($C22),"-")</f>
        <v>0</v>
      </c>
      <c r="L23" s="15" cm="1">
        <f t="array" ref="L23">IFERROR((_xlfn._xlws.FILTER(INDEX(Margin[],0,MATCH(L$1&amp;"_"&amp;L$3,Margin[#Headers],0)),(Margin[Index]=L$2)*(Margin[Strategy]=L$5))*L22)/Client_Margin($C22),"-")</f>
        <v>0</v>
      </c>
      <c r="M23" s="15" cm="1">
        <f t="array" ref="M23">IFERROR((_xlfn._xlws.FILTER(INDEX(Margin[],0,MATCH(M$1&amp;"_"&amp;M$3,Margin[#Headers],0)),(Margin[Index]=M$2)*(Margin[Strategy]=M$5))*M22)/Client_Margin($C22),"-")</f>
        <v>0</v>
      </c>
      <c r="N23" s="15" cm="1">
        <f t="array" ref="N23">IFERROR((_xlfn._xlws.FILTER(INDEX(Margin[],0,MATCH(N$1&amp;"_"&amp;N$3,Margin[#Headers],0)),(Margin[Index]=N$2)*(Margin[Strategy]=N$5))*N22)/Client_Margin($C22),"-")</f>
        <v>0</v>
      </c>
      <c r="O23" s="15" cm="1">
        <f t="array" ref="O23">IFERROR((_xlfn._xlws.FILTER(INDEX(Margin[],0,MATCH(O$1&amp;"_"&amp;O$3,Margin[#Headers],0)),(Margin[Index]=O$2)*(Margin[Strategy]=O$5))*O22)/Client_Margin($C22),"-")</f>
        <v>0</v>
      </c>
    </row>
    <row r="24" spans="1:15" x14ac:dyDescent="0.25">
      <c r="A24" t="str">
        <f>_xlfn.XLOOKUP(C24,'OI QTY'!$O$5:$O$21,'OI QTY'!$N$5:$N$21,"")</f>
        <v>K</v>
      </c>
      <c r="B24">
        <f t="shared" si="2"/>
        <v>1</v>
      </c>
      <c r="C24" s="14" t="s">
        <v>122</v>
      </c>
      <c r="D24" s="14" cm="1">
        <f t="array" ref="D24">(_xlfn._xlws.FILTER(Fund[Margin],Fund[Client Id]=C24))/10000000</f>
        <v>2.65</v>
      </c>
      <c r="E24" s="17"/>
      <c r="F24" s="14" t="str" cm="1">
        <f t="array" ref="F24">IFERROR(IF(ROUNDUP((Client_Margin($C24)*Alloted(F$3,F$2,F$5)/Get_Margin(F$3,F$2,F$5,F$1)),0)*Get_Margin(F$3,F$2,F$5,F$1)&gt;((Client_Margin($C24)*Alloted(F$3,F$2,F$5)/Get_Margin(F$3,F$2,F$5,F$1))*Get_Margin(F$3,F$2,F$5,F$1))*$D$3,ROUNDDOWN((Client_Margin($C24)*Alloted(F$3,F$2,F$5)/Get_Margin(F$3,F$2,F$5,F$1)),0),ROUNDUP((Client_Margin($C24)*Alloted(F$3,F$2,F$5)/Get_Margin(F$3,F$2,F$5,F$1)),0)),"-")</f>
        <v>-</v>
      </c>
      <c r="G24" s="14" t="str" cm="1">
        <f t="array" ref="G24">IFERROR(IF(ROUNDUP((Client_Margin($C24)*Alloted(G$3,G$2,G$5)/Get_Margin(G$3,G$2,G$5,G$1)),0)*Get_Margin(G$3,G$2,G$5,G$1)&gt;((Client_Margin($C24)*Alloted(G$3,G$2,G$5)/Get_Margin(G$3,G$2,G$5,G$1))*Get_Margin(G$3,G$2,G$5,G$1))*$D$3,ROUNDDOWN((Client_Margin($C24)*Alloted(G$3,G$2,G$5)/Get_Margin(G$3,G$2,G$5,G$1)),0),ROUNDUP((Client_Margin($C24)*Alloted(G$3,G$2,G$5)/Get_Margin(G$3,G$2,G$5,G$1)),0)),"-")</f>
        <v>-</v>
      </c>
      <c r="H24" s="14" cm="1">
        <f t="array" ref="H24">IFERROR(IF(ROUNDUP((Client_Margin($C24)*Alloted(H$3,H$2,H$5)/Get_Margin(H$3,H$2,H$5,H$1)),0)*Get_Margin(H$3,H$2,H$5,H$1)&gt;((Client_Margin($C24)*Alloted(H$3,H$2,H$5)/Get_Margin(H$3,H$2,H$5,H$1))*Get_Margin(H$3,H$2,H$5,H$1))*$D$3,ROUNDDOWN((Client_Margin($C24)*Alloted(H$3,H$2,H$5)/Get_Margin(H$3,H$2,H$5,H$1)),0),ROUNDUP((Client_Margin($C24)*Alloted(H$3,H$2,H$5)/Get_Margin(H$3,H$2,H$5,H$1)),0)),"-")</f>
        <v>4</v>
      </c>
      <c r="I24" s="14" cm="1">
        <f t="array" ref="I24">IFERROR(IF(ROUNDUP((Client_Margin($C24)*Alloted(I$3,I$2,I$5)/Get_Margin(I$3,I$2,I$5,I$1)),0)*Get_Margin(I$3,I$2,I$5,I$1)&gt;((Client_Margin($C24)*Alloted(I$3,I$2,I$5)/Get_Margin(I$3,I$2,I$5,I$1))*Get_Margin(I$3,I$2,I$5,I$1))*$D$3,ROUNDDOWN((Client_Margin($C24)*Alloted(I$3,I$2,I$5)/Get_Margin(I$3,I$2,I$5,I$1)),0),ROUNDUP((Client_Margin($C24)*Alloted(I$3,I$2,I$5)/Get_Margin(I$3,I$2,I$5,I$1)),0)),"-")</f>
        <v>1</v>
      </c>
      <c r="J24" s="14" cm="1">
        <f t="array" ref="J24">IFERROR(IF(ROUNDUP((Client_Margin($C24)*Alloted(J$3,J$2,J$5)/Get_Margin(J$3,J$2,J$5,J$1)),0)*Get_Margin(J$3,J$2,J$5,J$1)&gt;((Client_Margin($C24)*Alloted(J$3,J$2,J$5)/Get_Margin(J$3,J$2,J$5,J$1))*Get_Margin(J$3,J$2,J$5,J$1))*$D$3,ROUNDDOWN((Client_Margin($C24)*Alloted(J$3,J$2,J$5)/Get_Margin(J$3,J$2,J$5,J$1)),0),ROUNDUP((Client_Margin($C24)*Alloted(J$3,J$2,J$5)/Get_Margin(J$3,J$2,J$5,J$1)),0)),"-")</f>
        <v>1</v>
      </c>
      <c r="K24" s="14" cm="1">
        <f t="array" ref="K24">IFERROR(IF(ROUNDUP((Client_Margin($C24)*Alloted(K$3,K$2,K$5)/Get_Margin(K$3,K$2,K$5,K$1)),0)*Get_Margin(K$3,K$2,K$5,K$1)&gt;((Client_Margin($C24)*Alloted(K$3,K$2,K$5)/Get_Margin(K$3,K$2,K$5,K$1))*Get_Margin(K$3,K$2,K$5,K$1))*$D$3,ROUNDDOWN((Client_Margin($C24)*Alloted(K$3,K$2,K$5)/Get_Margin(K$3,K$2,K$5,K$1)),0),ROUNDUP((Client_Margin($C24)*Alloted(K$3,K$2,K$5)/Get_Margin(K$3,K$2,K$5,K$1)),0)),"-")</f>
        <v>0</v>
      </c>
      <c r="L24" s="14" cm="1">
        <f t="array" ref="L24">IFERROR(IF(ROUNDUP((Client_Margin($C24)*Alloted(L$3,L$2,L$5)/Get_Margin(L$3,L$2,L$5,L$1)),0)*Get_Margin(L$3,L$2,L$5,L$1)&gt;((Client_Margin($C24)*Alloted(L$3,L$2,L$5)/Get_Margin(L$3,L$2,L$5,L$1))*Get_Margin(L$3,L$2,L$5,L$1))*$D$3,ROUNDDOWN((Client_Margin($C24)*Alloted(L$3,L$2,L$5)/Get_Margin(L$3,L$2,L$5,L$1)),0),ROUNDUP((Client_Margin($C24)*Alloted(L$3,L$2,L$5)/Get_Margin(L$3,L$2,L$5,L$1)),0)),"-")</f>
        <v>0</v>
      </c>
      <c r="M24" s="14" cm="1">
        <f t="array" ref="M24">IFERROR(IF(ROUNDUP((Client_Margin($C24)*Alloted(M$3,M$2,M$5)/Get_Margin(M$3,M$2,M$5,M$1)),0)*Get_Margin(M$3,M$2,M$5,M$1)&gt;((Client_Margin($C24)*Alloted(M$3,M$2,M$5)/Get_Margin(M$3,M$2,M$5,M$1))*Get_Margin(M$3,M$2,M$5,M$1))*$D$3,ROUNDDOWN((Client_Margin($C24)*Alloted(M$3,M$2,M$5)/Get_Margin(M$3,M$2,M$5,M$1)),0),ROUNDUP((Client_Margin($C24)*Alloted(M$3,M$2,M$5)/Get_Margin(M$3,M$2,M$5,M$1)),0)),"-")</f>
        <v>0</v>
      </c>
      <c r="N24" s="14" cm="1">
        <f t="array" ref="N24">IFERROR(IF(ROUNDUP((Client_Margin($C24)*Alloted(N$3,N$2,N$5)/Get_Margin(N$3,N$2,N$5,N$1)),0)*Get_Margin(N$3,N$2,N$5,N$1)&gt;((Client_Margin($C24)*Alloted(N$3,N$2,N$5)/Get_Margin(N$3,N$2,N$5,N$1))*Get_Margin(N$3,N$2,N$5,N$1))*$D$3,ROUNDDOWN((Client_Margin($C24)*Alloted(N$3,N$2,N$5)/Get_Margin(N$3,N$2,N$5,N$1)),0),ROUNDUP((Client_Margin($C24)*Alloted(N$3,N$2,N$5)/Get_Margin(N$3,N$2,N$5,N$1)),0)),"-")</f>
        <v>0</v>
      </c>
      <c r="O24" s="14" cm="1">
        <f t="array" ref="O24">IFERROR(IF(ROUNDUP((Client_Margin($C24)*Alloted(O$3,O$2,O$5)/Get_Margin(O$3,O$2,O$5,O$1)),0)*Get_Margin(O$3,O$2,O$5,O$1)&gt;((Client_Margin($C24)*Alloted(O$3,O$2,O$5)/Get_Margin(O$3,O$2,O$5,O$1))*Get_Margin(O$3,O$2,O$5,O$1))*$D$3,ROUNDDOWN((Client_Margin($C24)*Alloted(O$3,O$2,O$5)/Get_Margin(O$3,O$2,O$5,O$1)),0),ROUNDUP((Client_Margin($C24)*Alloted(O$3,O$2,O$5)/Get_Margin(O$3,O$2,O$5,O$1)),0)),"-")</f>
        <v>0</v>
      </c>
    </row>
    <row r="25" spans="1:15" hidden="1" x14ac:dyDescent="0.25">
      <c r="A25">
        <f>_xlfn.XLOOKUP(C25,'OI QTY'!$O$5:$O$21,'OI QTY'!$N$5:$N$21,"")</f>
        <v>0</v>
      </c>
      <c r="B25">
        <f t="shared" si="2"/>
        <v>0</v>
      </c>
      <c r="C25" s="14"/>
      <c r="D25" s="14"/>
      <c r="E25" s="15">
        <f>SUM(F25:O25)</f>
        <v>0.23607547169811322</v>
      </c>
      <c r="F25" s="15" t="str" cm="1">
        <f t="array" ref="F25">IFERROR((_xlfn._xlws.FILTER(INDEX(Margin[],0,MATCH(F$1&amp;"_"&amp;F$3,Margin[#Headers],0)),(Margin[Index]=F$2)*(Margin[Strategy]=F$5))*F24)/Client_Margin($C24),"-")</f>
        <v>-</v>
      </c>
      <c r="G25" s="15" t="str" cm="1">
        <f t="array" ref="G25">IFERROR((_xlfn._xlws.FILTER(INDEX(Margin[],0,MATCH(G$1&amp;"_"&amp;G$3,Margin[#Headers],0)),(Margin[Index]=G$2)*(Margin[Strategy]=G$5))*G24)/Client_Margin($C24),"-")</f>
        <v>-</v>
      </c>
      <c r="H25" s="15" cm="1">
        <f t="array" ref="H25">IFERROR((_xlfn._xlws.FILTER(INDEX(Margin[],0,MATCH(H$1&amp;"_"&amp;H$3,Margin[#Headers],0)),(Margin[Index]=H$2)*(Margin[Strategy]=H$5))*H24)/Client_Margin($C24),"-")</f>
        <v>0.1050566037735849</v>
      </c>
      <c r="I25" s="15" cm="1">
        <f t="array" ref="I25">IFERROR((_xlfn._xlws.FILTER(INDEX(Margin[],0,MATCH(I$1&amp;"_"&amp;I$3,Margin[#Headers],0)),(Margin[Index]=I$2)*(Margin[Strategy]=I$5))*I24)/Client_Margin($C24),"-")</f>
        <v>7.064150943396226E-2</v>
      </c>
      <c r="J25" s="15" cm="1">
        <f t="array" ref="J25">IFERROR((_xlfn._xlws.FILTER(INDEX(Margin[],0,MATCH(J$1&amp;"_"&amp;J$3,Margin[#Headers],0)),(Margin[Index]=J$2)*(Margin[Strategy]=J$5))*J24)/Client_Margin($C24),"-")</f>
        <v>6.0377358490566038E-2</v>
      </c>
      <c r="K25" s="15" cm="1">
        <f t="array" ref="K25">IFERROR((_xlfn._xlws.FILTER(INDEX(Margin[],0,MATCH(K$1&amp;"_"&amp;K$3,Margin[#Headers],0)),(Margin[Index]=K$2)*(Margin[Strategy]=K$5))*K24)/Client_Margin($C24),"-")</f>
        <v>0</v>
      </c>
      <c r="L25" s="15" cm="1">
        <f t="array" ref="L25">IFERROR((_xlfn._xlws.FILTER(INDEX(Margin[],0,MATCH(L$1&amp;"_"&amp;L$3,Margin[#Headers],0)),(Margin[Index]=L$2)*(Margin[Strategy]=L$5))*L24)/Client_Margin($C24),"-")</f>
        <v>0</v>
      </c>
      <c r="M25" s="15" cm="1">
        <f t="array" ref="M25">IFERROR((_xlfn._xlws.FILTER(INDEX(Margin[],0,MATCH(M$1&amp;"_"&amp;M$3,Margin[#Headers],0)),(Margin[Index]=M$2)*(Margin[Strategy]=M$5))*M24)/Client_Margin($C24),"-")</f>
        <v>0</v>
      </c>
      <c r="N25" s="15" cm="1">
        <f t="array" ref="N25">IFERROR((_xlfn._xlws.FILTER(INDEX(Margin[],0,MATCH(N$1&amp;"_"&amp;N$3,Margin[#Headers],0)),(Margin[Index]=N$2)*(Margin[Strategy]=N$5))*N24)/Client_Margin($C24),"-")</f>
        <v>0</v>
      </c>
      <c r="O25" s="15" cm="1">
        <f t="array" ref="O25">IFERROR((_xlfn._xlws.FILTER(INDEX(Margin[],0,MATCH(O$1&amp;"_"&amp;O$3,Margin[#Headers],0)),(Margin[Index]=O$2)*(Margin[Strategy]=O$5))*O24)/Client_Margin($C24),"-")</f>
        <v>0</v>
      </c>
    </row>
    <row r="26" spans="1:15" hidden="1" x14ac:dyDescent="0.25">
      <c r="A26" t="str">
        <f>_xlfn.XLOOKUP(C26,'OI QTY'!$O$5:$O$21,'OI QTY'!$N$5:$N$21,"")</f>
        <v/>
      </c>
      <c r="B26">
        <f t="shared" si="2"/>
        <v>1</v>
      </c>
      <c r="C26" s="14" t="s">
        <v>53</v>
      </c>
      <c r="D26" s="14" cm="1">
        <f t="array" ref="D26">(_xlfn._xlws.FILTER(Fund[Margin],Fund[Client Id]=C26))/10000000</f>
        <v>2.4</v>
      </c>
      <c r="E26" s="17"/>
      <c r="F26" s="14" t="str" cm="1">
        <f t="array" ref="F26">IFERROR(IF(ROUNDUP((Client_Margin($C26)*Alloted(F$3,F$2,F$5)/Get_Margin(F$3,F$2,F$5,F$1)),0)*Get_Margin(F$3,F$2,F$5,F$1)&gt;((Client_Margin($C26)*Alloted(F$3,F$2,F$5)/Get_Margin(F$3,F$2,F$5,F$1))*Get_Margin(F$3,F$2,F$5,F$1))*$D$3,ROUNDDOWN((Client_Margin($C26)*Alloted(F$3,F$2,F$5)/Get_Margin(F$3,F$2,F$5,F$1)),0),ROUNDUP((Client_Margin($C26)*Alloted(F$3,F$2,F$5)/Get_Margin(F$3,F$2,F$5,F$1)),0)),"-")</f>
        <v>-</v>
      </c>
      <c r="G26" s="14" t="str" cm="1">
        <f t="array" ref="G26">IFERROR(IF(ROUNDUP((Client_Margin($C26)*Alloted(G$3,G$2,G$5)/Get_Margin(G$3,G$2,G$5,G$1)),0)*Get_Margin(G$3,G$2,G$5,G$1)&gt;((Client_Margin($C26)*Alloted(G$3,G$2,G$5)/Get_Margin(G$3,G$2,G$5,G$1))*Get_Margin(G$3,G$2,G$5,G$1))*$D$3,ROUNDDOWN((Client_Margin($C26)*Alloted(G$3,G$2,G$5)/Get_Margin(G$3,G$2,G$5,G$1)),0),ROUNDUP((Client_Margin($C26)*Alloted(G$3,G$2,G$5)/Get_Margin(G$3,G$2,G$5,G$1)),0)),"-")</f>
        <v>-</v>
      </c>
      <c r="H26" s="14" cm="1">
        <f t="array" ref="H26">IFERROR(IF(ROUNDUP((Client_Margin($C26)*Alloted(H$3,H$2,H$5)/Get_Margin(H$3,H$2,H$5,H$1)),0)*Get_Margin(H$3,H$2,H$5,H$1)&gt;((Client_Margin($C26)*Alloted(H$3,H$2,H$5)/Get_Margin(H$3,H$2,H$5,H$1))*Get_Margin(H$3,H$2,H$5,H$1))*$D$3,ROUNDDOWN((Client_Margin($C26)*Alloted(H$3,H$2,H$5)/Get_Margin(H$3,H$2,H$5,H$1)),0),ROUNDUP((Client_Margin($C26)*Alloted(H$3,H$2,H$5)/Get_Margin(H$3,H$2,H$5,H$1)),0)),"-")</f>
        <v>3</v>
      </c>
      <c r="I26" s="14" cm="1">
        <f t="array" ref="I26">IFERROR(IF(ROUNDUP((Client_Margin($C26)*Alloted(I$3,I$2,I$5)/Get_Margin(I$3,I$2,I$5,I$1)),0)*Get_Margin(I$3,I$2,I$5,I$1)&gt;((Client_Margin($C26)*Alloted(I$3,I$2,I$5)/Get_Margin(I$3,I$2,I$5,I$1))*Get_Margin(I$3,I$2,I$5,I$1))*$D$3,ROUNDDOWN((Client_Margin($C26)*Alloted(I$3,I$2,I$5)/Get_Margin(I$3,I$2,I$5,I$1)),0),ROUNDUP((Client_Margin($C26)*Alloted(I$3,I$2,I$5)/Get_Margin(I$3,I$2,I$5,I$1)),0)),"-")</f>
        <v>1</v>
      </c>
      <c r="J26" s="14" cm="1">
        <f t="array" ref="J26">IFERROR(IF(ROUNDUP((Client_Margin($C26)*Alloted(J$3,J$2,J$5)/Get_Margin(J$3,J$2,J$5,J$1)),0)*Get_Margin(J$3,J$2,J$5,J$1)&gt;((Client_Margin($C26)*Alloted(J$3,J$2,J$5)/Get_Margin(J$3,J$2,J$5,J$1))*Get_Margin(J$3,J$2,J$5,J$1))*$D$3,ROUNDDOWN((Client_Margin($C26)*Alloted(J$3,J$2,J$5)/Get_Margin(J$3,J$2,J$5,J$1)),0),ROUNDUP((Client_Margin($C26)*Alloted(J$3,J$2,J$5)/Get_Margin(J$3,J$2,J$5,J$1)),0)),"-")</f>
        <v>1</v>
      </c>
      <c r="K26" s="14" cm="1">
        <f t="array" ref="K26">IFERROR(IF(ROUNDUP((Client_Margin($C26)*Alloted(K$3,K$2,K$5)/Get_Margin(K$3,K$2,K$5,K$1)),0)*Get_Margin(K$3,K$2,K$5,K$1)&gt;((Client_Margin($C26)*Alloted(K$3,K$2,K$5)/Get_Margin(K$3,K$2,K$5,K$1))*Get_Margin(K$3,K$2,K$5,K$1))*$D$3,ROUNDDOWN((Client_Margin($C26)*Alloted(K$3,K$2,K$5)/Get_Margin(K$3,K$2,K$5,K$1)),0),ROUNDUP((Client_Margin($C26)*Alloted(K$3,K$2,K$5)/Get_Margin(K$3,K$2,K$5,K$1)),0)),"-")</f>
        <v>0</v>
      </c>
      <c r="L26" s="14" cm="1">
        <f t="array" ref="L26">IFERROR(IF(ROUNDUP((Client_Margin($C26)*Alloted(L$3,L$2,L$5)/Get_Margin(L$3,L$2,L$5,L$1)),0)*Get_Margin(L$3,L$2,L$5,L$1)&gt;((Client_Margin($C26)*Alloted(L$3,L$2,L$5)/Get_Margin(L$3,L$2,L$5,L$1))*Get_Margin(L$3,L$2,L$5,L$1))*$D$3,ROUNDDOWN((Client_Margin($C26)*Alloted(L$3,L$2,L$5)/Get_Margin(L$3,L$2,L$5,L$1)),0),ROUNDUP((Client_Margin($C26)*Alloted(L$3,L$2,L$5)/Get_Margin(L$3,L$2,L$5,L$1)),0)),"-")</f>
        <v>0</v>
      </c>
      <c r="M26" s="14" cm="1">
        <f t="array" ref="M26">IFERROR(IF(ROUNDUP((Client_Margin($C26)*Alloted(M$3,M$2,M$5)/Get_Margin(M$3,M$2,M$5,M$1)),0)*Get_Margin(M$3,M$2,M$5,M$1)&gt;((Client_Margin($C26)*Alloted(M$3,M$2,M$5)/Get_Margin(M$3,M$2,M$5,M$1))*Get_Margin(M$3,M$2,M$5,M$1))*$D$3,ROUNDDOWN((Client_Margin($C26)*Alloted(M$3,M$2,M$5)/Get_Margin(M$3,M$2,M$5,M$1)),0),ROUNDUP((Client_Margin($C26)*Alloted(M$3,M$2,M$5)/Get_Margin(M$3,M$2,M$5,M$1)),0)),"-")</f>
        <v>0</v>
      </c>
      <c r="N26" s="14" cm="1">
        <f t="array" ref="N26">IFERROR(IF(ROUNDUP((Client_Margin($C26)*Alloted(N$3,N$2,N$5)/Get_Margin(N$3,N$2,N$5,N$1)),0)*Get_Margin(N$3,N$2,N$5,N$1)&gt;((Client_Margin($C26)*Alloted(N$3,N$2,N$5)/Get_Margin(N$3,N$2,N$5,N$1))*Get_Margin(N$3,N$2,N$5,N$1))*$D$3,ROUNDDOWN((Client_Margin($C26)*Alloted(N$3,N$2,N$5)/Get_Margin(N$3,N$2,N$5,N$1)),0),ROUNDUP((Client_Margin($C26)*Alloted(N$3,N$2,N$5)/Get_Margin(N$3,N$2,N$5,N$1)),0)),"-")</f>
        <v>0</v>
      </c>
      <c r="O26" s="14" cm="1">
        <f t="array" ref="O26">IFERROR(IF(ROUNDUP((Client_Margin($C26)*Alloted(O$3,O$2,O$5)/Get_Margin(O$3,O$2,O$5,O$1)),0)*Get_Margin(O$3,O$2,O$5,O$1)&gt;((Client_Margin($C26)*Alloted(O$3,O$2,O$5)/Get_Margin(O$3,O$2,O$5,O$1))*Get_Margin(O$3,O$2,O$5,O$1))*$D$3,ROUNDDOWN((Client_Margin($C26)*Alloted(O$3,O$2,O$5)/Get_Margin(O$3,O$2,O$5,O$1)),0),ROUNDUP((Client_Margin($C26)*Alloted(O$3,O$2,O$5)/Get_Margin(O$3,O$2,O$5,O$1)),0)),"-")</f>
        <v>0</v>
      </c>
    </row>
    <row r="27" spans="1:15" hidden="1" x14ac:dyDescent="0.25">
      <c r="A27">
        <f>_xlfn.XLOOKUP(C27,'OI QTY'!$O$5:$O$21,'OI QTY'!$N$5:$N$21,"")</f>
        <v>0</v>
      </c>
      <c r="B27">
        <f t="shared" si="2"/>
        <v>0</v>
      </c>
      <c r="C27" s="14"/>
      <c r="D27" s="14"/>
      <c r="E27" s="15">
        <f>SUM(F27:O27)</f>
        <v>0.23166666666666663</v>
      </c>
      <c r="F27" s="15" t="str" cm="1">
        <f t="array" ref="F27">IFERROR((_xlfn._xlws.FILTER(INDEX(Margin[],0,MATCH(F$1&amp;"_"&amp;F$3,Margin[#Headers],0)),(Margin[Index]=F$2)*(Margin[Strategy]=F$5))*F26)/Client_Margin($C26),"-")</f>
        <v>-</v>
      </c>
      <c r="G27" s="15" t="str" cm="1">
        <f t="array" ref="G27">IFERROR((_xlfn._xlws.FILTER(INDEX(Margin[],0,MATCH(G$1&amp;"_"&amp;G$3,Margin[#Headers],0)),(Margin[Index]=G$2)*(Margin[Strategy]=G$5))*G26)/Client_Margin($C26),"-")</f>
        <v>-</v>
      </c>
      <c r="H27" s="15" cm="1">
        <f t="array" ref="H27">IFERROR((_xlfn._xlws.FILTER(INDEX(Margin[],0,MATCH(H$1&amp;"_"&amp;H$3,Margin[#Headers],0)),(Margin[Index]=H$2)*(Margin[Strategy]=H$5))*H26)/Client_Margin($C26),"-")</f>
        <v>8.6999999999999994E-2</v>
      </c>
      <c r="I27" s="15" cm="1">
        <f t="array" ref="I27">IFERROR((_xlfn._xlws.FILTER(INDEX(Margin[],0,MATCH(I$1&amp;"_"&amp;I$3,Margin[#Headers],0)),(Margin[Index]=I$2)*(Margin[Strategy]=I$5))*I26)/Client_Margin($C26),"-")</f>
        <v>7.8E-2</v>
      </c>
      <c r="J27" s="15" cm="1">
        <f t="array" ref="J27">IFERROR((_xlfn._xlws.FILTER(INDEX(Margin[],0,MATCH(J$1&amp;"_"&amp;J$3,Margin[#Headers],0)),(Margin[Index]=J$2)*(Margin[Strategy]=J$5))*J26)/Client_Margin($C26),"-")</f>
        <v>6.6666666666666666E-2</v>
      </c>
      <c r="K27" s="15" cm="1">
        <f t="array" ref="K27">IFERROR((_xlfn._xlws.FILTER(INDEX(Margin[],0,MATCH(K$1&amp;"_"&amp;K$3,Margin[#Headers],0)),(Margin[Index]=K$2)*(Margin[Strategy]=K$5))*K26)/Client_Margin($C26),"-")</f>
        <v>0</v>
      </c>
      <c r="L27" s="15" cm="1">
        <f t="array" ref="L27">IFERROR((_xlfn._xlws.FILTER(INDEX(Margin[],0,MATCH(L$1&amp;"_"&amp;L$3,Margin[#Headers],0)),(Margin[Index]=L$2)*(Margin[Strategy]=L$5))*L26)/Client_Margin($C26),"-")</f>
        <v>0</v>
      </c>
      <c r="M27" s="15" cm="1">
        <f t="array" ref="M27">IFERROR((_xlfn._xlws.FILTER(INDEX(Margin[],0,MATCH(M$1&amp;"_"&amp;M$3,Margin[#Headers],0)),(Margin[Index]=M$2)*(Margin[Strategy]=M$5))*M26)/Client_Margin($C26),"-")</f>
        <v>0</v>
      </c>
      <c r="N27" s="15" cm="1">
        <f t="array" ref="N27">IFERROR((_xlfn._xlws.FILTER(INDEX(Margin[],0,MATCH(N$1&amp;"_"&amp;N$3,Margin[#Headers],0)),(Margin[Index]=N$2)*(Margin[Strategy]=N$5))*N26)/Client_Margin($C26),"-")</f>
        <v>0</v>
      </c>
      <c r="O27" s="15" cm="1">
        <f t="array" ref="O27">IFERROR((_xlfn._xlws.FILTER(INDEX(Margin[],0,MATCH(O$1&amp;"_"&amp;O$3,Margin[#Headers],0)),(Margin[Index]=O$2)*(Margin[Strategy]=O$5))*O26)/Client_Margin($C26),"-")</f>
        <v>0</v>
      </c>
    </row>
    <row r="28" spans="1:15" x14ac:dyDescent="0.25">
      <c r="A28" t="str">
        <f>_xlfn.XLOOKUP(C28,'OI QTY'!$O$5:$O$21,'OI QTY'!$N$5:$N$21,"")</f>
        <v>K</v>
      </c>
      <c r="B28">
        <f>IF(C28="",0,1)</f>
        <v>1</v>
      </c>
      <c r="C28" s="14" t="s">
        <v>129</v>
      </c>
      <c r="D28" s="14" cm="1">
        <f t="array" ref="D28">(_xlfn._xlws.FILTER(Fund[Margin],Fund[Client Id]=C28))/10000000</f>
        <v>2.4</v>
      </c>
      <c r="E28" s="17"/>
      <c r="F28" s="14" t="str" cm="1">
        <f t="array" ref="F28">IFERROR(IF(ROUNDUP((Client_Margin($C28)*Alloted(F$3,F$2,F$5)/Get_Margin(F$3,F$2,F$5,F$1)),0)*Get_Margin(F$3,F$2,F$5,F$1)&gt;((Client_Margin($C28)*Alloted(F$3,F$2,F$5)/Get_Margin(F$3,F$2,F$5,F$1))*Get_Margin(F$3,F$2,F$5,F$1))*$D$3,ROUNDDOWN((Client_Margin($C28)*Alloted(F$3,F$2,F$5)/Get_Margin(F$3,F$2,F$5,F$1)),0),ROUNDUP((Client_Margin($C28)*Alloted(F$3,F$2,F$5)/Get_Margin(F$3,F$2,F$5,F$1)),0)),"-")</f>
        <v>-</v>
      </c>
      <c r="G28" s="14" t="str" cm="1">
        <f t="array" ref="G28">IFERROR(IF(ROUNDUP((Client_Margin($C28)*Alloted(G$3,G$2,G$5)/Get_Margin(G$3,G$2,G$5,G$1)),0)*Get_Margin(G$3,G$2,G$5,G$1)&gt;((Client_Margin($C28)*Alloted(G$3,G$2,G$5)/Get_Margin(G$3,G$2,G$5,G$1))*Get_Margin(G$3,G$2,G$5,G$1))*$D$3,ROUNDDOWN((Client_Margin($C28)*Alloted(G$3,G$2,G$5)/Get_Margin(G$3,G$2,G$5,G$1)),0),ROUNDUP((Client_Margin($C28)*Alloted(G$3,G$2,G$5)/Get_Margin(G$3,G$2,G$5,G$1)),0)),"-")</f>
        <v>-</v>
      </c>
      <c r="H28" s="14" cm="1">
        <f t="array" ref="H28">IFERROR(IF(ROUNDUP((Client_Margin($C28)*Alloted(H$3,H$2,H$5)/Get_Margin(H$3,H$2,H$5,H$1)),0)*Get_Margin(H$3,H$2,H$5,H$1)&gt;((Client_Margin($C28)*Alloted(H$3,H$2,H$5)/Get_Margin(H$3,H$2,H$5,H$1))*Get_Margin(H$3,H$2,H$5,H$1))*$D$3,ROUNDDOWN((Client_Margin($C28)*Alloted(H$3,H$2,H$5)/Get_Margin(H$3,H$2,H$5,H$1)),0),ROUNDUP((Client_Margin($C28)*Alloted(H$3,H$2,H$5)/Get_Margin(H$3,H$2,H$5,H$1)),0)),"-")</f>
        <v>3</v>
      </c>
      <c r="I28" s="14" cm="1">
        <f t="array" ref="I28">IFERROR(IF(ROUNDUP((Client_Margin($C28)*Alloted(I$3,I$2,I$5)/Get_Margin(I$3,I$2,I$5,I$1)),0)*Get_Margin(I$3,I$2,I$5,I$1)&gt;((Client_Margin($C28)*Alloted(I$3,I$2,I$5)/Get_Margin(I$3,I$2,I$5,I$1))*Get_Margin(I$3,I$2,I$5,I$1))*$D$3,ROUNDDOWN((Client_Margin($C28)*Alloted(I$3,I$2,I$5)/Get_Margin(I$3,I$2,I$5,I$1)),0),ROUNDUP((Client_Margin($C28)*Alloted(I$3,I$2,I$5)/Get_Margin(I$3,I$2,I$5,I$1)),0)),"-")</f>
        <v>1</v>
      </c>
      <c r="J28" s="14" cm="1">
        <f t="array" ref="J28">IFERROR(IF(ROUNDUP((Client_Margin($C28)*Alloted(J$3,J$2,J$5)/Get_Margin(J$3,J$2,J$5,J$1)),0)*Get_Margin(J$3,J$2,J$5,J$1)&gt;((Client_Margin($C28)*Alloted(J$3,J$2,J$5)/Get_Margin(J$3,J$2,J$5,J$1))*Get_Margin(J$3,J$2,J$5,J$1))*$D$3,ROUNDDOWN((Client_Margin($C28)*Alloted(J$3,J$2,J$5)/Get_Margin(J$3,J$2,J$5,J$1)),0),ROUNDUP((Client_Margin($C28)*Alloted(J$3,J$2,J$5)/Get_Margin(J$3,J$2,J$5,J$1)),0)),"-")</f>
        <v>1</v>
      </c>
      <c r="K28" s="14" cm="1">
        <f t="array" ref="K28">IFERROR(IF(ROUNDUP((Client_Margin($C28)*Alloted(K$3,K$2,K$5)/Get_Margin(K$3,K$2,K$5,K$1)),0)*Get_Margin(K$3,K$2,K$5,K$1)&gt;((Client_Margin($C28)*Alloted(K$3,K$2,K$5)/Get_Margin(K$3,K$2,K$5,K$1))*Get_Margin(K$3,K$2,K$5,K$1))*$D$3,ROUNDDOWN((Client_Margin($C28)*Alloted(K$3,K$2,K$5)/Get_Margin(K$3,K$2,K$5,K$1)),0),ROUNDUP((Client_Margin($C28)*Alloted(K$3,K$2,K$5)/Get_Margin(K$3,K$2,K$5,K$1)),0)),"-")</f>
        <v>0</v>
      </c>
      <c r="L28" s="14" cm="1">
        <f t="array" ref="L28">IFERROR(IF(ROUNDUP((Client_Margin($C28)*Alloted(L$3,L$2,L$5)/Get_Margin(L$3,L$2,L$5,L$1)),0)*Get_Margin(L$3,L$2,L$5,L$1)&gt;((Client_Margin($C28)*Alloted(L$3,L$2,L$5)/Get_Margin(L$3,L$2,L$5,L$1))*Get_Margin(L$3,L$2,L$5,L$1))*$D$3,ROUNDDOWN((Client_Margin($C28)*Alloted(L$3,L$2,L$5)/Get_Margin(L$3,L$2,L$5,L$1)),0),ROUNDUP((Client_Margin($C28)*Alloted(L$3,L$2,L$5)/Get_Margin(L$3,L$2,L$5,L$1)),0)),"-")</f>
        <v>0</v>
      </c>
      <c r="M28" s="14" cm="1">
        <f t="array" ref="M28">IFERROR(IF(ROUNDUP((Client_Margin($C28)*Alloted(M$3,M$2,M$5)/Get_Margin(M$3,M$2,M$5,M$1)),0)*Get_Margin(M$3,M$2,M$5,M$1)&gt;((Client_Margin($C28)*Alloted(M$3,M$2,M$5)/Get_Margin(M$3,M$2,M$5,M$1))*Get_Margin(M$3,M$2,M$5,M$1))*$D$3,ROUNDDOWN((Client_Margin($C28)*Alloted(M$3,M$2,M$5)/Get_Margin(M$3,M$2,M$5,M$1)),0),ROUNDUP((Client_Margin($C28)*Alloted(M$3,M$2,M$5)/Get_Margin(M$3,M$2,M$5,M$1)),0)),"-")</f>
        <v>0</v>
      </c>
      <c r="N28" s="14" cm="1">
        <f t="array" ref="N28">IFERROR(IF(ROUNDUP((Client_Margin($C28)*Alloted(N$3,N$2,N$5)/Get_Margin(N$3,N$2,N$5,N$1)),0)*Get_Margin(N$3,N$2,N$5,N$1)&gt;((Client_Margin($C28)*Alloted(N$3,N$2,N$5)/Get_Margin(N$3,N$2,N$5,N$1))*Get_Margin(N$3,N$2,N$5,N$1))*$D$3,ROUNDDOWN((Client_Margin($C28)*Alloted(N$3,N$2,N$5)/Get_Margin(N$3,N$2,N$5,N$1)),0),ROUNDUP((Client_Margin($C28)*Alloted(N$3,N$2,N$5)/Get_Margin(N$3,N$2,N$5,N$1)),0)),"-")</f>
        <v>0</v>
      </c>
      <c r="O28" s="14" cm="1">
        <f t="array" ref="O28">IFERROR(IF(ROUNDUP((Client_Margin($C28)*Alloted(O$3,O$2,O$5)/Get_Margin(O$3,O$2,O$5,O$1)),0)*Get_Margin(O$3,O$2,O$5,O$1)&gt;((Client_Margin($C28)*Alloted(O$3,O$2,O$5)/Get_Margin(O$3,O$2,O$5,O$1))*Get_Margin(O$3,O$2,O$5,O$1))*$D$3,ROUNDDOWN((Client_Margin($C28)*Alloted(O$3,O$2,O$5)/Get_Margin(O$3,O$2,O$5,O$1)),0),ROUNDUP((Client_Margin($C28)*Alloted(O$3,O$2,O$5)/Get_Margin(O$3,O$2,O$5,O$1)),0)),"-")</f>
        <v>0</v>
      </c>
    </row>
    <row r="29" spans="1:15" hidden="1" x14ac:dyDescent="0.25">
      <c r="A29">
        <f>_xlfn.XLOOKUP(C29,'OI QTY'!$O$5:$O$21,'OI QTY'!$N$5:$N$21,"")</f>
        <v>0</v>
      </c>
      <c r="B29">
        <f>IF(C29="",0,1)</f>
        <v>0</v>
      </c>
      <c r="C29" s="14"/>
      <c r="D29" s="14"/>
      <c r="E29" s="15">
        <f>SUM(F29:O29)</f>
        <v>0.23166666666666663</v>
      </c>
      <c r="F29" s="15" t="str" cm="1">
        <f t="array" ref="F29">IFERROR((_xlfn._xlws.FILTER(INDEX(Margin[],0,MATCH(F$1&amp;"_"&amp;F$3,Margin[#Headers],0)),(Margin[Index]=F$2)*(Margin[Strategy]=F$5))*F28)/Client_Margin($C28),"-")</f>
        <v>-</v>
      </c>
      <c r="G29" s="15" t="str" cm="1">
        <f t="array" ref="G29">IFERROR((_xlfn._xlws.FILTER(INDEX(Margin[],0,MATCH(G$1&amp;"_"&amp;G$3,Margin[#Headers],0)),(Margin[Index]=G$2)*(Margin[Strategy]=G$5))*G28)/Client_Margin($C28),"-")</f>
        <v>-</v>
      </c>
      <c r="H29" s="15" cm="1">
        <f t="array" ref="H29">IFERROR((_xlfn._xlws.FILTER(INDEX(Margin[],0,MATCH(H$1&amp;"_"&amp;H$3,Margin[#Headers],0)),(Margin[Index]=H$2)*(Margin[Strategy]=H$5))*H28)/Client_Margin($C28),"-")</f>
        <v>8.6999999999999994E-2</v>
      </c>
      <c r="I29" s="15" cm="1">
        <f t="array" ref="I29">IFERROR((_xlfn._xlws.FILTER(INDEX(Margin[],0,MATCH(I$1&amp;"_"&amp;I$3,Margin[#Headers],0)),(Margin[Index]=I$2)*(Margin[Strategy]=I$5))*I28)/Client_Margin($C28),"-")</f>
        <v>7.8E-2</v>
      </c>
      <c r="J29" s="15" cm="1">
        <f t="array" ref="J29">IFERROR((_xlfn._xlws.FILTER(INDEX(Margin[],0,MATCH(J$1&amp;"_"&amp;J$3,Margin[#Headers],0)),(Margin[Index]=J$2)*(Margin[Strategy]=J$5))*J28)/Client_Margin($C28),"-")</f>
        <v>6.6666666666666666E-2</v>
      </c>
      <c r="K29" s="15" cm="1">
        <f t="array" ref="K29">IFERROR((_xlfn._xlws.FILTER(INDEX(Margin[],0,MATCH(K$1&amp;"_"&amp;K$3,Margin[#Headers],0)),(Margin[Index]=K$2)*(Margin[Strategy]=K$5))*K28)/Client_Margin($C28),"-")</f>
        <v>0</v>
      </c>
      <c r="L29" s="15" cm="1">
        <f t="array" ref="L29">IFERROR((_xlfn._xlws.FILTER(INDEX(Margin[],0,MATCH(L$1&amp;"_"&amp;L$3,Margin[#Headers],0)),(Margin[Index]=L$2)*(Margin[Strategy]=L$5))*L28)/Client_Margin($C28),"-")</f>
        <v>0</v>
      </c>
      <c r="M29" s="15" cm="1">
        <f t="array" ref="M29">IFERROR((_xlfn._xlws.FILTER(INDEX(Margin[],0,MATCH(M$1&amp;"_"&amp;M$3,Margin[#Headers],0)),(Margin[Index]=M$2)*(Margin[Strategy]=M$5))*M28)/Client_Margin($C28),"-")</f>
        <v>0</v>
      </c>
      <c r="N29" s="15" cm="1">
        <f t="array" ref="N29">IFERROR((_xlfn._xlws.FILTER(INDEX(Margin[],0,MATCH(N$1&amp;"_"&amp;N$3,Margin[#Headers],0)),(Margin[Index]=N$2)*(Margin[Strategy]=N$5))*N28)/Client_Margin($C28),"-")</f>
        <v>0</v>
      </c>
      <c r="O29" s="15" cm="1">
        <f t="array" ref="O29">IFERROR((_xlfn._xlws.FILTER(INDEX(Margin[],0,MATCH(O$1&amp;"_"&amp;O$3,Margin[#Headers],0)),(Margin[Index]=O$2)*(Margin[Strategy]=O$5))*O28)/Client_Margin($C28),"-")</f>
        <v>0</v>
      </c>
    </row>
    <row r="30" spans="1:15" x14ac:dyDescent="0.25">
      <c r="A30" t="str">
        <f>_xlfn.XLOOKUP(C30,'OI QTY'!$O$5:$O$21,'OI QTY'!$N$5:$N$21,"")</f>
        <v>K</v>
      </c>
      <c r="B30">
        <f t="shared" ref="B30:B31" si="3">IF(C30="",0,1)</f>
        <v>1</v>
      </c>
      <c r="C30" s="14" t="s">
        <v>114</v>
      </c>
      <c r="D30" s="14" cm="1">
        <f t="array" ref="D30">(_xlfn._xlws.FILTER(Fund[Margin],Fund[Client Id]=C30))/10000000</f>
        <v>1.85</v>
      </c>
      <c r="E30" s="17"/>
      <c r="F30" s="14" t="str" cm="1">
        <f t="array" ref="F30">IFERROR(IF(ROUNDUP((Client_Margin($C30)*Alloted(F$3,F$2,F$5)/Get_Margin(F$3,F$2,F$5,F$1)),0)*Get_Margin(F$3,F$2,F$5,F$1)&gt;((Client_Margin($C30)*Alloted(F$3,F$2,F$5)/Get_Margin(F$3,F$2,F$5,F$1))*Get_Margin(F$3,F$2,F$5,F$1))*$D$3,ROUNDDOWN((Client_Margin($C30)*Alloted(F$3,F$2,F$5)/Get_Margin(F$3,F$2,F$5,F$1)),0),ROUNDUP((Client_Margin($C30)*Alloted(F$3,F$2,F$5)/Get_Margin(F$3,F$2,F$5,F$1)),0)),"-")</f>
        <v>-</v>
      </c>
      <c r="G30" s="14" t="str" cm="1">
        <f t="array" ref="G30">IFERROR(IF(ROUNDUP((Client_Margin($C30)*Alloted(G$3,G$2,G$5)/Get_Margin(G$3,G$2,G$5,G$1)),0)*Get_Margin(G$3,G$2,G$5,G$1)&gt;((Client_Margin($C30)*Alloted(G$3,G$2,G$5)/Get_Margin(G$3,G$2,G$5,G$1))*Get_Margin(G$3,G$2,G$5,G$1))*$D$3,ROUNDDOWN((Client_Margin($C30)*Alloted(G$3,G$2,G$5)/Get_Margin(G$3,G$2,G$5,G$1)),0),ROUNDUP((Client_Margin($C30)*Alloted(G$3,G$2,G$5)/Get_Margin(G$3,G$2,G$5,G$1)),0)),"-")</f>
        <v>-</v>
      </c>
      <c r="H30" s="14" cm="1">
        <f t="array" ref="H30">IFERROR(IF(ROUNDUP((Client_Margin($C30)*Alloted(H$3,H$2,H$5)/Get_Margin(H$3,H$2,H$5,H$1)),0)*Get_Margin(H$3,H$2,H$5,H$1)&gt;((Client_Margin($C30)*Alloted(H$3,H$2,H$5)/Get_Margin(H$3,H$2,H$5,H$1))*Get_Margin(H$3,H$2,H$5,H$1))*$D$3,ROUNDDOWN((Client_Margin($C30)*Alloted(H$3,H$2,H$5)/Get_Margin(H$3,H$2,H$5,H$1)),0),ROUNDUP((Client_Margin($C30)*Alloted(H$3,H$2,H$5)/Get_Margin(H$3,H$2,H$5,H$1)),0)),"-")</f>
        <v>3</v>
      </c>
      <c r="I30" s="14" cm="1">
        <f t="array" ref="I30">IFERROR(IF(ROUNDUP((Client_Margin($C30)*Alloted(I$3,I$2,I$5)/Get_Margin(I$3,I$2,I$5,I$1)),0)*Get_Margin(I$3,I$2,I$5,I$1)&gt;((Client_Margin($C30)*Alloted(I$3,I$2,I$5)/Get_Margin(I$3,I$2,I$5,I$1))*Get_Margin(I$3,I$2,I$5,I$1))*$D$3,ROUNDDOWN((Client_Margin($C30)*Alloted(I$3,I$2,I$5)/Get_Margin(I$3,I$2,I$5,I$1)),0),ROUNDUP((Client_Margin($C30)*Alloted(I$3,I$2,I$5)/Get_Margin(I$3,I$2,I$5,I$1)),0)),"-")</f>
        <v>1</v>
      </c>
      <c r="J30" s="14" cm="1">
        <f t="array" ref="J30">IFERROR(IF(ROUNDUP((Client_Margin($C30)*Alloted(J$3,J$2,J$5)/Get_Margin(J$3,J$2,J$5,J$1)),0)*Get_Margin(J$3,J$2,J$5,J$1)&gt;((Client_Margin($C30)*Alloted(J$3,J$2,J$5)/Get_Margin(J$3,J$2,J$5,J$1))*Get_Margin(J$3,J$2,J$5,J$1))*$D$3,ROUNDDOWN((Client_Margin($C30)*Alloted(J$3,J$2,J$5)/Get_Margin(J$3,J$2,J$5,J$1)),0),ROUNDUP((Client_Margin($C30)*Alloted(J$3,J$2,J$5)/Get_Margin(J$3,J$2,J$5,J$1)),0)),"-")</f>
        <v>1</v>
      </c>
      <c r="K30" s="14" cm="1">
        <f t="array" ref="K30">IFERROR(IF(ROUNDUP((Client_Margin($C30)*Alloted(K$3,K$2,K$5)/Get_Margin(K$3,K$2,K$5,K$1)),0)*Get_Margin(K$3,K$2,K$5,K$1)&gt;((Client_Margin($C30)*Alloted(K$3,K$2,K$5)/Get_Margin(K$3,K$2,K$5,K$1))*Get_Margin(K$3,K$2,K$5,K$1))*$D$3,ROUNDDOWN((Client_Margin($C30)*Alloted(K$3,K$2,K$5)/Get_Margin(K$3,K$2,K$5,K$1)),0),ROUNDUP((Client_Margin($C30)*Alloted(K$3,K$2,K$5)/Get_Margin(K$3,K$2,K$5,K$1)),0)),"-")</f>
        <v>0</v>
      </c>
      <c r="L30" s="14" cm="1">
        <f t="array" ref="L30">IFERROR(IF(ROUNDUP((Client_Margin($C30)*Alloted(L$3,L$2,L$5)/Get_Margin(L$3,L$2,L$5,L$1)),0)*Get_Margin(L$3,L$2,L$5,L$1)&gt;((Client_Margin($C30)*Alloted(L$3,L$2,L$5)/Get_Margin(L$3,L$2,L$5,L$1))*Get_Margin(L$3,L$2,L$5,L$1))*$D$3,ROUNDDOWN((Client_Margin($C30)*Alloted(L$3,L$2,L$5)/Get_Margin(L$3,L$2,L$5,L$1)),0),ROUNDUP((Client_Margin($C30)*Alloted(L$3,L$2,L$5)/Get_Margin(L$3,L$2,L$5,L$1)),0)),"-")</f>
        <v>0</v>
      </c>
      <c r="M30" s="41">
        <v>0</v>
      </c>
      <c r="N30" s="14" cm="1">
        <f t="array" ref="N30">IFERROR(IF(ROUNDUP((Client_Margin($C30)*Alloted(N$3,N$2,N$5)/Get_Margin(N$3,N$2,N$5,N$1)),0)*Get_Margin(N$3,N$2,N$5,N$1)&gt;((Client_Margin($C30)*Alloted(N$3,N$2,N$5)/Get_Margin(N$3,N$2,N$5,N$1))*Get_Margin(N$3,N$2,N$5,N$1))*$D$3,ROUNDDOWN((Client_Margin($C30)*Alloted(N$3,N$2,N$5)/Get_Margin(N$3,N$2,N$5,N$1)),0),ROUNDUP((Client_Margin($C30)*Alloted(N$3,N$2,N$5)/Get_Margin(N$3,N$2,N$5,N$1)),0)),"-")</f>
        <v>0</v>
      </c>
      <c r="O30" s="14" cm="1">
        <f t="array" ref="O30">IFERROR(IF(ROUNDUP((Client_Margin($C30)*Alloted(O$3,O$2,O$5)/Get_Margin(O$3,O$2,O$5,O$1)),0)*Get_Margin(O$3,O$2,O$5,O$1)&gt;((Client_Margin($C30)*Alloted(O$3,O$2,O$5)/Get_Margin(O$3,O$2,O$5,O$1))*Get_Margin(O$3,O$2,O$5,O$1))*$D$3,ROUNDDOWN((Client_Margin($C30)*Alloted(O$3,O$2,O$5)/Get_Margin(O$3,O$2,O$5,O$1)),0),ROUNDUP((Client_Margin($C30)*Alloted(O$3,O$2,O$5)/Get_Margin(O$3,O$2,O$5,O$1)),0)),"-")</f>
        <v>0</v>
      </c>
    </row>
    <row r="31" spans="1:15" hidden="1" x14ac:dyDescent="0.25">
      <c r="A31">
        <f>_xlfn.XLOOKUP(C31,'OI QTY'!$O$5:$O$21,'OI QTY'!$N$5:$N$21,"")</f>
        <v>0</v>
      </c>
      <c r="B31">
        <f t="shared" si="3"/>
        <v>0</v>
      </c>
      <c r="C31" s="14"/>
      <c r="D31" s="14"/>
      <c r="E31" s="15">
        <f>SUM(F31:O31)</f>
        <v>0.30054054054054058</v>
      </c>
      <c r="F31" s="15" t="str" cm="1">
        <f t="array" ref="F31">IFERROR((_xlfn._xlws.FILTER(INDEX(Margin[],0,MATCH(F$1&amp;"_"&amp;F$3,Margin[#Headers],0)),(Margin[Index]=F$2)*(Margin[Strategy]=F$5))*F30)/Client_Margin($C30),"-")</f>
        <v>-</v>
      </c>
      <c r="G31" s="15" t="str" cm="1">
        <f t="array" ref="G31">IFERROR((_xlfn._xlws.FILTER(INDEX(Margin[],0,MATCH(G$1&amp;"_"&amp;G$3,Margin[#Headers],0)),(Margin[Index]=G$2)*(Margin[Strategy]=G$5))*G30)/Client_Margin($C30),"-")</f>
        <v>-</v>
      </c>
      <c r="H31" s="15" cm="1">
        <f t="array" ref="H31">IFERROR((_xlfn._xlws.FILTER(INDEX(Margin[],0,MATCH(H$1&amp;"_"&amp;H$3,Margin[#Headers],0)),(Margin[Index]=H$2)*(Margin[Strategy]=H$5))*H30)/Client_Margin($C30),"-")</f>
        <v>0.11286486486486487</v>
      </c>
      <c r="I31" s="15" cm="1">
        <f t="array" ref="I31">IFERROR((_xlfn._xlws.FILTER(INDEX(Margin[],0,MATCH(I$1&amp;"_"&amp;I$3,Margin[#Headers],0)),(Margin[Index]=I$2)*(Margin[Strategy]=I$5))*I30)/Client_Margin($C30),"-")</f>
        <v>0.10118918918918919</v>
      </c>
      <c r="J31" s="15" cm="1">
        <f t="array" ref="J31">IFERROR((_xlfn._xlws.FILTER(INDEX(Margin[],0,MATCH(J$1&amp;"_"&amp;J$3,Margin[#Headers],0)),(Margin[Index]=J$2)*(Margin[Strategy]=J$5))*J30)/Client_Margin($C30),"-")</f>
        <v>8.6486486486486491E-2</v>
      </c>
      <c r="K31" s="15" cm="1">
        <f t="array" ref="K31">IFERROR((_xlfn._xlws.FILTER(INDEX(Margin[],0,MATCH(K$1&amp;"_"&amp;K$3,Margin[#Headers],0)),(Margin[Index]=K$2)*(Margin[Strategy]=K$5))*K30)/Client_Margin($C30),"-")</f>
        <v>0</v>
      </c>
      <c r="L31" s="15" cm="1">
        <f t="array" ref="L31">IFERROR((_xlfn._xlws.FILTER(INDEX(Margin[],0,MATCH(L$1&amp;"_"&amp;L$3,Margin[#Headers],0)),(Margin[Index]=L$2)*(Margin[Strategy]=L$5))*L30)/Client_Margin($C30),"-")</f>
        <v>0</v>
      </c>
      <c r="M31" s="15" cm="1">
        <f t="array" ref="M31">IFERROR((_xlfn._xlws.FILTER(INDEX(Margin[],0,MATCH(M$1&amp;"_"&amp;M$3,Margin[#Headers],0)),(Margin[Index]=M$2)*(Margin[Strategy]=M$5))*M30)/Client_Margin($C30),"-")</f>
        <v>0</v>
      </c>
      <c r="N31" s="15" cm="1">
        <f t="array" ref="N31">IFERROR((_xlfn._xlws.FILTER(INDEX(Margin[],0,MATCH(N$1&amp;"_"&amp;N$3,Margin[#Headers],0)),(Margin[Index]=N$2)*(Margin[Strategy]=N$5))*N30)/Client_Margin($C30),"-")</f>
        <v>0</v>
      </c>
      <c r="O31" s="15" cm="1">
        <f t="array" ref="O31">IFERROR((_xlfn._xlws.FILTER(INDEX(Margin[],0,MATCH(O$1&amp;"_"&amp;O$3,Margin[#Headers],0)),(Margin[Index]=O$2)*(Margin[Strategy]=O$5))*O30)/Client_Margin($C30),"-")</f>
        <v>0</v>
      </c>
    </row>
    <row r="32" spans="1:15" x14ac:dyDescent="0.25">
      <c r="A32" t="str">
        <f>_xlfn.XLOOKUP(C32,'OI QTY'!$O$5:$O$21,'OI QTY'!$N$5:$N$21,"")</f>
        <v>K</v>
      </c>
      <c r="B32">
        <f t="shared" ref="B32:B43" si="4">IF(C32="",0,1)</f>
        <v>1</v>
      </c>
      <c r="C32" s="14" t="s">
        <v>130</v>
      </c>
      <c r="D32" s="14" cm="1">
        <f t="array" ref="D32">(_xlfn._xlws.FILTER(Fund[Margin],Fund[Client Id]=C32))/10000000</f>
        <v>1.8</v>
      </c>
      <c r="E32" s="17"/>
      <c r="F32" s="14" t="str" cm="1">
        <f t="array" ref="F32">IFERROR(IF(ROUNDUP((Client_Margin($C32)*Alloted(F$3,F$2,F$5)/Get_Margin(F$3,F$2,F$5,F$1)),0)*Get_Margin(F$3,F$2,F$5,F$1)&gt;((Client_Margin($C32)*Alloted(F$3,F$2,F$5)/Get_Margin(F$3,F$2,F$5,F$1))*Get_Margin(F$3,F$2,F$5,F$1))*$D$3,ROUNDDOWN((Client_Margin($C32)*Alloted(F$3,F$2,F$5)/Get_Margin(F$3,F$2,F$5,F$1)),0),ROUNDUP((Client_Margin($C32)*Alloted(F$3,F$2,F$5)/Get_Margin(F$3,F$2,F$5,F$1)),0)),"-")</f>
        <v>-</v>
      </c>
      <c r="G32" s="14" t="str" cm="1">
        <f t="array" ref="G32">IFERROR(IF(ROUNDUP((Client_Margin($C32)*Alloted(G$3,G$2,G$5)/Get_Margin(G$3,G$2,G$5,G$1)),0)*Get_Margin(G$3,G$2,G$5,G$1)&gt;((Client_Margin($C32)*Alloted(G$3,G$2,G$5)/Get_Margin(G$3,G$2,G$5,G$1))*Get_Margin(G$3,G$2,G$5,G$1))*$D$3,ROUNDDOWN((Client_Margin($C32)*Alloted(G$3,G$2,G$5)/Get_Margin(G$3,G$2,G$5,G$1)),0),ROUNDUP((Client_Margin($C32)*Alloted(G$3,G$2,G$5)/Get_Margin(G$3,G$2,G$5,G$1)),0)),"-")</f>
        <v>-</v>
      </c>
      <c r="H32" s="14" cm="1">
        <f t="array" ref="H32">IFERROR(IF(ROUNDUP((Client_Margin($C32)*Alloted(H$3,H$2,H$5)/Get_Margin(H$3,H$2,H$5,H$1)),0)*Get_Margin(H$3,H$2,H$5,H$1)&gt;((Client_Margin($C32)*Alloted(H$3,H$2,H$5)/Get_Margin(H$3,H$2,H$5,H$1))*Get_Margin(H$3,H$2,H$5,H$1))*$D$3,ROUNDDOWN((Client_Margin($C32)*Alloted(H$3,H$2,H$5)/Get_Margin(H$3,H$2,H$5,H$1)),0),ROUNDUP((Client_Margin($C32)*Alloted(H$3,H$2,H$5)/Get_Margin(H$3,H$2,H$5,H$1)),0)),"-")</f>
        <v>2</v>
      </c>
      <c r="I32" s="14" cm="1">
        <f t="array" ref="I32">IFERROR(IF(ROUNDUP((Client_Margin($C32)*Alloted(I$3,I$2,I$5)/Get_Margin(I$3,I$2,I$5,I$1)),0)*Get_Margin(I$3,I$2,I$5,I$1)&gt;((Client_Margin($C32)*Alloted(I$3,I$2,I$5)/Get_Margin(I$3,I$2,I$5,I$1))*Get_Margin(I$3,I$2,I$5,I$1))*$D$3,ROUNDDOWN((Client_Margin($C32)*Alloted(I$3,I$2,I$5)/Get_Margin(I$3,I$2,I$5,I$1)),0),ROUNDUP((Client_Margin($C32)*Alloted(I$3,I$2,I$5)/Get_Margin(I$3,I$2,I$5,I$1)),0)),"-")</f>
        <v>1</v>
      </c>
      <c r="J32" s="14" cm="1">
        <f t="array" ref="J32">IFERROR(IF(ROUNDUP((Client_Margin($C32)*Alloted(J$3,J$2,J$5)/Get_Margin(J$3,J$2,J$5,J$1)),0)*Get_Margin(J$3,J$2,J$5,J$1)&gt;((Client_Margin($C32)*Alloted(J$3,J$2,J$5)/Get_Margin(J$3,J$2,J$5,J$1))*Get_Margin(J$3,J$2,J$5,J$1))*$D$3,ROUNDDOWN((Client_Margin($C32)*Alloted(J$3,J$2,J$5)/Get_Margin(J$3,J$2,J$5,J$1)),0),ROUNDUP((Client_Margin($C32)*Alloted(J$3,J$2,J$5)/Get_Margin(J$3,J$2,J$5,J$1)),0)),"-")</f>
        <v>1</v>
      </c>
      <c r="K32" s="14" cm="1">
        <f t="array" ref="K32">IFERROR(IF(ROUNDUP((Client_Margin($C32)*Alloted(K$3,K$2,K$5)/Get_Margin(K$3,K$2,K$5,K$1)),0)*Get_Margin(K$3,K$2,K$5,K$1)&gt;((Client_Margin($C32)*Alloted(K$3,K$2,K$5)/Get_Margin(K$3,K$2,K$5,K$1))*Get_Margin(K$3,K$2,K$5,K$1))*$D$3,ROUNDDOWN((Client_Margin($C32)*Alloted(K$3,K$2,K$5)/Get_Margin(K$3,K$2,K$5,K$1)),0),ROUNDUP((Client_Margin($C32)*Alloted(K$3,K$2,K$5)/Get_Margin(K$3,K$2,K$5,K$1)),0)),"-")</f>
        <v>0</v>
      </c>
      <c r="L32" s="14" cm="1">
        <f t="array" ref="L32">IFERROR(IF(ROUNDUP((Client_Margin($C32)*Alloted(L$3,L$2,L$5)/Get_Margin(L$3,L$2,L$5,L$1)),0)*Get_Margin(L$3,L$2,L$5,L$1)&gt;((Client_Margin($C32)*Alloted(L$3,L$2,L$5)/Get_Margin(L$3,L$2,L$5,L$1))*Get_Margin(L$3,L$2,L$5,L$1))*$D$3,ROUNDDOWN((Client_Margin($C32)*Alloted(L$3,L$2,L$5)/Get_Margin(L$3,L$2,L$5,L$1)),0),ROUNDUP((Client_Margin($C32)*Alloted(L$3,L$2,L$5)/Get_Margin(L$3,L$2,L$5,L$1)),0)),"-")</f>
        <v>0</v>
      </c>
      <c r="M32" s="41">
        <v>0</v>
      </c>
      <c r="N32" s="14" cm="1">
        <f t="array" ref="N32">IFERROR(IF(ROUNDUP((Client_Margin($C32)*Alloted(N$3,N$2,N$5)/Get_Margin(N$3,N$2,N$5,N$1)),0)*Get_Margin(N$3,N$2,N$5,N$1)&gt;((Client_Margin($C32)*Alloted(N$3,N$2,N$5)/Get_Margin(N$3,N$2,N$5,N$1))*Get_Margin(N$3,N$2,N$5,N$1))*$D$3,ROUNDDOWN((Client_Margin($C32)*Alloted(N$3,N$2,N$5)/Get_Margin(N$3,N$2,N$5,N$1)),0),ROUNDUP((Client_Margin($C32)*Alloted(N$3,N$2,N$5)/Get_Margin(N$3,N$2,N$5,N$1)),0)),"-")</f>
        <v>0</v>
      </c>
      <c r="O32" s="14" cm="1">
        <f t="array" ref="O32">IFERROR(IF(ROUNDUP((Client_Margin($C32)*Alloted(O$3,O$2,O$5)/Get_Margin(O$3,O$2,O$5,O$1)),0)*Get_Margin(O$3,O$2,O$5,O$1)&gt;((Client_Margin($C32)*Alloted(O$3,O$2,O$5)/Get_Margin(O$3,O$2,O$5,O$1))*Get_Margin(O$3,O$2,O$5,O$1))*$D$3,ROUNDDOWN((Client_Margin($C32)*Alloted(O$3,O$2,O$5)/Get_Margin(O$3,O$2,O$5,O$1)),0),ROUNDUP((Client_Margin($C32)*Alloted(O$3,O$2,O$5)/Get_Margin(O$3,O$2,O$5,O$1)),0)),"-")</f>
        <v>0</v>
      </c>
    </row>
    <row r="33" spans="1:15" hidden="1" x14ac:dyDescent="0.25">
      <c r="A33">
        <f>_xlfn.XLOOKUP(C33,'OI QTY'!$O$5:$O$21,'OI QTY'!$N$5:$N$21,"")</f>
        <v>0</v>
      </c>
      <c r="B33">
        <f t="shared" si="4"/>
        <v>0</v>
      </c>
      <c r="C33" s="14"/>
      <c r="D33" s="14"/>
      <c r="E33" s="15">
        <f>SUM(F33:O33)</f>
        <v>0.27022222222222225</v>
      </c>
      <c r="F33" s="15" t="str" cm="1">
        <f t="array" ref="F33">IFERROR((_xlfn._xlws.FILTER(INDEX(Margin[],0,MATCH(F$1&amp;"_"&amp;F$3,Margin[#Headers],0)),(Margin[Index]=F$2)*(Margin[Strategy]=F$5))*F32)/Client_Margin($C32),"-")</f>
        <v>-</v>
      </c>
      <c r="G33" s="15" t="str" cm="1">
        <f t="array" ref="G33">IFERROR((_xlfn._xlws.FILTER(INDEX(Margin[],0,MATCH(G$1&amp;"_"&amp;G$3,Margin[#Headers],0)),(Margin[Index]=G$2)*(Margin[Strategy]=G$5))*G32)/Client_Margin($C32),"-")</f>
        <v>-</v>
      </c>
      <c r="H33" s="15" cm="1">
        <f t="array" ref="H33">IFERROR((_xlfn._xlws.FILTER(INDEX(Margin[],0,MATCH(H$1&amp;"_"&amp;H$3,Margin[#Headers],0)),(Margin[Index]=H$2)*(Margin[Strategy]=H$5))*H32)/Client_Margin($C32),"-")</f>
        <v>7.7333333333333337E-2</v>
      </c>
      <c r="I33" s="15" cm="1">
        <f t="array" ref="I33">IFERROR((_xlfn._xlws.FILTER(INDEX(Margin[],0,MATCH(I$1&amp;"_"&amp;I$3,Margin[#Headers],0)),(Margin[Index]=I$2)*(Margin[Strategy]=I$5))*I32)/Client_Margin($C32),"-")</f>
        <v>0.104</v>
      </c>
      <c r="J33" s="15" cm="1">
        <f t="array" ref="J33">IFERROR((_xlfn._xlws.FILTER(INDEX(Margin[],0,MATCH(J$1&amp;"_"&amp;J$3,Margin[#Headers],0)),(Margin[Index]=J$2)*(Margin[Strategy]=J$5))*J32)/Client_Margin($C32),"-")</f>
        <v>8.8888888888888892E-2</v>
      </c>
      <c r="K33" s="15" cm="1">
        <f t="array" ref="K33">IFERROR((_xlfn._xlws.FILTER(INDEX(Margin[],0,MATCH(K$1&amp;"_"&amp;K$3,Margin[#Headers],0)),(Margin[Index]=K$2)*(Margin[Strategy]=K$5))*K32)/Client_Margin($C32),"-")</f>
        <v>0</v>
      </c>
      <c r="L33" s="15" cm="1">
        <f t="array" ref="L33">IFERROR((_xlfn._xlws.FILTER(INDEX(Margin[],0,MATCH(L$1&amp;"_"&amp;L$3,Margin[#Headers],0)),(Margin[Index]=L$2)*(Margin[Strategy]=L$5))*L32)/Client_Margin($C32),"-")</f>
        <v>0</v>
      </c>
      <c r="M33" s="15" cm="1">
        <f t="array" ref="M33">IFERROR((_xlfn._xlws.FILTER(INDEX(Margin[],0,MATCH(M$1&amp;"_"&amp;M$3,Margin[#Headers],0)),(Margin[Index]=M$2)*(Margin[Strategy]=M$5))*M32)/Client_Margin($C32),"-")</f>
        <v>0</v>
      </c>
      <c r="N33" s="15" cm="1">
        <f t="array" ref="N33">IFERROR((_xlfn._xlws.FILTER(INDEX(Margin[],0,MATCH(N$1&amp;"_"&amp;N$3,Margin[#Headers],0)),(Margin[Index]=N$2)*(Margin[Strategy]=N$5))*N32)/Client_Margin($C32),"-")</f>
        <v>0</v>
      </c>
      <c r="O33" s="15" cm="1">
        <f t="array" ref="O33">IFERROR((_xlfn._xlws.FILTER(INDEX(Margin[],0,MATCH(O$1&amp;"_"&amp;O$3,Margin[#Headers],0)),(Margin[Index]=O$2)*(Margin[Strategy]=O$5))*O32)/Client_Margin($C32),"-")</f>
        <v>0</v>
      </c>
    </row>
    <row r="34" spans="1:15" x14ac:dyDescent="0.25">
      <c r="A34" t="str">
        <f>_xlfn.XLOOKUP(C34,'OI QTY'!$O$5:$O$21,'OI QTY'!$N$5:$N$21,"")</f>
        <v>K</v>
      </c>
      <c r="B34">
        <f t="shared" si="4"/>
        <v>1</v>
      </c>
      <c r="C34" s="14" t="s">
        <v>113</v>
      </c>
      <c r="D34" s="14" cm="1">
        <f t="array" ref="D34">(_xlfn._xlws.FILTER(Fund[Margin],Fund[Client Id]=C34))/10000000</f>
        <v>1.3</v>
      </c>
      <c r="E34" s="17"/>
      <c r="F34" s="14" t="str" cm="1">
        <f t="array" ref="F34">IFERROR(IF(ROUNDUP((Client_Margin($C34)*Alloted(F$3,F$2,F$5)/Get_Margin(F$3,F$2,F$5,F$1)),0)*Get_Margin(F$3,F$2,F$5,F$1)&gt;((Client_Margin($C34)*Alloted(F$3,F$2,F$5)/Get_Margin(F$3,F$2,F$5,F$1))*Get_Margin(F$3,F$2,F$5,F$1))*$D$3,ROUNDDOWN((Client_Margin($C34)*Alloted(F$3,F$2,F$5)/Get_Margin(F$3,F$2,F$5,F$1)),0),ROUNDUP((Client_Margin($C34)*Alloted(F$3,F$2,F$5)/Get_Margin(F$3,F$2,F$5,F$1)),0)),"-")</f>
        <v>-</v>
      </c>
      <c r="G34" s="14" t="str" cm="1">
        <f t="array" ref="G34">IFERROR(IF(ROUNDUP((Client_Margin($C34)*Alloted(G$3,G$2,G$5)/Get_Margin(G$3,G$2,G$5,G$1)),0)*Get_Margin(G$3,G$2,G$5,G$1)&gt;((Client_Margin($C34)*Alloted(G$3,G$2,G$5)/Get_Margin(G$3,G$2,G$5,G$1))*Get_Margin(G$3,G$2,G$5,G$1))*$D$3,ROUNDDOWN((Client_Margin($C34)*Alloted(G$3,G$2,G$5)/Get_Margin(G$3,G$2,G$5,G$1)),0),ROUNDUP((Client_Margin($C34)*Alloted(G$3,G$2,G$5)/Get_Margin(G$3,G$2,G$5,G$1)),0)),"-")</f>
        <v>-</v>
      </c>
      <c r="H34" s="14" cm="1">
        <f t="array" ref="H34">IFERROR(IF(ROUNDUP((Client_Margin($C34)*Alloted(H$3,H$2,H$5)/Get_Margin(H$3,H$2,H$5,H$1)),0)*Get_Margin(H$3,H$2,H$5,H$1)&gt;((Client_Margin($C34)*Alloted(H$3,H$2,H$5)/Get_Margin(H$3,H$2,H$5,H$1))*Get_Margin(H$3,H$2,H$5,H$1))*$D$3,ROUNDDOWN((Client_Margin($C34)*Alloted(H$3,H$2,H$5)/Get_Margin(H$3,H$2,H$5,H$1)),0),ROUNDUP((Client_Margin($C34)*Alloted(H$3,H$2,H$5)/Get_Margin(H$3,H$2,H$5,H$1)),0)),"-")</f>
        <v>2</v>
      </c>
      <c r="I34" s="41">
        <v>1</v>
      </c>
      <c r="J34" s="14" cm="1">
        <f t="array" ref="J34">IFERROR(IF(ROUNDUP((Client_Margin($C34)*Alloted(J$3,J$2,J$5)/Get_Margin(J$3,J$2,J$5,J$1)),0)*Get_Margin(J$3,J$2,J$5,J$1)&gt;((Client_Margin($C34)*Alloted(J$3,J$2,J$5)/Get_Margin(J$3,J$2,J$5,J$1))*Get_Margin(J$3,J$2,J$5,J$1))*$D$3,ROUNDDOWN((Client_Margin($C34)*Alloted(J$3,J$2,J$5)/Get_Margin(J$3,J$2,J$5,J$1)),0),ROUNDUP((Client_Margin($C34)*Alloted(J$3,J$2,J$5)/Get_Margin(J$3,J$2,J$5,J$1)),0)),"-")</f>
        <v>0</v>
      </c>
      <c r="K34" s="14" cm="1">
        <f t="array" ref="K34">IFERROR(IF(ROUNDUP((Client_Margin($C34)*Alloted(K$3,K$2,K$5)/Get_Margin(K$3,K$2,K$5,K$1)),0)*Get_Margin(K$3,K$2,K$5,K$1)&gt;((Client_Margin($C34)*Alloted(K$3,K$2,K$5)/Get_Margin(K$3,K$2,K$5,K$1))*Get_Margin(K$3,K$2,K$5,K$1))*$D$3,ROUNDDOWN((Client_Margin($C34)*Alloted(K$3,K$2,K$5)/Get_Margin(K$3,K$2,K$5,K$1)),0),ROUNDUP((Client_Margin($C34)*Alloted(K$3,K$2,K$5)/Get_Margin(K$3,K$2,K$5,K$1)),0)),"-")</f>
        <v>0</v>
      </c>
      <c r="L34" s="14" cm="1">
        <f t="array" ref="L34">IFERROR(IF(ROUNDUP((Client_Margin($C34)*Alloted(L$3,L$2,L$5)/Get_Margin(L$3,L$2,L$5,L$1)),0)*Get_Margin(L$3,L$2,L$5,L$1)&gt;((Client_Margin($C34)*Alloted(L$3,L$2,L$5)/Get_Margin(L$3,L$2,L$5,L$1))*Get_Margin(L$3,L$2,L$5,L$1))*$D$3,ROUNDDOWN((Client_Margin($C34)*Alloted(L$3,L$2,L$5)/Get_Margin(L$3,L$2,L$5,L$1)),0),ROUNDUP((Client_Margin($C34)*Alloted(L$3,L$2,L$5)/Get_Margin(L$3,L$2,L$5,L$1)),0)),"-")</f>
        <v>0</v>
      </c>
      <c r="M34" s="41">
        <v>0</v>
      </c>
      <c r="N34" s="14" cm="1">
        <f t="array" ref="N34">IFERROR(IF(ROUNDUP((Client_Margin($C34)*Alloted(N$3,N$2,N$5)/Get_Margin(N$3,N$2,N$5,N$1)),0)*Get_Margin(N$3,N$2,N$5,N$1)&gt;((Client_Margin($C34)*Alloted(N$3,N$2,N$5)/Get_Margin(N$3,N$2,N$5,N$1))*Get_Margin(N$3,N$2,N$5,N$1))*$D$3,ROUNDDOWN((Client_Margin($C34)*Alloted(N$3,N$2,N$5)/Get_Margin(N$3,N$2,N$5,N$1)),0),ROUNDUP((Client_Margin($C34)*Alloted(N$3,N$2,N$5)/Get_Margin(N$3,N$2,N$5,N$1)),0)),"-")</f>
        <v>0</v>
      </c>
      <c r="O34" s="14" cm="1">
        <f t="array" ref="O34">IFERROR(IF(ROUNDUP((Client_Margin($C34)*Alloted(O$3,O$2,O$5)/Get_Margin(O$3,O$2,O$5,O$1)),0)*Get_Margin(O$3,O$2,O$5,O$1)&gt;((Client_Margin($C34)*Alloted(O$3,O$2,O$5)/Get_Margin(O$3,O$2,O$5,O$1))*Get_Margin(O$3,O$2,O$5,O$1))*$D$3,ROUNDDOWN((Client_Margin($C34)*Alloted(O$3,O$2,O$5)/Get_Margin(O$3,O$2,O$5,O$1)),0),ROUNDUP((Client_Margin($C34)*Alloted(O$3,O$2,O$5)/Get_Margin(O$3,O$2,O$5,O$1)),0)),"-")</f>
        <v>0</v>
      </c>
    </row>
    <row r="35" spans="1:15" hidden="1" x14ac:dyDescent="0.25">
      <c r="A35">
        <f>_xlfn.XLOOKUP(C35,'OI QTY'!$O$5:$O$21,'OI QTY'!$N$5:$N$21,"")</f>
        <v>0</v>
      </c>
      <c r="B35">
        <f t="shared" si="4"/>
        <v>0</v>
      </c>
      <c r="C35" s="14"/>
      <c r="D35" s="14"/>
      <c r="E35" s="15">
        <f>SUM(F35:O35)</f>
        <v>0.25107692307692309</v>
      </c>
      <c r="F35" s="15" t="str" cm="1">
        <f t="array" ref="F35">IFERROR((_xlfn._xlws.FILTER(INDEX(Margin[],0,MATCH(F$1&amp;"_"&amp;F$3,Margin[#Headers],0)),(Margin[Index]=F$2)*(Margin[Strategy]=F$5))*F34)/Client_Margin($C34),"-")</f>
        <v>-</v>
      </c>
      <c r="G35" s="15" t="str" cm="1">
        <f t="array" ref="G35">IFERROR((_xlfn._xlws.FILTER(INDEX(Margin[],0,MATCH(G$1&amp;"_"&amp;G$3,Margin[#Headers],0)),(Margin[Index]=G$2)*(Margin[Strategy]=G$5))*G34)/Client_Margin($C34),"-")</f>
        <v>-</v>
      </c>
      <c r="H35" s="15" cm="1">
        <f t="array" ref="H35">IFERROR((_xlfn._xlws.FILTER(INDEX(Margin[],0,MATCH(H$1&amp;"_"&amp;H$3,Margin[#Headers],0)),(Margin[Index]=H$2)*(Margin[Strategy]=H$5))*H34)/Client_Margin($C34),"-")</f>
        <v>0.10707692307692308</v>
      </c>
      <c r="I35" s="15" cm="1">
        <f t="array" ref="I35">IFERROR((_xlfn._xlws.FILTER(INDEX(Margin[],0,MATCH(I$1&amp;"_"&amp;I$3,Margin[#Headers],0)),(Margin[Index]=I$2)*(Margin[Strategy]=I$5))*I34)/Client_Margin($C34),"-")</f>
        <v>0.14399999999999999</v>
      </c>
      <c r="J35" s="15" cm="1">
        <f t="array" ref="J35">IFERROR((_xlfn._xlws.FILTER(INDEX(Margin[],0,MATCH(J$1&amp;"_"&amp;J$3,Margin[#Headers],0)),(Margin[Index]=J$2)*(Margin[Strategy]=J$5))*J34)/Client_Margin($C34),"-")</f>
        <v>0</v>
      </c>
      <c r="K35" s="15" cm="1">
        <f t="array" ref="K35">IFERROR((_xlfn._xlws.FILTER(INDEX(Margin[],0,MATCH(K$1&amp;"_"&amp;K$3,Margin[#Headers],0)),(Margin[Index]=K$2)*(Margin[Strategy]=K$5))*K34)/Client_Margin($C34),"-")</f>
        <v>0</v>
      </c>
      <c r="L35" s="15" cm="1">
        <f t="array" ref="L35">IFERROR((_xlfn._xlws.FILTER(INDEX(Margin[],0,MATCH(L$1&amp;"_"&amp;L$3,Margin[#Headers],0)),(Margin[Index]=L$2)*(Margin[Strategy]=L$5))*L34)/Client_Margin($C34),"-")</f>
        <v>0</v>
      </c>
      <c r="M35" s="15" cm="1">
        <f t="array" ref="M35">IFERROR((_xlfn._xlws.FILTER(INDEX(Margin[],0,MATCH(M$1&amp;"_"&amp;M$3,Margin[#Headers],0)),(Margin[Index]=M$2)*(Margin[Strategy]=M$5))*M34)/Client_Margin($C34),"-")</f>
        <v>0</v>
      </c>
      <c r="N35" s="15" cm="1">
        <f t="array" ref="N35">IFERROR((_xlfn._xlws.FILTER(INDEX(Margin[],0,MATCH(N$1&amp;"_"&amp;N$3,Margin[#Headers],0)),(Margin[Index]=N$2)*(Margin[Strategy]=N$5))*N34)/Client_Margin($C34),"-")</f>
        <v>0</v>
      </c>
      <c r="O35" s="15" cm="1">
        <f t="array" ref="O35">IFERROR((_xlfn._xlws.FILTER(INDEX(Margin[],0,MATCH(O$1&amp;"_"&amp;O$3,Margin[#Headers],0)),(Margin[Index]=O$2)*(Margin[Strategy]=O$5))*O34)/Client_Margin($C34),"-")</f>
        <v>0</v>
      </c>
    </row>
    <row r="36" spans="1:15" hidden="1" x14ac:dyDescent="0.25">
      <c r="A36" t="str">
        <f>_xlfn.XLOOKUP(C36,'OI QTY'!$O$5:$O$21,'OI QTY'!$N$5:$N$21,"")</f>
        <v/>
      </c>
      <c r="B36">
        <f t="shared" si="4"/>
        <v>1</v>
      </c>
      <c r="C36" s="14" t="s">
        <v>38</v>
      </c>
      <c r="D36" s="14" cm="1">
        <f t="array" ref="D36">(_xlfn._xlws.FILTER(Fund[Margin],Fund[Client Id]=C36))/10000000</f>
        <v>1.5</v>
      </c>
      <c r="E36" s="17"/>
      <c r="F36" s="14" t="str" cm="1">
        <f t="array" ref="F36">IFERROR(IF(ROUNDUP((Client_Margin($C36)*Alloted(F$3,F$2,F$5)/Get_Margin(F$3,F$2,F$5,F$1)),0)*Get_Margin(F$3,F$2,F$5,F$1)&gt;((Client_Margin($C36)*Alloted(F$3,F$2,F$5)/Get_Margin(F$3,F$2,F$5,F$1))*Get_Margin(F$3,F$2,F$5,F$1))*$D$3,ROUNDDOWN((Client_Margin($C36)*Alloted(F$3,F$2,F$5)/Get_Margin(F$3,F$2,F$5,F$1)),0),ROUNDUP((Client_Margin($C36)*Alloted(F$3,F$2,F$5)/Get_Margin(F$3,F$2,F$5,F$1)),0)),"-")</f>
        <v>-</v>
      </c>
      <c r="G36" s="14" t="str" cm="1">
        <f t="array" ref="G36">IFERROR(IF(ROUNDUP((Client_Margin($C36)*Alloted(G$3,G$2,G$5)/Get_Margin(G$3,G$2,G$5,G$1)),0)*Get_Margin(G$3,G$2,G$5,G$1)&gt;((Client_Margin($C36)*Alloted(G$3,G$2,G$5)/Get_Margin(G$3,G$2,G$5,G$1))*Get_Margin(G$3,G$2,G$5,G$1))*$D$3,ROUNDDOWN((Client_Margin($C36)*Alloted(G$3,G$2,G$5)/Get_Margin(G$3,G$2,G$5,G$1)),0),ROUNDUP((Client_Margin($C36)*Alloted(G$3,G$2,G$5)/Get_Margin(G$3,G$2,G$5,G$1)),0)),"-")</f>
        <v>-</v>
      </c>
      <c r="H36" s="14" cm="1">
        <f t="array" ref="H36">IFERROR(IF(ROUNDUP((Client_Margin($C36)*Alloted(H$3,H$2,H$5)/Get_Margin(H$3,H$2,H$5,H$1)),0)*Get_Margin(H$3,H$2,H$5,H$1)&gt;((Client_Margin($C36)*Alloted(H$3,H$2,H$5)/Get_Margin(H$3,H$2,H$5,H$1))*Get_Margin(H$3,H$2,H$5,H$1))*$D$3,ROUNDDOWN((Client_Margin($C36)*Alloted(H$3,H$2,H$5)/Get_Margin(H$3,H$2,H$5,H$1)),0),ROUNDUP((Client_Margin($C36)*Alloted(H$3,H$2,H$5)/Get_Margin(H$3,H$2,H$5,H$1)),0)),"-")</f>
        <v>2</v>
      </c>
      <c r="I36" s="41">
        <v>1</v>
      </c>
      <c r="J36" s="14" cm="1">
        <f t="array" ref="J36">IFERROR(IF(ROUNDUP((Client_Margin($C36)*Alloted(J$3,J$2,J$5)/Get_Margin(J$3,J$2,J$5,J$1)),0)*Get_Margin(J$3,J$2,J$5,J$1)&gt;((Client_Margin($C36)*Alloted(J$3,J$2,J$5)/Get_Margin(J$3,J$2,J$5,J$1))*Get_Margin(J$3,J$2,J$5,J$1))*$D$3,ROUNDDOWN((Client_Margin($C36)*Alloted(J$3,J$2,J$5)/Get_Margin(J$3,J$2,J$5,J$1)),0),ROUNDUP((Client_Margin($C36)*Alloted(J$3,J$2,J$5)/Get_Margin(J$3,J$2,J$5,J$1)),0)),"-")</f>
        <v>1</v>
      </c>
      <c r="K36" s="14" cm="1">
        <f t="array" ref="K36">IFERROR(IF(ROUNDUP((Client_Margin($C36)*Alloted(K$3,K$2,K$5)/Get_Margin(K$3,K$2,K$5,K$1)),0)*Get_Margin(K$3,K$2,K$5,K$1)&gt;((Client_Margin($C36)*Alloted(K$3,K$2,K$5)/Get_Margin(K$3,K$2,K$5,K$1))*Get_Margin(K$3,K$2,K$5,K$1))*$D$3,ROUNDDOWN((Client_Margin($C36)*Alloted(K$3,K$2,K$5)/Get_Margin(K$3,K$2,K$5,K$1)),0),ROUNDUP((Client_Margin($C36)*Alloted(K$3,K$2,K$5)/Get_Margin(K$3,K$2,K$5,K$1)),0)),"-")</f>
        <v>0</v>
      </c>
      <c r="L36" s="14" cm="1">
        <f t="array" ref="L36">IFERROR(IF(ROUNDUP((Client_Margin($C36)*Alloted(L$3,L$2,L$5)/Get_Margin(L$3,L$2,L$5,L$1)),0)*Get_Margin(L$3,L$2,L$5,L$1)&gt;((Client_Margin($C36)*Alloted(L$3,L$2,L$5)/Get_Margin(L$3,L$2,L$5,L$1))*Get_Margin(L$3,L$2,L$5,L$1))*$D$3,ROUNDDOWN((Client_Margin($C36)*Alloted(L$3,L$2,L$5)/Get_Margin(L$3,L$2,L$5,L$1)),0),ROUNDUP((Client_Margin($C36)*Alloted(L$3,L$2,L$5)/Get_Margin(L$3,L$2,L$5,L$1)),0)),"-")</f>
        <v>0</v>
      </c>
      <c r="M36" s="41">
        <v>0</v>
      </c>
      <c r="N36" s="14" cm="1">
        <f t="array" ref="N36">IFERROR(IF(ROUNDUP((Client_Margin($C36)*Alloted(N$3,N$2,N$5)/Get_Margin(N$3,N$2,N$5,N$1)),0)*Get_Margin(N$3,N$2,N$5,N$1)&gt;((Client_Margin($C36)*Alloted(N$3,N$2,N$5)/Get_Margin(N$3,N$2,N$5,N$1))*Get_Margin(N$3,N$2,N$5,N$1))*$D$3,ROUNDDOWN((Client_Margin($C36)*Alloted(N$3,N$2,N$5)/Get_Margin(N$3,N$2,N$5,N$1)),0),ROUNDUP((Client_Margin($C36)*Alloted(N$3,N$2,N$5)/Get_Margin(N$3,N$2,N$5,N$1)),0)),"-")</f>
        <v>0</v>
      </c>
      <c r="O36" s="14" cm="1">
        <f t="array" ref="O36">IFERROR(IF(ROUNDUP((Client_Margin($C36)*Alloted(O$3,O$2,O$5)/Get_Margin(O$3,O$2,O$5,O$1)),0)*Get_Margin(O$3,O$2,O$5,O$1)&gt;((Client_Margin($C36)*Alloted(O$3,O$2,O$5)/Get_Margin(O$3,O$2,O$5,O$1))*Get_Margin(O$3,O$2,O$5,O$1))*$D$3,ROUNDDOWN((Client_Margin($C36)*Alloted(O$3,O$2,O$5)/Get_Margin(O$3,O$2,O$5,O$1)),0),ROUNDUP((Client_Margin($C36)*Alloted(O$3,O$2,O$5)/Get_Margin(O$3,O$2,O$5,O$1)),0)),"-")</f>
        <v>0</v>
      </c>
    </row>
    <row r="37" spans="1:15" hidden="1" x14ac:dyDescent="0.25">
      <c r="A37">
        <f>_xlfn.XLOOKUP(C37,'OI QTY'!$O$5:$O$21,'OI QTY'!$N$5:$N$21,"")</f>
        <v>0</v>
      </c>
      <c r="B37">
        <f t="shared" si="4"/>
        <v>0</v>
      </c>
      <c r="C37" s="14"/>
      <c r="D37" s="14"/>
      <c r="E37" s="15">
        <f>SUM(F37:O37)</f>
        <v>0.32426666666666665</v>
      </c>
      <c r="F37" s="15" t="str" cm="1">
        <f t="array" ref="F37">IFERROR((_xlfn._xlws.FILTER(INDEX(Margin[],0,MATCH(F$1&amp;"_"&amp;F$3,Margin[#Headers],0)),(Margin[Index]=F$2)*(Margin[Strategy]=F$5))*F36)/Client_Margin($C36),"-")</f>
        <v>-</v>
      </c>
      <c r="G37" s="15" t="str" cm="1">
        <f t="array" ref="G37">IFERROR((_xlfn._xlws.FILTER(INDEX(Margin[],0,MATCH(G$1&amp;"_"&amp;G$3,Margin[#Headers],0)),(Margin[Index]=G$2)*(Margin[Strategy]=G$5))*G36)/Client_Margin($C36),"-")</f>
        <v>-</v>
      </c>
      <c r="H37" s="15" cm="1">
        <f t="array" ref="H37">IFERROR((_xlfn._xlws.FILTER(INDEX(Margin[],0,MATCH(H$1&amp;"_"&amp;H$3,Margin[#Headers],0)),(Margin[Index]=H$2)*(Margin[Strategy]=H$5))*H36)/Client_Margin($C36),"-")</f>
        <v>9.2799999999999994E-2</v>
      </c>
      <c r="I37" s="15" cm="1">
        <f t="array" ref="I37">IFERROR((_xlfn._xlws.FILTER(INDEX(Margin[],0,MATCH(I$1&amp;"_"&amp;I$3,Margin[#Headers],0)),(Margin[Index]=I$2)*(Margin[Strategy]=I$5))*I36)/Client_Margin($C36),"-")</f>
        <v>0.12479999999999999</v>
      </c>
      <c r="J37" s="15" cm="1">
        <f t="array" ref="J37">IFERROR((_xlfn._xlws.FILTER(INDEX(Margin[],0,MATCH(J$1&amp;"_"&amp;J$3,Margin[#Headers],0)),(Margin[Index]=J$2)*(Margin[Strategy]=J$5))*J36)/Client_Margin($C36),"-")</f>
        <v>0.10666666666666667</v>
      </c>
      <c r="K37" s="15" cm="1">
        <f t="array" ref="K37">IFERROR((_xlfn._xlws.FILTER(INDEX(Margin[],0,MATCH(K$1&amp;"_"&amp;K$3,Margin[#Headers],0)),(Margin[Index]=K$2)*(Margin[Strategy]=K$5))*K36)/Client_Margin($C36),"-")</f>
        <v>0</v>
      </c>
      <c r="L37" s="15" cm="1">
        <f t="array" ref="L37">IFERROR((_xlfn._xlws.FILTER(INDEX(Margin[],0,MATCH(L$1&amp;"_"&amp;L$3,Margin[#Headers],0)),(Margin[Index]=L$2)*(Margin[Strategy]=L$5))*L36)/Client_Margin($C36),"-")</f>
        <v>0</v>
      </c>
      <c r="M37" s="15" cm="1">
        <f t="array" ref="M37">IFERROR((_xlfn._xlws.FILTER(INDEX(Margin[],0,MATCH(M$1&amp;"_"&amp;M$3,Margin[#Headers],0)),(Margin[Index]=M$2)*(Margin[Strategy]=M$5))*M36)/Client_Margin($C36),"-")</f>
        <v>0</v>
      </c>
      <c r="N37" s="15" cm="1">
        <f t="array" ref="N37">IFERROR((_xlfn._xlws.FILTER(INDEX(Margin[],0,MATCH(N$1&amp;"_"&amp;N$3,Margin[#Headers],0)),(Margin[Index]=N$2)*(Margin[Strategy]=N$5))*N36)/Client_Margin($C36),"-")</f>
        <v>0</v>
      </c>
      <c r="O37" s="15" cm="1">
        <f t="array" ref="O37">IFERROR((_xlfn._xlws.FILTER(INDEX(Margin[],0,MATCH(O$1&amp;"_"&amp;O$3,Margin[#Headers],0)),(Margin[Index]=O$2)*(Margin[Strategy]=O$5))*O36)/Client_Margin($C36),"-")</f>
        <v>0</v>
      </c>
    </row>
    <row r="38" spans="1:15" x14ac:dyDescent="0.25">
      <c r="A38" t="str">
        <f>_xlfn.XLOOKUP(C38,'OI QTY'!$O$5:$O$21,'OI QTY'!$N$5:$N$21,"")</f>
        <v>K</v>
      </c>
      <c r="B38">
        <f t="shared" si="4"/>
        <v>1</v>
      </c>
      <c r="C38" s="14" t="s">
        <v>121</v>
      </c>
      <c r="D38" s="14" cm="1">
        <f t="array" ref="D38">(_xlfn._xlws.FILTER(Fund[Margin],Fund[Client Id]=C38))/10000000</f>
        <v>1.6</v>
      </c>
      <c r="E38" s="17"/>
      <c r="F38" s="14" t="str" cm="1">
        <f t="array" ref="F38">IFERROR(IF(ROUNDUP((Client_Margin($C38)*Alloted(F$3,F$2,F$5)/Get_Margin(F$3,F$2,F$5,F$1)),0)*Get_Margin(F$3,F$2,F$5,F$1)&gt;((Client_Margin($C38)*Alloted(F$3,F$2,F$5)/Get_Margin(F$3,F$2,F$5,F$1))*Get_Margin(F$3,F$2,F$5,F$1))*$D$3,ROUNDDOWN((Client_Margin($C38)*Alloted(F$3,F$2,F$5)/Get_Margin(F$3,F$2,F$5,F$1)),0),ROUNDUP((Client_Margin($C38)*Alloted(F$3,F$2,F$5)/Get_Margin(F$3,F$2,F$5,F$1)),0)),"-")</f>
        <v>-</v>
      </c>
      <c r="G38" s="14" t="str" cm="1">
        <f t="array" ref="G38">IFERROR(IF(ROUNDUP((Client_Margin($C38)*Alloted(G$3,G$2,G$5)/Get_Margin(G$3,G$2,G$5,G$1)),0)*Get_Margin(G$3,G$2,G$5,G$1)&gt;((Client_Margin($C38)*Alloted(G$3,G$2,G$5)/Get_Margin(G$3,G$2,G$5,G$1))*Get_Margin(G$3,G$2,G$5,G$1))*$D$3,ROUNDDOWN((Client_Margin($C38)*Alloted(G$3,G$2,G$5)/Get_Margin(G$3,G$2,G$5,G$1)),0),ROUNDUP((Client_Margin($C38)*Alloted(G$3,G$2,G$5)/Get_Margin(G$3,G$2,G$5,G$1)),0)),"-")</f>
        <v>-</v>
      </c>
      <c r="H38" s="14" cm="1">
        <f t="array" ref="H38">IFERROR(IF(ROUNDUP((Client_Margin($C38)*Alloted(H$3,H$2,H$5)/Get_Margin(H$3,H$2,H$5,H$1)),0)*Get_Margin(H$3,H$2,H$5,H$1)&gt;((Client_Margin($C38)*Alloted(H$3,H$2,H$5)/Get_Margin(H$3,H$2,H$5,H$1))*Get_Margin(H$3,H$2,H$5,H$1))*$D$3,ROUNDDOWN((Client_Margin($C38)*Alloted(H$3,H$2,H$5)/Get_Margin(H$3,H$2,H$5,H$1)),0),ROUNDUP((Client_Margin($C38)*Alloted(H$3,H$2,H$5)/Get_Margin(H$3,H$2,H$5,H$1)),0)),"-")</f>
        <v>2</v>
      </c>
      <c r="I38" s="41">
        <v>1</v>
      </c>
      <c r="J38" s="14" cm="1">
        <f t="array" ref="J38">IFERROR(IF(ROUNDUP((Client_Margin($C38)*Alloted(J$3,J$2,J$5)/Get_Margin(J$3,J$2,J$5,J$1)),0)*Get_Margin(J$3,J$2,J$5,J$1)&gt;((Client_Margin($C38)*Alloted(J$3,J$2,J$5)/Get_Margin(J$3,J$2,J$5,J$1))*Get_Margin(J$3,J$2,J$5,J$1))*$D$3,ROUNDDOWN((Client_Margin($C38)*Alloted(J$3,J$2,J$5)/Get_Margin(J$3,J$2,J$5,J$1)),0),ROUNDUP((Client_Margin($C38)*Alloted(J$3,J$2,J$5)/Get_Margin(J$3,J$2,J$5,J$1)),0)),"-")</f>
        <v>1</v>
      </c>
      <c r="K38" s="14" cm="1">
        <f t="array" ref="K38">IFERROR(IF(ROUNDUP((Client_Margin($C38)*Alloted(K$3,K$2,K$5)/Get_Margin(K$3,K$2,K$5,K$1)),0)*Get_Margin(K$3,K$2,K$5,K$1)&gt;((Client_Margin($C38)*Alloted(K$3,K$2,K$5)/Get_Margin(K$3,K$2,K$5,K$1))*Get_Margin(K$3,K$2,K$5,K$1))*$D$3,ROUNDDOWN((Client_Margin($C38)*Alloted(K$3,K$2,K$5)/Get_Margin(K$3,K$2,K$5,K$1)),0),ROUNDUP((Client_Margin($C38)*Alloted(K$3,K$2,K$5)/Get_Margin(K$3,K$2,K$5,K$1)),0)),"-")</f>
        <v>0</v>
      </c>
      <c r="L38" s="14" cm="1">
        <f t="array" ref="L38">IFERROR(IF(ROUNDUP((Client_Margin($C38)*Alloted(L$3,L$2,L$5)/Get_Margin(L$3,L$2,L$5,L$1)),0)*Get_Margin(L$3,L$2,L$5,L$1)&gt;((Client_Margin($C38)*Alloted(L$3,L$2,L$5)/Get_Margin(L$3,L$2,L$5,L$1))*Get_Margin(L$3,L$2,L$5,L$1))*$D$3,ROUNDDOWN((Client_Margin($C38)*Alloted(L$3,L$2,L$5)/Get_Margin(L$3,L$2,L$5,L$1)),0),ROUNDUP((Client_Margin($C38)*Alloted(L$3,L$2,L$5)/Get_Margin(L$3,L$2,L$5,L$1)),0)),"-")</f>
        <v>0</v>
      </c>
      <c r="M38" s="41">
        <v>0</v>
      </c>
      <c r="N38" s="14" cm="1">
        <f t="array" ref="N38">IFERROR(IF(ROUNDUP((Client_Margin($C38)*Alloted(N$3,N$2,N$5)/Get_Margin(N$3,N$2,N$5,N$1)),0)*Get_Margin(N$3,N$2,N$5,N$1)&gt;((Client_Margin($C38)*Alloted(N$3,N$2,N$5)/Get_Margin(N$3,N$2,N$5,N$1))*Get_Margin(N$3,N$2,N$5,N$1))*$D$3,ROUNDDOWN((Client_Margin($C38)*Alloted(N$3,N$2,N$5)/Get_Margin(N$3,N$2,N$5,N$1)),0),ROUNDUP((Client_Margin($C38)*Alloted(N$3,N$2,N$5)/Get_Margin(N$3,N$2,N$5,N$1)),0)),"-")</f>
        <v>0</v>
      </c>
      <c r="O38" s="14" cm="1">
        <f t="array" ref="O38">IFERROR(IF(ROUNDUP((Client_Margin($C38)*Alloted(O$3,O$2,O$5)/Get_Margin(O$3,O$2,O$5,O$1)),0)*Get_Margin(O$3,O$2,O$5,O$1)&gt;((Client_Margin($C38)*Alloted(O$3,O$2,O$5)/Get_Margin(O$3,O$2,O$5,O$1))*Get_Margin(O$3,O$2,O$5,O$1))*$D$3,ROUNDDOWN((Client_Margin($C38)*Alloted(O$3,O$2,O$5)/Get_Margin(O$3,O$2,O$5,O$1)),0),ROUNDUP((Client_Margin($C38)*Alloted(O$3,O$2,O$5)/Get_Margin(O$3,O$2,O$5,O$1)),0)),"-")</f>
        <v>0</v>
      </c>
    </row>
    <row r="39" spans="1:15" hidden="1" x14ac:dyDescent="0.25">
      <c r="A39">
        <f>_xlfn.XLOOKUP(C39,'OI QTY'!$O$5:$O$21,'OI QTY'!$N$5:$N$21,"")</f>
        <v>0</v>
      </c>
      <c r="B39">
        <f t="shared" si="4"/>
        <v>0</v>
      </c>
      <c r="C39" s="14"/>
      <c r="D39" s="14"/>
      <c r="E39" s="15">
        <f>SUM(F39:O39)</f>
        <v>0.30400000000000005</v>
      </c>
      <c r="F39" s="15" t="str" cm="1">
        <f t="array" ref="F39">IFERROR((_xlfn._xlws.FILTER(INDEX(Margin[],0,MATCH(F$1&amp;"_"&amp;F$3,Margin[#Headers],0)),(Margin[Index]=F$2)*(Margin[Strategy]=F$5))*F38)/Client_Margin($C38),"-")</f>
        <v>-</v>
      </c>
      <c r="G39" s="15" t="str" cm="1">
        <f t="array" ref="G39">IFERROR((_xlfn._xlws.FILTER(INDEX(Margin[],0,MATCH(G$1&amp;"_"&amp;G$3,Margin[#Headers],0)),(Margin[Index]=G$2)*(Margin[Strategy]=G$5))*G38)/Client_Margin($C38),"-")</f>
        <v>-</v>
      </c>
      <c r="H39" s="15" cm="1">
        <f t="array" ref="H39">IFERROR((_xlfn._xlws.FILTER(INDEX(Margin[],0,MATCH(H$1&amp;"_"&amp;H$3,Margin[#Headers],0)),(Margin[Index]=H$2)*(Margin[Strategy]=H$5))*H38)/Client_Margin($C38),"-")</f>
        <v>8.6999999999999994E-2</v>
      </c>
      <c r="I39" s="15" cm="1">
        <f t="array" ref="I39">IFERROR((_xlfn._xlws.FILTER(INDEX(Margin[],0,MATCH(I$1&amp;"_"&amp;I$3,Margin[#Headers],0)),(Margin[Index]=I$2)*(Margin[Strategy]=I$5))*I38)/Client_Margin($C38),"-")</f>
        <v>0.11700000000000001</v>
      </c>
      <c r="J39" s="15" cm="1">
        <f t="array" ref="J39">IFERROR((_xlfn._xlws.FILTER(INDEX(Margin[],0,MATCH(J$1&amp;"_"&amp;J$3,Margin[#Headers],0)),(Margin[Index]=J$2)*(Margin[Strategy]=J$5))*J38)/Client_Margin($C38),"-")</f>
        <v>0.1</v>
      </c>
      <c r="K39" s="15" cm="1">
        <f t="array" ref="K39">IFERROR((_xlfn._xlws.FILTER(INDEX(Margin[],0,MATCH(K$1&amp;"_"&amp;K$3,Margin[#Headers],0)),(Margin[Index]=K$2)*(Margin[Strategy]=K$5))*K38)/Client_Margin($C38),"-")</f>
        <v>0</v>
      </c>
      <c r="L39" s="15" cm="1">
        <f t="array" ref="L39">IFERROR((_xlfn._xlws.FILTER(INDEX(Margin[],0,MATCH(L$1&amp;"_"&amp;L$3,Margin[#Headers],0)),(Margin[Index]=L$2)*(Margin[Strategy]=L$5))*L38)/Client_Margin($C38),"-")</f>
        <v>0</v>
      </c>
      <c r="M39" s="15" cm="1">
        <f t="array" ref="M39">IFERROR((_xlfn._xlws.FILTER(INDEX(Margin[],0,MATCH(M$1&amp;"_"&amp;M$3,Margin[#Headers],0)),(Margin[Index]=M$2)*(Margin[Strategy]=M$5))*M38)/Client_Margin($C38),"-")</f>
        <v>0</v>
      </c>
      <c r="N39" s="15" cm="1">
        <f t="array" ref="N39">IFERROR((_xlfn._xlws.FILTER(INDEX(Margin[],0,MATCH(N$1&amp;"_"&amp;N$3,Margin[#Headers],0)),(Margin[Index]=N$2)*(Margin[Strategy]=N$5))*N38)/Client_Margin($C38),"-")</f>
        <v>0</v>
      </c>
      <c r="O39" s="15" cm="1">
        <f t="array" ref="O39">IFERROR((_xlfn._xlws.FILTER(INDEX(Margin[],0,MATCH(O$1&amp;"_"&amp;O$3,Margin[#Headers],0)),(Margin[Index]=O$2)*(Margin[Strategy]=O$5))*O38)/Client_Margin($C38),"-")</f>
        <v>0</v>
      </c>
    </row>
    <row r="40" spans="1:15" hidden="1" x14ac:dyDescent="0.25">
      <c r="A40" t="str">
        <f>_xlfn.XLOOKUP(C40,'OI QTY'!$O$5:$O$21,'OI QTY'!$N$5:$N$21,"")</f>
        <v/>
      </c>
      <c r="B40">
        <v>1</v>
      </c>
      <c r="C40" s="14" t="s">
        <v>115</v>
      </c>
      <c r="D40" s="14" cm="1">
        <f t="array" ref="D40">(_xlfn._xlws.FILTER(Fund[Margin],Fund[Client Id]=C40))/10000000</f>
        <v>1.45</v>
      </c>
      <c r="E40" s="17"/>
      <c r="F40" s="14" t="str" cm="1">
        <f t="array" ref="F40">IFERROR(IF(ROUNDUP((Client_Margin($C40)*Alloted(F$3,F$2,F$5)/Get_Margin(F$3,F$2,F$5,F$1)),0)*Get_Margin(F$3,F$2,F$5,F$1)&gt;((Client_Margin($C40)*Alloted(F$3,F$2,F$5)/Get_Margin(F$3,F$2,F$5,F$1))*Get_Margin(F$3,F$2,F$5,F$1))*$D$3,ROUNDDOWN((Client_Margin($C40)*Alloted(F$3,F$2,F$5)/Get_Margin(F$3,F$2,F$5,F$1)),0),ROUNDUP((Client_Margin($C40)*Alloted(F$3,F$2,F$5)/Get_Margin(F$3,F$2,F$5,F$1)),0)),"-")</f>
        <v>-</v>
      </c>
      <c r="G40" s="14" t="str" cm="1">
        <f t="array" ref="G40">IFERROR(IF(ROUNDUP((Client_Margin($C40)*Alloted(G$3,G$2,G$5)/Get_Margin(G$3,G$2,G$5,G$1)),0)*Get_Margin(G$3,G$2,G$5,G$1)&gt;((Client_Margin($C40)*Alloted(G$3,G$2,G$5)/Get_Margin(G$3,G$2,G$5,G$1))*Get_Margin(G$3,G$2,G$5,G$1))*$D$3,ROUNDDOWN((Client_Margin($C40)*Alloted(G$3,G$2,G$5)/Get_Margin(G$3,G$2,G$5,G$1)),0),ROUNDUP((Client_Margin($C40)*Alloted(G$3,G$2,G$5)/Get_Margin(G$3,G$2,G$5,G$1)),0)),"-")</f>
        <v>-</v>
      </c>
      <c r="H40" s="14" cm="1">
        <f t="array" ref="H40">IFERROR(IF(ROUNDUP((Client_Margin($C40)*Alloted(H$3,H$2,H$5)/Get_Margin(H$3,H$2,H$5,H$1)),0)*Get_Margin(H$3,H$2,H$5,H$1)&gt;((Client_Margin($C40)*Alloted(H$3,H$2,H$5)/Get_Margin(H$3,H$2,H$5,H$1))*Get_Margin(H$3,H$2,H$5,H$1))*$D$3,ROUNDDOWN((Client_Margin($C40)*Alloted(H$3,H$2,H$5)/Get_Margin(H$3,H$2,H$5,H$1)),0),ROUNDUP((Client_Margin($C40)*Alloted(H$3,H$2,H$5)/Get_Margin(H$3,H$2,H$5,H$1)),0)),"-")</f>
        <v>2</v>
      </c>
      <c r="I40" s="41">
        <v>1</v>
      </c>
      <c r="J40" s="14" cm="1">
        <f t="array" ref="J40">IFERROR(IF(ROUNDUP((Client_Margin($C40)*Alloted(J$3,J$2,J$5)/Get_Margin(J$3,J$2,J$5,J$1)),0)*Get_Margin(J$3,J$2,J$5,J$1)&gt;((Client_Margin($C40)*Alloted(J$3,J$2,J$5)/Get_Margin(J$3,J$2,J$5,J$1))*Get_Margin(J$3,J$2,J$5,J$1))*$D$3,ROUNDDOWN((Client_Margin($C40)*Alloted(J$3,J$2,J$5)/Get_Margin(J$3,J$2,J$5,J$1)),0),ROUNDUP((Client_Margin($C40)*Alloted(J$3,J$2,J$5)/Get_Margin(J$3,J$2,J$5,J$1)),0)),"-")</f>
        <v>1</v>
      </c>
      <c r="K40" s="14" cm="1">
        <f t="array" ref="K40">IFERROR(IF(ROUNDUP((Client_Margin($C40)*Alloted(K$3,K$2,K$5)/Get_Margin(K$3,K$2,K$5,K$1)),0)*Get_Margin(K$3,K$2,K$5,K$1)&gt;((Client_Margin($C40)*Alloted(K$3,K$2,K$5)/Get_Margin(K$3,K$2,K$5,K$1))*Get_Margin(K$3,K$2,K$5,K$1))*$D$3,ROUNDDOWN((Client_Margin($C40)*Alloted(K$3,K$2,K$5)/Get_Margin(K$3,K$2,K$5,K$1)),0),ROUNDUP((Client_Margin($C40)*Alloted(K$3,K$2,K$5)/Get_Margin(K$3,K$2,K$5,K$1)),0)),"-")</f>
        <v>0</v>
      </c>
      <c r="L40" s="14" cm="1">
        <f t="array" ref="L40">IFERROR(IF(ROUNDUP((Client_Margin($C40)*Alloted(L$3,L$2,L$5)/Get_Margin(L$3,L$2,L$5,L$1)),0)*Get_Margin(L$3,L$2,L$5,L$1)&gt;((Client_Margin($C40)*Alloted(L$3,L$2,L$5)/Get_Margin(L$3,L$2,L$5,L$1))*Get_Margin(L$3,L$2,L$5,L$1))*$D$3,ROUNDDOWN((Client_Margin($C40)*Alloted(L$3,L$2,L$5)/Get_Margin(L$3,L$2,L$5,L$1)),0),ROUNDUP((Client_Margin($C40)*Alloted(L$3,L$2,L$5)/Get_Margin(L$3,L$2,L$5,L$1)),0)),"-")</f>
        <v>0</v>
      </c>
      <c r="M40" s="41">
        <v>0</v>
      </c>
      <c r="N40" s="14" cm="1">
        <f t="array" ref="N40">IFERROR(IF(ROUNDUP((Client_Margin($C40)*Alloted(N$3,N$2,N$5)/Get_Margin(N$3,N$2,N$5,N$1)),0)*Get_Margin(N$3,N$2,N$5,N$1)&gt;((Client_Margin($C40)*Alloted(N$3,N$2,N$5)/Get_Margin(N$3,N$2,N$5,N$1))*Get_Margin(N$3,N$2,N$5,N$1))*$D$3,ROUNDDOWN((Client_Margin($C40)*Alloted(N$3,N$2,N$5)/Get_Margin(N$3,N$2,N$5,N$1)),0),ROUNDUP((Client_Margin($C40)*Alloted(N$3,N$2,N$5)/Get_Margin(N$3,N$2,N$5,N$1)),0)),"-")</f>
        <v>0</v>
      </c>
      <c r="O40" s="14" cm="1">
        <f t="array" ref="O40">IFERROR(IF(ROUNDUP((Client_Margin($C40)*Alloted(O$3,O$2,O$5)/Get_Margin(O$3,O$2,O$5,O$1)),0)*Get_Margin(O$3,O$2,O$5,O$1)&gt;((Client_Margin($C40)*Alloted(O$3,O$2,O$5)/Get_Margin(O$3,O$2,O$5,O$1))*Get_Margin(O$3,O$2,O$5,O$1))*$D$3,ROUNDDOWN((Client_Margin($C40)*Alloted(O$3,O$2,O$5)/Get_Margin(O$3,O$2,O$5,O$1)),0),ROUNDUP((Client_Margin($C40)*Alloted(O$3,O$2,O$5)/Get_Margin(O$3,O$2,O$5,O$1)),0)),"-")</f>
        <v>0</v>
      </c>
    </row>
    <row r="41" spans="1:15" hidden="1" x14ac:dyDescent="0.25">
      <c r="A41">
        <f>_xlfn.XLOOKUP(C41,'OI QTY'!$O$5:$O$21,'OI QTY'!$N$5:$N$21,"")</f>
        <v>0</v>
      </c>
      <c r="B41">
        <v>0</v>
      </c>
      <c r="C41" s="14"/>
      <c r="D41" s="14"/>
      <c r="E41" s="15">
        <f>SUM(F41:O41)</f>
        <v>0.33544827586206893</v>
      </c>
      <c r="F41" s="15" t="str" cm="1">
        <f t="array" ref="F41">IFERROR((_xlfn._xlws.FILTER(INDEX(Margin[],0,MATCH(F$1&amp;"_"&amp;F$3,Margin[#Headers],0)),(Margin[Index]=F$2)*(Margin[Strategy]=F$5))*F40)/Client_Margin($C40),"-")</f>
        <v>-</v>
      </c>
      <c r="G41" s="15" t="str" cm="1">
        <f t="array" ref="G41">IFERROR((_xlfn._xlws.FILTER(INDEX(Margin[],0,MATCH(G$1&amp;"_"&amp;G$3,Margin[#Headers],0)),(Margin[Index]=G$2)*(Margin[Strategy]=G$5))*G40)/Client_Margin($C40),"-")</f>
        <v>-</v>
      </c>
      <c r="H41" s="15" cm="1">
        <f t="array" ref="H41">IFERROR((_xlfn._xlws.FILTER(INDEX(Margin[],0,MATCH(H$1&amp;"_"&amp;H$3,Margin[#Headers],0)),(Margin[Index]=H$2)*(Margin[Strategy]=H$5))*H40)/Client_Margin($C40),"-")</f>
        <v>9.6000000000000002E-2</v>
      </c>
      <c r="I41" s="15" cm="1">
        <f t="array" ref="I41">IFERROR((_xlfn._xlws.FILTER(INDEX(Margin[],0,MATCH(I$1&amp;"_"&amp;I$3,Margin[#Headers],0)),(Margin[Index]=I$2)*(Margin[Strategy]=I$5))*I40)/Client_Margin($C40),"-")</f>
        <v>0.12910344827586206</v>
      </c>
      <c r="J41" s="15" cm="1">
        <f t="array" ref="J41">IFERROR((_xlfn._xlws.FILTER(INDEX(Margin[],0,MATCH(J$1&amp;"_"&amp;J$3,Margin[#Headers],0)),(Margin[Index]=J$2)*(Margin[Strategy]=J$5))*J40)/Client_Margin($C40),"-")</f>
        <v>0.1103448275862069</v>
      </c>
      <c r="K41" s="15" cm="1">
        <f t="array" ref="K41">IFERROR((_xlfn._xlws.FILTER(INDEX(Margin[],0,MATCH(K$1&amp;"_"&amp;K$3,Margin[#Headers],0)),(Margin[Index]=K$2)*(Margin[Strategy]=K$5))*K40)/Client_Margin($C40),"-")</f>
        <v>0</v>
      </c>
      <c r="L41" s="15" cm="1">
        <f t="array" ref="L41">IFERROR((_xlfn._xlws.FILTER(INDEX(Margin[],0,MATCH(L$1&amp;"_"&amp;L$3,Margin[#Headers],0)),(Margin[Index]=L$2)*(Margin[Strategy]=L$5))*L40)/Client_Margin($C40),"-")</f>
        <v>0</v>
      </c>
      <c r="M41" s="15" cm="1">
        <f t="array" ref="M41">IFERROR((_xlfn._xlws.FILTER(INDEX(Margin[],0,MATCH(M$1&amp;"_"&amp;M$3,Margin[#Headers],0)),(Margin[Index]=M$2)*(Margin[Strategy]=M$5))*M40)/Client_Margin($C40),"-")</f>
        <v>0</v>
      </c>
      <c r="N41" s="15" cm="1">
        <f t="array" ref="N41">IFERROR((_xlfn._xlws.FILTER(INDEX(Margin[],0,MATCH(N$1&amp;"_"&amp;N$3,Margin[#Headers],0)),(Margin[Index]=N$2)*(Margin[Strategy]=N$5))*N40)/Client_Margin($C40),"-")</f>
        <v>0</v>
      </c>
      <c r="O41" s="15" cm="1">
        <f t="array" ref="O41">IFERROR((_xlfn._xlws.FILTER(INDEX(Margin[],0,MATCH(O$1&amp;"_"&amp;O$3,Margin[#Headers],0)),(Margin[Index]=O$2)*(Margin[Strategy]=O$5))*O40)/Client_Margin($C40),"-")</f>
        <v>0</v>
      </c>
    </row>
    <row r="42" spans="1:15" hidden="1" x14ac:dyDescent="0.25">
      <c r="A42" t="str">
        <f>_xlfn.XLOOKUP(C42,'OI QTY'!$O$5:$O$21,'OI QTY'!$N$5:$N$21,"")</f>
        <v/>
      </c>
      <c r="B42">
        <f t="shared" si="4"/>
        <v>1</v>
      </c>
      <c r="C42" s="14" t="s">
        <v>40</v>
      </c>
      <c r="D42" s="14" cm="1">
        <f t="array" ref="D42">(_xlfn._xlws.FILTER(Fund[Margin],Fund[Client Id]=C42))/10000000</f>
        <v>1.3</v>
      </c>
      <c r="E42" s="17"/>
      <c r="F42" s="14" t="str" cm="1">
        <f t="array" ref="F42">IFERROR(IF(ROUNDUP((Client_Margin($C42)*Alloted(F$3,F$2,F$5)/Get_Margin(F$3,F$2,F$5,F$1)),0)*Get_Margin(F$3,F$2,F$5,F$1)&gt;((Client_Margin($C42)*Alloted(F$3,F$2,F$5)/Get_Margin(F$3,F$2,F$5,F$1))*Get_Margin(F$3,F$2,F$5,F$1))*$D$3,ROUNDDOWN((Client_Margin($C42)*Alloted(F$3,F$2,F$5)/Get_Margin(F$3,F$2,F$5,F$1)),0),ROUNDUP((Client_Margin($C42)*Alloted(F$3,F$2,F$5)/Get_Margin(F$3,F$2,F$5,F$1)),0)),"-")</f>
        <v>-</v>
      </c>
      <c r="G42" s="14" t="str" cm="1">
        <f t="array" ref="G42">IFERROR(IF(ROUNDUP((Client_Margin($C42)*Alloted(G$3,G$2,G$5)/Get_Margin(G$3,G$2,G$5,G$1)),0)*Get_Margin(G$3,G$2,G$5,G$1)&gt;((Client_Margin($C42)*Alloted(G$3,G$2,G$5)/Get_Margin(G$3,G$2,G$5,G$1))*Get_Margin(G$3,G$2,G$5,G$1))*$D$3,ROUNDDOWN((Client_Margin($C42)*Alloted(G$3,G$2,G$5)/Get_Margin(G$3,G$2,G$5,G$1)),0),ROUNDUP((Client_Margin($C42)*Alloted(G$3,G$2,G$5)/Get_Margin(G$3,G$2,G$5,G$1)),0)),"-")</f>
        <v>-</v>
      </c>
      <c r="H42" s="14" cm="1">
        <f t="array" ref="H42">IFERROR(IF(ROUNDUP((Client_Margin($C42)*Alloted(H$3,H$2,H$5)/Get_Margin(H$3,H$2,H$5,H$1)),0)*Get_Margin(H$3,H$2,H$5,H$1)&gt;((Client_Margin($C42)*Alloted(H$3,H$2,H$5)/Get_Margin(H$3,H$2,H$5,H$1))*Get_Margin(H$3,H$2,H$5,H$1))*$D$3,ROUNDDOWN((Client_Margin($C42)*Alloted(H$3,H$2,H$5)/Get_Margin(H$3,H$2,H$5,H$1)),0),ROUNDUP((Client_Margin($C42)*Alloted(H$3,H$2,H$5)/Get_Margin(H$3,H$2,H$5,H$1)),0)),"-")</f>
        <v>2</v>
      </c>
      <c r="I42" s="41">
        <v>1</v>
      </c>
      <c r="J42" s="41">
        <v>1</v>
      </c>
      <c r="K42" s="14" cm="1">
        <f t="array" ref="K42">IFERROR(IF(ROUNDUP((Client_Margin($C42)*Alloted(K$3,K$2,K$5)/Get_Margin(K$3,K$2,K$5,K$1)),0)*Get_Margin(K$3,K$2,K$5,K$1)&gt;((Client_Margin($C42)*Alloted(K$3,K$2,K$5)/Get_Margin(K$3,K$2,K$5,K$1))*Get_Margin(K$3,K$2,K$5,K$1))*$D$3,ROUNDDOWN((Client_Margin($C42)*Alloted(K$3,K$2,K$5)/Get_Margin(K$3,K$2,K$5,K$1)),0),ROUNDUP((Client_Margin($C42)*Alloted(K$3,K$2,K$5)/Get_Margin(K$3,K$2,K$5,K$1)),0)),"-")</f>
        <v>0</v>
      </c>
      <c r="L42" s="14" cm="1">
        <f t="array" ref="L42">IFERROR(IF(ROUNDUP((Client_Margin($C42)*Alloted(L$3,L$2,L$5)/Get_Margin(L$3,L$2,L$5,L$1)),0)*Get_Margin(L$3,L$2,L$5,L$1)&gt;((Client_Margin($C42)*Alloted(L$3,L$2,L$5)/Get_Margin(L$3,L$2,L$5,L$1))*Get_Margin(L$3,L$2,L$5,L$1))*$D$3,ROUNDDOWN((Client_Margin($C42)*Alloted(L$3,L$2,L$5)/Get_Margin(L$3,L$2,L$5,L$1)),0),ROUNDUP((Client_Margin($C42)*Alloted(L$3,L$2,L$5)/Get_Margin(L$3,L$2,L$5,L$1)),0)),"-")</f>
        <v>0</v>
      </c>
      <c r="M42" s="41">
        <v>0</v>
      </c>
      <c r="N42" s="14" cm="1">
        <f t="array" ref="N42">IFERROR(IF(ROUNDUP((Client_Margin($C42)*Alloted(N$3,N$2,N$5)/Get_Margin(N$3,N$2,N$5,N$1)),0)*Get_Margin(N$3,N$2,N$5,N$1)&gt;((Client_Margin($C42)*Alloted(N$3,N$2,N$5)/Get_Margin(N$3,N$2,N$5,N$1))*Get_Margin(N$3,N$2,N$5,N$1))*$D$3,ROUNDDOWN((Client_Margin($C42)*Alloted(N$3,N$2,N$5)/Get_Margin(N$3,N$2,N$5,N$1)),0),ROUNDUP((Client_Margin($C42)*Alloted(N$3,N$2,N$5)/Get_Margin(N$3,N$2,N$5,N$1)),0)),"-")</f>
        <v>0</v>
      </c>
      <c r="O42" s="14" cm="1">
        <f t="array" ref="O42">IFERROR(IF(ROUNDUP((Client_Margin($C42)*Alloted(O$3,O$2,O$5)/Get_Margin(O$3,O$2,O$5,O$1)),0)*Get_Margin(O$3,O$2,O$5,O$1)&gt;((Client_Margin($C42)*Alloted(O$3,O$2,O$5)/Get_Margin(O$3,O$2,O$5,O$1))*Get_Margin(O$3,O$2,O$5,O$1))*$D$3,ROUNDDOWN((Client_Margin($C42)*Alloted(O$3,O$2,O$5)/Get_Margin(O$3,O$2,O$5,O$1)),0),ROUNDUP((Client_Margin($C42)*Alloted(O$3,O$2,O$5)/Get_Margin(O$3,O$2,O$5,O$1)),0)),"-")</f>
        <v>0</v>
      </c>
    </row>
    <row r="43" spans="1:15" hidden="1" x14ac:dyDescent="0.25">
      <c r="A43">
        <f>_xlfn.XLOOKUP(C43,'OI QTY'!$O$5:$O$21,'OI QTY'!$N$5:$N$21,"")</f>
        <v>0</v>
      </c>
      <c r="B43">
        <f t="shared" si="4"/>
        <v>0</v>
      </c>
      <c r="C43" s="14"/>
      <c r="D43" s="14"/>
      <c r="E43" s="15">
        <f>SUM(F43:O43)</f>
        <v>0.37415384615384617</v>
      </c>
      <c r="F43" s="15" t="str" cm="1">
        <f t="array" ref="F43">IFERROR((_xlfn._xlws.FILTER(INDEX(Margin[],0,MATCH(F$1&amp;"_"&amp;F$3,Margin[#Headers],0)),(Margin[Index]=F$2)*(Margin[Strategy]=F$5))*F42)/Client_Margin($C42),"-")</f>
        <v>-</v>
      </c>
      <c r="G43" s="15" t="str" cm="1">
        <f t="array" ref="G43">IFERROR((_xlfn._xlws.FILTER(INDEX(Margin[],0,MATCH(G$1&amp;"_"&amp;G$3,Margin[#Headers],0)),(Margin[Index]=G$2)*(Margin[Strategy]=G$5))*G42)/Client_Margin($C42),"-")</f>
        <v>-</v>
      </c>
      <c r="H43" s="15" cm="1">
        <f t="array" ref="H43">IFERROR((_xlfn._xlws.FILTER(INDEX(Margin[],0,MATCH(H$1&amp;"_"&amp;H$3,Margin[#Headers],0)),(Margin[Index]=H$2)*(Margin[Strategy]=H$5))*H42)/Client_Margin($C42),"-")</f>
        <v>0.10707692307692308</v>
      </c>
      <c r="I43" s="15" cm="1">
        <f t="array" ref="I43">IFERROR((_xlfn._xlws.FILTER(INDEX(Margin[],0,MATCH(I$1&amp;"_"&amp;I$3,Margin[#Headers],0)),(Margin[Index]=I$2)*(Margin[Strategy]=I$5))*I42)/Client_Margin($C42),"-")</f>
        <v>0.14399999999999999</v>
      </c>
      <c r="J43" s="15" cm="1">
        <f t="array" ref="J43">IFERROR((_xlfn._xlws.FILTER(INDEX(Margin[],0,MATCH(J$1&amp;"_"&amp;J$3,Margin[#Headers],0)),(Margin[Index]=J$2)*(Margin[Strategy]=J$5))*J42)/Client_Margin($C42),"-")</f>
        <v>0.12307692307692308</v>
      </c>
      <c r="K43" s="15" cm="1">
        <f t="array" ref="K43">IFERROR((_xlfn._xlws.FILTER(INDEX(Margin[],0,MATCH(K$1&amp;"_"&amp;K$3,Margin[#Headers],0)),(Margin[Index]=K$2)*(Margin[Strategy]=K$5))*K42)/Client_Margin($C42),"-")</f>
        <v>0</v>
      </c>
      <c r="L43" s="15" cm="1">
        <f t="array" ref="L43">IFERROR((_xlfn._xlws.FILTER(INDEX(Margin[],0,MATCH(L$1&amp;"_"&amp;L$3,Margin[#Headers],0)),(Margin[Index]=L$2)*(Margin[Strategy]=L$5))*L42)/Client_Margin($C42),"-")</f>
        <v>0</v>
      </c>
      <c r="M43" s="15" cm="1">
        <f t="array" ref="M43">IFERROR((_xlfn._xlws.FILTER(INDEX(Margin[],0,MATCH(M$1&amp;"_"&amp;M$3,Margin[#Headers],0)),(Margin[Index]=M$2)*(Margin[Strategy]=M$5))*M42)/Client_Margin($C42),"-")</f>
        <v>0</v>
      </c>
      <c r="N43" s="15" cm="1">
        <f t="array" ref="N43">IFERROR((_xlfn._xlws.FILTER(INDEX(Margin[],0,MATCH(N$1&amp;"_"&amp;N$3,Margin[#Headers],0)),(Margin[Index]=N$2)*(Margin[Strategy]=N$5))*N42)/Client_Margin($C42),"-")</f>
        <v>0</v>
      </c>
      <c r="O43" s="15" cm="1">
        <f t="array" ref="O43">IFERROR((_xlfn._xlws.FILTER(INDEX(Margin[],0,MATCH(O$1&amp;"_"&amp;O$3,Margin[#Headers],0)),(Margin[Index]=O$2)*(Margin[Strategy]=O$5))*O42)/Client_Margin($C42),"-")</f>
        <v>0</v>
      </c>
    </row>
  </sheetData>
  <autoFilter ref="A5:O43" xr:uid="{1DD8546E-8EC4-4203-8C4F-856A90DBF75E}">
    <filterColumn colId="0">
      <filters>
        <filter val="K"/>
        <filter val="M"/>
      </filters>
    </filterColumn>
  </autoFilter>
  <conditionalFormatting sqref="E7:O7">
    <cfRule type="expression" dxfId="43" priority="16">
      <formula>E7&gt;E$4</formula>
    </cfRule>
  </conditionalFormatting>
  <conditionalFormatting sqref="E9:O9">
    <cfRule type="expression" dxfId="42" priority="15">
      <formula>E9&gt;E$4</formula>
    </cfRule>
  </conditionalFormatting>
  <conditionalFormatting sqref="E11:O11">
    <cfRule type="expression" dxfId="41" priority="14">
      <formula>E11&gt;E$4</formula>
    </cfRule>
  </conditionalFormatting>
  <conditionalFormatting sqref="E13:O13 E15:O15">
    <cfRule type="expression" dxfId="40" priority="13">
      <formula>E13&gt;E$4</formula>
    </cfRule>
  </conditionalFormatting>
  <conditionalFormatting sqref="E17:O17">
    <cfRule type="expression" dxfId="39" priority="12">
      <formula>E17&gt;E$4</formula>
    </cfRule>
  </conditionalFormatting>
  <conditionalFormatting sqref="E19:O19 E21:O21">
    <cfRule type="expression" dxfId="38" priority="11">
      <formula>E19&gt;E$4</formula>
    </cfRule>
  </conditionalFormatting>
  <conditionalFormatting sqref="E23:O23 E25:O25">
    <cfRule type="expression" dxfId="37" priority="10">
      <formula>E23&gt;E$4</formula>
    </cfRule>
  </conditionalFormatting>
  <conditionalFormatting sqref="E27:O27">
    <cfRule type="expression" dxfId="36" priority="8">
      <formula>E27&gt;E$4</formula>
    </cfRule>
  </conditionalFormatting>
  <conditionalFormatting sqref="E29:O29">
    <cfRule type="expression" dxfId="35" priority="7">
      <formula>E29&gt;E$4</formula>
    </cfRule>
  </conditionalFormatting>
  <conditionalFormatting sqref="E31:O31">
    <cfRule type="expression" dxfId="34" priority="6">
      <formula>E31&gt;E$4</formula>
    </cfRule>
  </conditionalFormatting>
  <conditionalFormatting sqref="E33:O33">
    <cfRule type="expression" dxfId="33" priority="4">
      <formula>E33&gt;E$4</formula>
    </cfRule>
  </conditionalFormatting>
  <conditionalFormatting sqref="E35:O35">
    <cfRule type="expression" dxfId="32" priority="3">
      <formula>E35&gt;E$4</formula>
    </cfRule>
  </conditionalFormatting>
  <conditionalFormatting sqref="E37:O37 E39:O39 E41:O41">
    <cfRule type="expression" dxfId="31" priority="2">
      <formula>E37&gt;E$4</formula>
    </cfRule>
  </conditionalFormatting>
  <conditionalFormatting sqref="E43:O43">
    <cfRule type="expression" dxfId="30" priority="1">
      <formula>E43&gt;E$4</formula>
    </cfRule>
  </conditionalFormatting>
  <dataValidations disablePrompts="1" count="2">
    <dataValidation type="list" allowBlank="1" showInputMessage="1" showErrorMessage="1" sqref="F3:O3" xr:uid="{7D311FE2-DE9F-442C-94FB-4F3BBA1C8672}">
      <formula1>"W.O.H,W.H"</formula1>
    </dataValidation>
    <dataValidation type="list" allowBlank="1" showInputMessage="1" showErrorMessage="1" sqref="F1:O1" xr:uid="{1CCAE57C-83BA-4F42-85A1-C25E8E670A96}">
      <formula1>"Expiry,N.Expiry"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04D1-78FC-4726-95C3-1EFEC021F94F}">
  <sheetPr codeName="Sheet5" filterMode="1"/>
  <dimension ref="A1:W43"/>
  <sheetViews>
    <sheetView zoomScale="90" zoomScaleNormal="90" workbookViewId="0">
      <selection activeCell="K5" sqref="K5"/>
    </sheetView>
  </sheetViews>
  <sheetFormatPr defaultRowHeight="15" x14ac:dyDescent="0.25"/>
  <cols>
    <col min="1" max="1" width="5.140625" customWidth="1"/>
    <col min="2" max="2" width="3.42578125" customWidth="1"/>
    <col min="3" max="3" width="13.5703125" style="4" bestFit="1" customWidth="1"/>
    <col min="4" max="4" width="10" style="4" bestFit="1" customWidth="1"/>
    <col min="5" max="5" width="8.7109375" bestFit="1" customWidth="1"/>
    <col min="6" max="6" width="8.140625" bestFit="1" customWidth="1"/>
    <col min="7" max="7" width="7.5703125" bestFit="1" customWidth="1"/>
    <col min="8" max="10" width="16.85546875" bestFit="1" customWidth="1"/>
    <col min="11" max="11" width="11.42578125" bestFit="1" customWidth="1"/>
    <col min="12" max="12" width="8" bestFit="1" customWidth="1"/>
    <col min="13" max="13" width="13" bestFit="1" customWidth="1"/>
    <col min="14" max="14" width="12.85546875" bestFit="1" customWidth="1"/>
    <col min="15" max="15" width="13.7109375" bestFit="1" customWidth="1"/>
    <col min="16" max="16" width="15.28515625" bestFit="1" customWidth="1"/>
    <col min="17" max="17" width="15.140625" bestFit="1" customWidth="1"/>
    <col min="19" max="19" width="15.28515625" bestFit="1" customWidth="1"/>
  </cols>
  <sheetData>
    <row r="1" spans="1:23" x14ac:dyDescent="0.25">
      <c r="F1" s="4" t="s">
        <v>104</v>
      </c>
      <c r="G1" s="4" t="s">
        <v>104</v>
      </c>
      <c r="H1" s="4" t="s">
        <v>105</v>
      </c>
      <c r="I1" s="4" t="s">
        <v>105</v>
      </c>
      <c r="J1" s="4" t="s">
        <v>105</v>
      </c>
      <c r="K1" s="4" t="s">
        <v>104</v>
      </c>
      <c r="L1" s="4" t="s">
        <v>104</v>
      </c>
      <c r="M1" s="4" t="s">
        <v>105</v>
      </c>
      <c r="N1" s="4" t="s">
        <v>105</v>
      </c>
      <c r="O1" s="4" t="s">
        <v>105</v>
      </c>
      <c r="P1" s="4" t="s">
        <v>105</v>
      </c>
      <c r="Q1" s="4" t="s">
        <v>105</v>
      </c>
    </row>
    <row r="2" spans="1:23" x14ac:dyDescent="0.25">
      <c r="C2"/>
      <c r="D2"/>
      <c r="F2" s="4" t="s">
        <v>14</v>
      </c>
      <c r="G2" s="4" t="s">
        <v>15</v>
      </c>
      <c r="H2" s="4" t="s">
        <v>15</v>
      </c>
      <c r="I2" s="4" t="s">
        <v>81</v>
      </c>
      <c r="J2" s="4" t="s">
        <v>14</v>
      </c>
      <c r="K2" s="4" t="s">
        <v>15</v>
      </c>
      <c r="L2" s="4" t="s">
        <v>15</v>
      </c>
      <c r="M2" s="4" t="s">
        <v>14</v>
      </c>
      <c r="N2" s="4" t="s">
        <v>14</v>
      </c>
      <c r="O2" s="4" t="s">
        <v>14</v>
      </c>
      <c r="P2" s="4" t="s">
        <v>14</v>
      </c>
      <c r="Q2" s="4" t="s">
        <v>14</v>
      </c>
    </row>
    <row r="3" spans="1:23" x14ac:dyDescent="0.25">
      <c r="C3"/>
      <c r="D3">
        <v>1.1499999999999999</v>
      </c>
      <c r="F3" s="4" t="s">
        <v>103</v>
      </c>
      <c r="G3" s="4" t="s">
        <v>103</v>
      </c>
      <c r="H3" s="4" t="s">
        <v>103</v>
      </c>
      <c r="I3" s="4" t="s">
        <v>102</v>
      </c>
      <c r="J3" s="4" t="s">
        <v>103</v>
      </c>
      <c r="K3" s="4" t="s">
        <v>103</v>
      </c>
      <c r="L3" s="4" t="s">
        <v>103</v>
      </c>
      <c r="M3" s="4" t="s">
        <v>103</v>
      </c>
      <c r="N3" s="4" t="s">
        <v>103</v>
      </c>
      <c r="O3" s="4" t="s">
        <v>103</v>
      </c>
      <c r="P3" s="4" t="s">
        <v>102</v>
      </c>
      <c r="Q3" s="4" t="s">
        <v>102</v>
      </c>
      <c r="V3" s="4"/>
      <c r="W3" s="4"/>
    </row>
    <row r="4" spans="1:23" x14ac:dyDescent="0.25">
      <c r="E4" s="37">
        <f>SUM(F4:Q4)</f>
        <v>0.8</v>
      </c>
      <c r="F4" s="38" cm="1">
        <f t="array" ref="F4">IF('Thu (SNX)'!F3="W.H",_xlfn._xlws.FILTER(Margin[Strategy allotment % with hedge],(Margin[Strategy]='Thu (SNX)'!F$5)*(Margin[Index]='Thu (SNX)'!F$2)),_xlfn._xlws.FILTER(Margin[Strategy allotment % without hedge],(Margin[Strategy]='Thu (SNX)'!F$5)*(Margin[Index]='Thu (SNX)'!F$2)))</f>
        <v>0</v>
      </c>
      <c r="G4" s="38" cm="1">
        <f t="array" ref="G4">IF('Thu (SNX)'!G3="W.H",_xlfn._xlws.FILTER(Margin[Strategy allotment % with hedge],(Margin[Strategy]='Thu (SNX)'!G$5)*(Margin[Index]='Thu (SNX)'!G$2)),_xlfn._xlws.FILTER(Margin[Strategy allotment % without hedge],(Margin[Strategy]='Thu (SNX)'!G$5)*(Margin[Index]='Thu (SNX)'!G$2)))</f>
        <v>0</v>
      </c>
      <c r="H4" s="38" cm="1">
        <f t="array" ref="H4">IF('Thu (SNX)'!H3="W.H",_xlfn._xlws.FILTER(Margin[Strategy allotment % with hedge],(Margin[Strategy]='Thu (SNX)'!H$5)*(Margin[Index]='Thu (SNX)'!H$2)),_xlfn._xlws.FILTER(Margin[Strategy allotment % without hedge],(Margin[Strategy]='Thu (SNX)'!H$5)*(Margin[Index]='Thu (SNX)'!H$2)))</f>
        <v>0.1</v>
      </c>
      <c r="I4" s="38" cm="1">
        <f t="array" ref="I4">IF('Thu (SNX)'!I3="W.H",_xlfn._xlws.FILTER(Margin[Strategy allotment % with hedge],(Margin[Strategy]='Thu (SNX)'!I$5)*(Margin[Index]='Thu (SNX)'!I$2)),_xlfn._xlws.FILTER(Margin[Strategy allotment % without hedge],(Margin[Strategy]='Thu (SNX)'!I$5)*(Margin[Index]='Thu (SNX)'!I$2)))</f>
        <v>0.1</v>
      </c>
      <c r="J4" s="38" cm="1">
        <f t="array" ref="J4">IF('Thu (SNX)'!J3="W.H",_xlfn._xlws.FILTER(Margin[Strategy allotment % with hedge],(Margin[Strategy]='Thu (SNX)'!J$5)*(Margin[Index]='Thu (SNX)'!J$2)),_xlfn._xlws.FILTER(Margin[Strategy allotment % without hedge],(Margin[Strategy]='Thu (SNX)'!J$5)*(Margin[Index]='Thu (SNX)'!J$2)))</f>
        <v>0.1</v>
      </c>
      <c r="K4" s="38" cm="1">
        <f t="array" ref="K4">IF('Thu (SNX)'!K3="W.H",_xlfn._xlws.FILTER(Margin[Strategy allotment % with hedge],(Margin[Strategy]='Thu (SNX)'!K$5)*(Margin[Index]='Thu (SNX)'!K$2)),_xlfn._xlws.FILTER(Margin[Strategy allotment % without hedge],(Margin[Strategy]='Thu (SNX)'!K$5)*(Margin[Index]='Thu (SNX)'!K$2)))</f>
        <v>0.1</v>
      </c>
      <c r="L4" s="38">
        <v>0.4</v>
      </c>
      <c r="M4" s="38" cm="1">
        <f t="array" ref="M4">IF('Thu (SNX)'!M3="W.H",_xlfn._xlws.FILTER(Margin[Strategy allotment % with hedge],(Margin[Strategy]='Thu (SNX)'!M$5)*(Margin[Index]='Thu (SNX)'!M$2)),_xlfn._xlws.FILTER(Margin[Strategy allotment % without hedge],(Margin[Strategy]='Thu (SNX)'!M$5)*(Margin[Index]='Thu (SNX)'!M$2)))</f>
        <v>0</v>
      </c>
      <c r="N4" s="38" cm="1">
        <f t="array" ref="N4">IF('Thu (SNX)'!N3="W.H",_xlfn._xlws.FILTER(Margin[Strategy allotment % with hedge],(Margin[Strategy]='Thu (SNX)'!N$5)*(Margin[Index]='Thu (SNX)'!N$2)),_xlfn._xlws.FILTER(Margin[Strategy allotment % without hedge],(Margin[Strategy]='Thu (SNX)'!N$5)*(Margin[Index]='Thu (SNX)'!N$2)))</f>
        <v>0</v>
      </c>
      <c r="O4" s="38" cm="1">
        <f t="array" ref="O4">IF('Thu (SNX)'!O3="W.H",_xlfn._xlws.FILTER(Margin[Strategy allotment % with hedge],(Margin[Strategy]='Thu (SNX)'!O$5)*(Margin[Index]='Thu (SNX)'!O$2)),_xlfn._xlws.FILTER(Margin[Strategy allotment % without hedge],(Margin[Strategy]='Thu (SNX)'!O$5)*(Margin[Index]='Thu (SNX)'!O$2)))</f>
        <v>0</v>
      </c>
      <c r="P4" s="38" cm="1">
        <f t="array" ref="P4">IF('Thu (SNX)'!P3="W.H",_xlfn._xlws.FILTER(Margin[Strategy allotment % with hedge],(Margin[Strategy]='Thu (SNX)'!P$5)*(Margin[Index]='Thu (SNX)'!P$2)),_xlfn._xlws.FILTER(Margin[Strategy allotment % without hedge],(Margin[Strategy]='Thu (SNX)'!P$5)*(Margin[Index]='Thu (SNX)'!P$2)))</f>
        <v>0</v>
      </c>
      <c r="Q4" s="38" cm="1">
        <f t="array" ref="Q4">IF('Thu (SNX)'!Q3="W.H",_xlfn._xlws.FILTER(Margin[Strategy allotment % with hedge],(Margin[Strategy]='Thu (SNX)'!Q$5)*(Margin[Index]='Thu (SNX)'!Q$2)),_xlfn._xlws.FILTER(Margin[Strategy allotment % without hedge],(Margin[Strategy]='Thu (SNX)'!Q$5)*(Margin[Index]='Thu (SNX)'!Q$2)))</f>
        <v>0</v>
      </c>
    </row>
    <row r="5" spans="1:23" x14ac:dyDescent="0.25">
      <c r="C5" s="16" t="s">
        <v>50</v>
      </c>
      <c r="D5" s="16" t="s">
        <v>51</v>
      </c>
      <c r="E5" s="16" t="s">
        <v>52</v>
      </c>
      <c r="F5" s="16" t="s">
        <v>67</v>
      </c>
      <c r="G5" s="16" t="s">
        <v>66</v>
      </c>
      <c r="H5" s="16" t="s">
        <v>70</v>
      </c>
      <c r="I5" s="16" t="s">
        <v>70</v>
      </c>
      <c r="J5" s="16" t="s">
        <v>70</v>
      </c>
      <c r="K5" s="16" t="s">
        <v>111</v>
      </c>
      <c r="L5" s="16" t="s">
        <v>1</v>
      </c>
      <c r="M5" s="16" t="s">
        <v>2</v>
      </c>
      <c r="N5" s="16" t="s">
        <v>3</v>
      </c>
      <c r="O5" s="16" t="s">
        <v>4</v>
      </c>
      <c r="P5" s="16" t="s">
        <v>5</v>
      </c>
      <c r="Q5" s="16" t="s">
        <v>6</v>
      </c>
    </row>
    <row r="6" spans="1:23" hidden="1" x14ac:dyDescent="0.25">
      <c r="A6" t="str">
        <f>_xlfn.XLOOKUP(C6,'OI QTY'!$O$5:$O$21,'OI QTY'!$N$5:$N$21,"")</f>
        <v>H</v>
      </c>
      <c r="B6">
        <f>IF(C6="",0,1)</f>
        <v>1</v>
      </c>
      <c r="C6" s="14" t="s">
        <v>20</v>
      </c>
      <c r="D6" s="14" cm="1">
        <f t="array" ref="D6">(_xlfn._xlws.FILTER(Fund[Margin],Fund[Client Id]=C6))/10000000</f>
        <v>7.5</v>
      </c>
      <c r="E6" s="14"/>
      <c r="F6" s="14" t="str" cm="1">
        <f t="array" ref="F6">IFERROR(IF(ROUNDUP((Client_Margin($C6)*Alloted(F$3,F$2,F$5)/Get_Margin(F$3,F$2,F$5,F$1)),0)*Get_Margin(F$3,F$2,F$5,F$1)&gt;((Client_Margin($C6)*Alloted(F$3,F$2,F$5)/Get_Margin(F$3,F$2,F$5,F$1))*Get_Margin(F$3,F$2,F$5,F$1))*$D$3,ROUNDDOWN((Client_Margin($C6)*Alloted(F$3,F$2,F$5)/Get_Margin(F$3,F$2,F$5,F$1)),0),ROUNDUP((Client_Margin($C6)*Alloted(F$3,F$2,F$5)/Get_Margin(F$3,F$2,F$5,F$1)),0)),"-")</f>
        <v>-</v>
      </c>
      <c r="G6" s="14" t="str" cm="1">
        <f t="array" ref="G6">IFERROR(IF(ROUNDUP((Client_Margin($C6)*Alloted(G$3,G$2,G$5)/Get_Margin(G$3,G$2,G$5,G$1)),0)*Get_Margin(G$3,G$2,G$5,G$1)&gt;((Client_Margin($C6)*Alloted(G$3,G$2,G$5)/Get_Margin(G$3,G$2,G$5,G$1))*Get_Margin(G$3,G$2,G$5,G$1))*$D$3,ROUNDDOWN((Client_Margin($C6)*Alloted(G$3,G$2,G$5)/Get_Margin(G$3,G$2,G$5,G$1)),0),ROUNDUP((Client_Margin($C6)*Alloted(G$3,G$2,G$5)/Get_Margin(G$3,G$2,G$5,G$1)),0)),"-")</f>
        <v>-</v>
      </c>
      <c r="H6" s="14" cm="1">
        <f t="array" ref="H6">IFERROR(IF(ROUNDUP((Client_Margin($C6)*Alloted(H$3,H$2,H$5)/Get_Margin(H$3,H$2,H$5,H$1)),0)*Get_Margin(H$3,H$2,H$5,H$1)&gt;((Client_Margin($C6)*Alloted(H$3,H$2,H$5)/Get_Margin(H$3,H$2,H$5,H$1))*Get_Margin(H$3,H$2,H$5,H$1))*$D$3,ROUNDDOWN((Client_Margin($C6)*Alloted(H$3,H$2,H$5)/Get_Margin(H$3,H$2,H$5,H$1)),0),ROUNDUP((Client_Margin($C6)*Alloted(H$3,H$2,H$5)/Get_Margin(H$3,H$2,H$5,H$1)),0)),"-")</f>
        <v>11</v>
      </c>
      <c r="I6" s="14" cm="1">
        <f t="array" ref="I6">IFERROR(IF(ROUNDUP((Client_Margin($C6)*Alloted(I$3,I$2,I$5)/Get_Margin(I$3,I$2,I$5,I$1)),0)*Get_Margin(I$3,I$2,I$5,I$1)&gt;((Client_Margin($C6)*Alloted(I$3,I$2,I$5)/Get_Margin(I$3,I$2,I$5,I$1))*Get_Margin(I$3,I$2,I$5,I$1))*$D$3,ROUNDDOWN((Client_Margin($C6)*Alloted(I$3,I$2,I$5)/Get_Margin(I$3,I$2,I$5,I$1)),0),ROUNDUP((Client_Margin($C6)*Alloted(I$3,I$2,I$5)/Get_Margin(I$3,I$2,I$5,I$1)),0)),"-")</f>
        <v>4</v>
      </c>
      <c r="J6" s="14" cm="1">
        <f t="array" ref="J6">IFERROR(IF(ROUNDUP((Client_Margin($C6)*Alloted(J$3,J$2,J$5)/Get_Margin(J$3,J$2,J$5,J$1)),0)*Get_Margin(J$3,J$2,J$5,J$1)&gt;((Client_Margin($C6)*Alloted(J$3,J$2,J$5)/Get_Margin(J$3,J$2,J$5,J$1))*Get_Margin(J$3,J$2,J$5,J$1))*$D$3,ROUNDDOWN((Client_Margin($C6)*Alloted(J$3,J$2,J$5)/Get_Margin(J$3,J$2,J$5,J$1)),0),ROUNDUP((Client_Margin($C6)*Alloted(J$3,J$2,J$5)/Get_Margin(J$3,J$2,J$5,J$1)),0)),"-")</f>
        <v>5</v>
      </c>
      <c r="K6" s="14" cm="1">
        <f t="array" ref="K6">IFERROR(IF(ROUNDUP((Client_Margin($C6)*Alloted(K$3,K$2,K$5)/Get_Margin(K$3,K$2,K$5,K$1)),0)*Get_Margin(K$3,K$2,K$5,K$1)&gt;((Client_Margin($C6)*Alloted(K$3,K$2,K$5)/Get_Margin(K$3,K$2,K$5,K$1))*Get_Margin(K$3,K$2,K$5,K$1))*$D$3,ROUNDDOWN((Client_Margin($C6)*Alloted(K$3,K$2,K$5)/Get_Margin(K$3,K$2,K$5,K$1)),0),ROUNDUP((Client_Margin($C6)*Alloted(K$3,K$2,K$5)/Get_Margin(K$3,K$2,K$5,K$1)),0)),"-")</f>
        <v>14</v>
      </c>
      <c r="L6" s="14" cm="1">
        <f t="array" ref="L6">IFERROR(IF(ROUNDUP((Client_Margin($C6)*Alloted(L$3,L$2,L$5)/Get_Margin(L$3,L$2,L$5,L$1)),0)*Get_Margin(L$3,L$2,L$5,L$1)&gt;((Client_Margin($C6)*Alloted(L$3,L$2,L$5)/Get_Margin(L$3,L$2,L$5,L$1))*Get_Margin(L$3,L$2,L$5,L$1))*$D$3,ROUNDDOWN((Client_Margin($C6)*Alloted(L$3,L$2,L$5)/Get_Margin(L$3,L$2,L$5,L$1)),0),ROUNDUP((Client_Margin($C6)*Alloted(L$3,L$2,L$5)/Get_Margin(L$3,L$2,L$5,L$1)),0)),"-")</f>
        <v>55</v>
      </c>
      <c r="M6" s="14" cm="1">
        <f t="array" ref="M6">IFERROR(IF(ROUNDUP((Client_Margin($C6)*Alloted(M$3,M$2,M$5)/Get_Margin(M$3,M$2,M$5,M$1)),0)*Get_Margin(M$3,M$2,M$5,M$1)&gt;((Client_Margin($C6)*Alloted(M$3,M$2,M$5)/Get_Margin(M$3,M$2,M$5,M$1))*Get_Margin(M$3,M$2,M$5,M$1))*$D$3,ROUNDDOWN((Client_Margin($C6)*Alloted(M$3,M$2,M$5)/Get_Margin(M$3,M$2,M$5,M$1)),0),ROUNDUP((Client_Margin($C6)*Alloted(M$3,M$2,M$5)/Get_Margin(M$3,M$2,M$5,M$1)),0)),"-")</f>
        <v>0</v>
      </c>
      <c r="N6" s="14" cm="1">
        <f t="array" ref="N6">IFERROR(IF(ROUNDUP((Client_Margin($C6)*Alloted(N$3,N$2,N$5)/Get_Margin(N$3,N$2,N$5,N$1)),0)*Get_Margin(N$3,N$2,N$5,N$1)&gt;((Client_Margin($C6)*Alloted(N$3,N$2,N$5)/Get_Margin(N$3,N$2,N$5,N$1))*Get_Margin(N$3,N$2,N$5,N$1))*$D$3,ROUNDDOWN((Client_Margin($C6)*Alloted(N$3,N$2,N$5)/Get_Margin(N$3,N$2,N$5,N$1)),0),ROUNDUP((Client_Margin($C6)*Alloted(N$3,N$2,N$5)/Get_Margin(N$3,N$2,N$5,N$1)),0)),"-")</f>
        <v>0</v>
      </c>
      <c r="O6" s="14" cm="1">
        <f t="array" ref="O6">IFERROR(IF(ROUNDUP((Client_Margin($C6)*Alloted(O$3,O$2,O$5)/Get_Margin(O$3,O$2,O$5,O$1)),0)*Get_Margin(O$3,O$2,O$5,O$1)&gt;((Client_Margin($C6)*Alloted(O$3,O$2,O$5)/Get_Margin(O$3,O$2,O$5,O$1))*Get_Margin(O$3,O$2,O$5,O$1))*$D$3,ROUNDDOWN((Client_Margin($C6)*Alloted(O$3,O$2,O$5)/Get_Margin(O$3,O$2,O$5,O$1)),0),ROUNDUP((Client_Margin($C6)*Alloted(O$3,O$2,O$5)/Get_Margin(O$3,O$2,O$5,O$1)),0)),"-")</f>
        <v>0</v>
      </c>
      <c r="P6" s="14" cm="1">
        <f t="array" ref="P6">IFERROR(IF(ROUNDUP((Client_Margin($C6)*Alloted(P$3,P$2,P$5)/Get_Margin(P$3,P$2,P$5,P$1)),0)*Get_Margin(P$3,P$2,P$5,P$1)&gt;((Client_Margin($C6)*Alloted(P$3,P$2,P$5)/Get_Margin(P$3,P$2,P$5,P$1))*Get_Margin(P$3,P$2,P$5,P$1))*$D$3,ROUNDDOWN((Client_Margin($C6)*Alloted(P$3,P$2,P$5)/Get_Margin(P$3,P$2,P$5,P$1)),0),ROUNDUP((Client_Margin($C6)*Alloted(P$3,P$2,P$5)/Get_Margin(P$3,P$2,P$5,P$1)),0)),"-")</f>
        <v>0</v>
      </c>
      <c r="Q6" s="14" cm="1">
        <f t="array" ref="Q6">IFERROR(IF(ROUNDUP((Client_Margin($C6)*Alloted(Q$3,Q$2,Q$5)/Get_Margin(Q$3,Q$2,Q$5,Q$1)),0)*Get_Margin(Q$3,Q$2,Q$5,Q$1)&gt;((Client_Margin($C6)*Alloted(Q$3,Q$2,Q$5)/Get_Margin(Q$3,Q$2,Q$5,Q$1))*Get_Margin(Q$3,Q$2,Q$5,Q$1))*$D$3,ROUNDDOWN((Client_Margin($C6)*Alloted(Q$3,Q$2,Q$5)/Get_Margin(Q$3,Q$2,Q$5,Q$1)),0),ROUNDUP((Client_Margin($C6)*Alloted(Q$3,Q$2,Q$5)/Get_Margin(Q$3,Q$2,Q$5,Q$1)),0)),"-")</f>
        <v>0</v>
      </c>
    </row>
    <row r="7" spans="1:23" hidden="1" x14ac:dyDescent="0.25">
      <c r="A7">
        <f>_xlfn.XLOOKUP(C7,'OI QTY'!$O$5:$O$21,'OI QTY'!$N$5:$N$21,"")</f>
        <v>0</v>
      </c>
      <c r="B7">
        <f t="shared" ref="B7:B11" si="0">IF(C7="",0,1)</f>
        <v>0</v>
      </c>
      <c r="C7" s="14"/>
      <c r="D7" s="14"/>
      <c r="E7" s="15">
        <f>SUM(F7:Q7)</f>
        <v>0.81918666666666673</v>
      </c>
      <c r="F7" s="15" t="str" cm="1">
        <f t="array" ref="F7">IFERROR((_xlfn._xlws.FILTER(INDEX(Margin[],0,MATCH(F$1&amp;"_"&amp;F$3,Margin[#Headers],0)),(Margin[Index]=F$2)*(Margin[Strategy]=F$5))*F6)/Client_Margin($C6),"-")</f>
        <v>-</v>
      </c>
      <c r="G7" s="15" t="str" cm="1">
        <f t="array" ref="G7">IFERROR((_xlfn._xlws.FILTER(INDEX(Margin[],0,MATCH(G$1&amp;"_"&amp;G$3,Margin[#Headers],0)),(Margin[Index]=G$2)*(Margin[Strategy]=G$5))*G6)/Client_Margin($C6),"-")</f>
        <v>-</v>
      </c>
      <c r="H7" s="15" cm="1">
        <f t="array" ref="H7">IFERROR((_xlfn._xlws.FILTER(INDEX(Margin[],0,MATCH(H$1&amp;"_"&amp;H$3,Margin[#Headers],0)),(Margin[Index]=H$2)*(Margin[Strategy]=H$5))*H6)/Client_Margin($C6),"-")</f>
        <v>0.10208</v>
      </c>
      <c r="I7" s="15" cm="1">
        <f t="array" ref="I7">IFERROR((_xlfn._xlws.FILTER(INDEX(Margin[],0,MATCH(I$1&amp;"_"&amp;I$3,Margin[#Headers],0)),(Margin[Index]=I$2)*(Margin[Strategy]=I$5))*I6)/Client_Margin($C6),"-")</f>
        <v>9.9839999999999998E-2</v>
      </c>
      <c r="J7" s="15" cm="1">
        <f t="array" ref="J7">IFERROR((_xlfn._xlws.FILTER(INDEX(Margin[],0,MATCH(J$1&amp;"_"&amp;J$3,Margin[#Headers],0)),(Margin[Index]=J$2)*(Margin[Strategy]=J$5))*J6)/Client_Margin($C6),"-")</f>
        <v>0.10666666666666667</v>
      </c>
      <c r="K7" s="15" cm="1">
        <f t="array" ref="K7">IFERROR((_xlfn._xlws.FILTER(INDEX(Margin[],0,MATCH(K$1&amp;"_"&amp;K$3,Margin[#Headers],0)),(Margin[Index]=K$2)*(Margin[Strategy]=K$5))*K6)/Client_Margin($C6),"-")</f>
        <v>0.1036</v>
      </c>
      <c r="L7" s="15" cm="1">
        <f t="array" ref="L7">IFERROR((_xlfn._xlws.FILTER(INDEX(Margin[],0,MATCH(L$1&amp;"_"&amp;L$3,Margin[#Headers],0)),(Margin[Index]=L$2)*(Margin[Strategy]=L$5))*L6)/Client_Margin($C6),"-")</f>
        <v>0.40699999999999997</v>
      </c>
      <c r="M7" s="15" cm="1">
        <f t="array" ref="M7">IFERROR((_xlfn._xlws.FILTER(INDEX(Margin[],0,MATCH(M$1&amp;"_"&amp;M$3,Margin[#Headers],0)),(Margin[Index]=M$2)*(Margin[Strategy]=M$5))*M6)/Client_Margin($C6),"-")</f>
        <v>0</v>
      </c>
      <c r="N7" s="15" cm="1">
        <f t="array" ref="N7">IFERROR((_xlfn._xlws.FILTER(INDEX(Margin[],0,MATCH(N$1&amp;"_"&amp;N$3,Margin[#Headers],0)),(Margin[Index]=N$2)*(Margin[Strategy]=N$5))*N6)/Client_Margin($C6),"-")</f>
        <v>0</v>
      </c>
      <c r="O7" s="15" cm="1">
        <f t="array" ref="O7">IFERROR((_xlfn._xlws.FILTER(INDEX(Margin[],0,MATCH(O$1&amp;"_"&amp;O$3,Margin[#Headers],0)),(Margin[Index]=O$2)*(Margin[Strategy]=O$5))*O6)/Client_Margin($C6),"-")</f>
        <v>0</v>
      </c>
      <c r="P7" s="15" cm="1">
        <f t="array" ref="P7">IFERROR((_xlfn._xlws.FILTER(INDEX(Margin[],0,MATCH(P$1&amp;"_"&amp;P$3,Margin[#Headers],0)),(Margin[Index]=P$2)*(Margin[Strategy]=P$5))*P6)/Client_Margin($C6),"-")</f>
        <v>0</v>
      </c>
      <c r="Q7" s="15" cm="1">
        <f t="array" ref="Q7">IFERROR((_xlfn._xlws.FILTER(INDEX(Margin[],0,MATCH(Q$1&amp;"_"&amp;Q$3,Margin[#Headers],0)),(Margin[Index]=Q$2)*(Margin[Strategy]=Q$5))*Q6)/Client_Margin($C6),"-")</f>
        <v>0</v>
      </c>
    </row>
    <row r="8" spans="1:23" hidden="1" x14ac:dyDescent="0.25">
      <c r="A8" t="str">
        <f>_xlfn.XLOOKUP(C8,'OI QTY'!$O$5:$O$21,'OI QTY'!$N$5:$N$21,"")</f>
        <v/>
      </c>
      <c r="B8">
        <f t="shared" si="0"/>
        <v>1</v>
      </c>
      <c r="C8" s="14" t="s">
        <v>46</v>
      </c>
      <c r="D8" s="14" cm="1">
        <f t="array" ref="D8">(_xlfn._xlws.FILTER(Fund[Margin],Fund[Client Id]=C8))/10000000</f>
        <v>6.8</v>
      </c>
      <c r="E8" s="17"/>
      <c r="F8" s="14" t="str" cm="1">
        <f t="array" ref="F8">IFERROR(IF(ROUNDUP((Client_Margin($C8)*Alloted(F$3,F$2,F$5)/Get_Margin(F$3,F$2,F$5,F$1)),0)*Get_Margin(F$3,F$2,F$5,F$1)&gt;((Client_Margin($C8)*Alloted(F$3,F$2,F$5)/Get_Margin(F$3,F$2,F$5,F$1))*Get_Margin(F$3,F$2,F$5,F$1))*$D$3,ROUNDDOWN((Client_Margin($C8)*Alloted(F$3,F$2,F$5)/Get_Margin(F$3,F$2,F$5,F$1)),0),ROUNDUP((Client_Margin($C8)*Alloted(F$3,F$2,F$5)/Get_Margin(F$3,F$2,F$5,F$1)),0)),"-")</f>
        <v>-</v>
      </c>
      <c r="G8" s="14" t="str" cm="1">
        <f t="array" ref="G8">IFERROR(IF(ROUNDUP((Client_Margin($C8)*Alloted(G$3,G$2,G$5)/Get_Margin(G$3,G$2,G$5,G$1)),0)*Get_Margin(G$3,G$2,G$5,G$1)&gt;((Client_Margin($C8)*Alloted(G$3,G$2,G$5)/Get_Margin(G$3,G$2,G$5,G$1))*Get_Margin(G$3,G$2,G$5,G$1))*$D$3,ROUNDDOWN((Client_Margin($C8)*Alloted(G$3,G$2,G$5)/Get_Margin(G$3,G$2,G$5,G$1)),0),ROUNDUP((Client_Margin($C8)*Alloted(G$3,G$2,G$5)/Get_Margin(G$3,G$2,G$5,G$1)),0)),"-")</f>
        <v>-</v>
      </c>
      <c r="H8" s="14" cm="1">
        <f t="array" ref="H8">IFERROR(IF(ROUNDUP((Client_Margin($C8)*Alloted(H$3,H$2,H$5)/Get_Margin(H$3,H$2,H$5,H$1)),0)*Get_Margin(H$3,H$2,H$5,H$1)&gt;((Client_Margin($C8)*Alloted(H$3,H$2,H$5)/Get_Margin(H$3,H$2,H$5,H$1))*Get_Margin(H$3,H$2,H$5,H$1))*$D$3,ROUNDDOWN((Client_Margin($C8)*Alloted(H$3,H$2,H$5)/Get_Margin(H$3,H$2,H$5,H$1)),0),ROUNDUP((Client_Margin($C8)*Alloted(H$3,H$2,H$5)/Get_Margin(H$3,H$2,H$5,H$1)),0)),"-")</f>
        <v>10</v>
      </c>
      <c r="I8" s="14" cm="1">
        <f t="array" ref="I8">IFERROR(IF(ROUNDUP((Client_Margin($C8)*Alloted(I$3,I$2,I$5)/Get_Margin(I$3,I$2,I$5,I$1)),0)*Get_Margin(I$3,I$2,I$5,I$1)&gt;((Client_Margin($C8)*Alloted(I$3,I$2,I$5)/Get_Margin(I$3,I$2,I$5,I$1))*Get_Margin(I$3,I$2,I$5,I$1))*$D$3,ROUNDDOWN((Client_Margin($C8)*Alloted(I$3,I$2,I$5)/Get_Margin(I$3,I$2,I$5,I$1)),0),ROUNDUP((Client_Margin($C8)*Alloted(I$3,I$2,I$5)/Get_Margin(I$3,I$2,I$5,I$1)),0)),"-")</f>
        <v>4</v>
      </c>
      <c r="J8" s="14" cm="1">
        <f t="array" ref="J8">IFERROR(IF(ROUNDUP((Client_Margin($C8)*Alloted(J$3,J$2,J$5)/Get_Margin(J$3,J$2,J$5,J$1)),0)*Get_Margin(J$3,J$2,J$5,J$1)&gt;((Client_Margin($C8)*Alloted(J$3,J$2,J$5)/Get_Margin(J$3,J$2,J$5,J$1))*Get_Margin(J$3,J$2,J$5,J$1))*$D$3,ROUNDDOWN((Client_Margin($C8)*Alloted(J$3,J$2,J$5)/Get_Margin(J$3,J$2,J$5,J$1)),0),ROUNDUP((Client_Margin($C8)*Alloted(J$3,J$2,J$5)/Get_Margin(J$3,J$2,J$5,J$1)),0)),"-")</f>
        <v>4</v>
      </c>
      <c r="K8" s="14" cm="1">
        <f t="array" ref="K8">IFERROR(IF(ROUNDUP((Client_Margin($C8)*Alloted(K$3,K$2,K$5)/Get_Margin(K$3,K$2,K$5,K$1)),0)*Get_Margin(K$3,K$2,K$5,K$1)&gt;((Client_Margin($C8)*Alloted(K$3,K$2,K$5)/Get_Margin(K$3,K$2,K$5,K$1))*Get_Margin(K$3,K$2,K$5,K$1))*$D$3,ROUNDDOWN((Client_Margin($C8)*Alloted(K$3,K$2,K$5)/Get_Margin(K$3,K$2,K$5,K$1)),0),ROUNDUP((Client_Margin($C8)*Alloted(K$3,K$2,K$5)/Get_Margin(K$3,K$2,K$5,K$1)),0)),"-")</f>
        <v>13</v>
      </c>
      <c r="L8" s="14" cm="1">
        <f t="array" ref="L8">IFERROR(IF(ROUNDUP((Client_Margin($C8)*Alloted(L$3,L$2,L$5)/Get_Margin(L$3,L$2,L$5,L$1)),0)*Get_Margin(L$3,L$2,L$5,L$1)&gt;((Client_Margin($C8)*Alloted(L$3,L$2,L$5)/Get_Margin(L$3,L$2,L$5,L$1))*Get_Margin(L$3,L$2,L$5,L$1))*$D$3,ROUNDDOWN((Client_Margin($C8)*Alloted(L$3,L$2,L$5)/Get_Margin(L$3,L$2,L$5,L$1)),0),ROUNDUP((Client_Margin($C8)*Alloted(L$3,L$2,L$5)/Get_Margin(L$3,L$2,L$5,L$1)),0)),"-")</f>
        <v>50</v>
      </c>
      <c r="M8" s="14" cm="1">
        <f t="array" ref="M8">IFERROR(IF(ROUNDUP((Client_Margin($C8)*Alloted(M$3,M$2,M$5)/Get_Margin(M$3,M$2,M$5,M$1)),0)*Get_Margin(M$3,M$2,M$5,M$1)&gt;((Client_Margin($C8)*Alloted(M$3,M$2,M$5)/Get_Margin(M$3,M$2,M$5,M$1))*Get_Margin(M$3,M$2,M$5,M$1))*$D$3,ROUNDDOWN((Client_Margin($C8)*Alloted(M$3,M$2,M$5)/Get_Margin(M$3,M$2,M$5,M$1)),0),ROUNDUP((Client_Margin($C8)*Alloted(M$3,M$2,M$5)/Get_Margin(M$3,M$2,M$5,M$1)),0)),"-")</f>
        <v>0</v>
      </c>
      <c r="N8" s="14" cm="1">
        <f t="array" ref="N8">IFERROR(IF(ROUNDUP((Client_Margin($C8)*Alloted(N$3,N$2,N$5)/Get_Margin(N$3,N$2,N$5,N$1)),0)*Get_Margin(N$3,N$2,N$5,N$1)&gt;((Client_Margin($C8)*Alloted(N$3,N$2,N$5)/Get_Margin(N$3,N$2,N$5,N$1))*Get_Margin(N$3,N$2,N$5,N$1))*$D$3,ROUNDDOWN((Client_Margin($C8)*Alloted(N$3,N$2,N$5)/Get_Margin(N$3,N$2,N$5,N$1)),0),ROUNDUP((Client_Margin($C8)*Alloted(N$3,N$2,N$5)/Get_Margin(N$3,N$2,N$5,N$1)),0)),"-")</f>
        <v>0</v>
      </c>
      <c r="O8" s="14" cm="1">
        <f t="array" ref="O8">IFERROR(IF(ROUNDUP((Client_Margin($C8)*Alloted(O$3,O$2,O$5)/Get_Margin(O$3,O$2,O$5,O$1)),0)*Get_Margin(O$3,O$2,O$5,O$1)&gt;((Client_Margin($C8)*Alloted(O$3,O$2,O$5)/Get_Margin(O$3,O$2,O$5,O$1))*Get_Margin(O$3,O$2,O$5,O$1))*$D$3,ROUNDDOWN((Client_Margin($C8)*Alloted(O$3,O$2,O$5)/Get_Margin(O$3,O$2,O$5,O$1)),0),ROUNDUP((Client_Margin($C8)*Alloted(O$3,O$2,O$5)/Get_Margin(O$3,O$2,O$5,O$1)),0)),"-")</f>
        <v>0</v>
      </c>
      <c r="P8" s="14" cm="1">
        <f t="array" ref="P8">IFERROR(IF(ROUNDUP((Client_Margin($C8)*Alloted(P$3,P$2,P$5)/Get_Margin(P$3,P$2,P$5,P$1)),0)*Get_Margin(P$3,P$2,P$5,P$1)&gt;((Client_Margin($C8)*Alloted(P$3,P$2,P$5)/Get_Margin(P$3,P$2,P$5,P$1))*Get_Margin(P$3,P$2,P$5,P$1))*$D$3,ROUNDDOWN((Client_Margin($C8)*Alloted(P$3,P$2,P$5)/Get_Margin(P$3,P$2,P$5,P$1)),0),ROUNDUP((Client_Margin($C8)*Alloted(P$3,P$2,P$5)/Get_Margin(P$3,P$2,P$5,P$1)),0)),"-")</f>
        <v>0</v>
      </c>
      <c r="Q8" s="14" cm="1">
        <f t="array" ref="Q8">IFERROR(IF(ROUNDUP((Client_Margin($C8)*Alloted(Q$3,Q$2,Q$5)/Get_Margin(Q$3,Q$2,Q$5,Q$1)),0)*Get_Margin(Q$3,Q$2,Q$5,Q$1)&gt;((Client_Margin($C8)*Alloted(Q$3,Q$2,Q$5)/Get_Margin(Q$3,Q$2,Q$5,Q$1))*Get_Margin(Q$3,Q$2,Q$5,Q$1))*$D$3,ROUNDDOWN((Client_Margin($C8)*Alloted(Q$3,Q$2,Q$5)/Get_Margin(Q$3,Q$2,Q$5,Q$1)),0),ROUNDUP((Client_Margin($C8)*Alloted(Q$3,Q$2,Q$5)/Get_Margin(Q$3,Q$2,Q$5,Q$1)),0)),"-")</f>
        <v>0</v>
      </c>
    </row>
    <row r="9" spans="1:23" hidden="1" x14ac:dyDescent="0.25">
      <c r="A9">
        <f>_xlfn.XLOOKUP(C9,'OI QTY'!$O$5:$O$21,'OI QTY'!$N$5:$N$21,"")</f>
        <v>0</v>
      </c>
      <c r="B9">
        <f t="shared" si="0"/>
        <v>0</v>
      </c>
      <c r="C9" s="14"/>
      <c r="D9" s="14"/>
      <c r="E9" s="15">
        <f>SUM(F9:Q9)</f>
        <v>0.82077941176470592</v>
      </c>
      <c r="F9" s="15" t="str" cm="1">
        <f t="array" ref="F9">IFERROR((_xlfn._xlws.FILTER(INDEX(Margin[],0,MATCH(F$1&amp;"_"&amp;F$3,Margin[#Headers],0)),(Margin[Index]=F$2)*(Margin[Strategy]=F$5))*F8)/Client_Margin($C8),"-")</f>
        <v>-</v>
      </c>
      <c r="G9" s="15" t="str" cm="1">
        <f t="array" ref="G9">IFERROR((_xlfn._xlws.FILTER(INDEX(Margin[],0,MATCH(G$1&amp;"_"&amp;G$3,Margin[#Headers],0)),(Margin[Index]=G$2)*(Margin[Strategy]=G$5))*G8)/Client_Margin($C8),"-")</f>
        <v>-</v>
      </c>
      <c r="H9" s="15" cm="1">
        <f t="array" ref="H9">IFERROR((_xlfn._xlws.FILTER(INDEX(Margin[],0,MATCH(H$1&amp;"_"&amp;H$3,Margin[#Headers],0)),(Margin[Index]=H$2)*(Margin[Strategy]=H$5))*H8)/Client_Margin($C8),"-")</f>
        <v>0.10235294117647059</v>
      </c>
      <c r="I9" s="15" cm="1">
        <f t="array" ref="I9">IFERROR((_xlfn._xlws.FILTER(INDEX(Margin[],0,MATCH(I$1&amp;"_"&amp;I$3,Margin[#Headers],0)),(Margin[Index]=I$2)*(Margin[Strategy]=I$5))*I8)/Client_Margin($C8),"-")</f>
        <v>0.11011764705882353</v>
      </c>
      <c r="J9" s="15" cm="1">
        <f t="array" ref="J9">IFERROR((_xlfn._xlws.FILTER(INDEX(Margin[],0,MATCH(J$1&amp;"_"&amp;J$3,Margin[#Headers],0)),(Margin[Index]=J$2)*(Margin[Strategy]=J$5))*J8)/Client_Margin($C8),"-")</f>
        <v>9.4117647058823528E-2</v>
      </c>
      <c r="K9" s="15" cm="1">
        <f t="array" ref="K9">IFERROR((_xlfn._xlws.FILTER(INDEX(Margin[],0,MATCH(K$1&amp;"_"&amp;K$3,Margin[#Headers],0)),(Margin[Index]=K$2)*(Margin[Strategy]=K$5))*K8)/Client_Margin($C8),"-")</f>
        <v>0.10610294117647059</v>
      </c>
      <c r="L9" s="15" cm="1">
        <f t="array" ref="L9">IFERROR((_xlfn._xlws.FILTER(INDEX(Margin[],0,MATCH(L$1&amp;"_"&amp;L$3,Margin[#Headers],0)),(Margin[Index]=L$2)*(Margin[Strategy]=L$5))*L8)/Client_Margin($C8),"-")</f>
        <v>0.40808823529411764</v>
      </c>
      <c r="M9" s="15" cm="1">
        <f t="array" ref="M9">IFERROR((_xlfn._xlws.FILTER(INDEX(Margin[],0,MATCH(M$1&amp;"_"&amp;M$3,Margin[#Headers],0)),(Margin[Index]=M$2)*(Margin[Strategy]=M$5))*M8)/Client_Margin($C8),"-")</f>
        <v>0</v>
      </c>
      <c r="N9" s="15" cm="1">
        <f t="array" ref="N9">IFERROR((_xlfn._xlws.FILTER(INDEX(Margin[],0,MATCH(N$1&amp;"_"&amp;N$3,Margin[#Headers],0)),(Margin[Index]=N$2)*(Margin[Strategy]=N$5))*N8)/Client_Margin($C8),"-")</f>
        <v>0</v>
      </c>
      <c r="O9" s="15" cm="1">
        <f t="array" ref="O9">IFERROR((_xlfn._xlws.FILTER(INDEX(Margin[],0,MATCH(O$1&amp;"_"&amp;O$3,Margin[#Headers],0)),(Margin[Index]=O$2)*(Margin[Strategy]=O$5))*O8)/Client_Margin($C8),"-")</f>
        <v>0</v>
      </c>
      <c r="P9" s="15" cm="1">
        <f t="array" ref="P9">IFERROR((_xlfn._xlws.FILTER(INDEX(Margin[],0,MATCH(P$1&amp;"_"&amp;P$3,Margin[#Headers],0)),(Margin[Index]=P$2)*(Margin[Strategy]=P$5))*P8)/Client_Margin($C8),"-")</f>
        <v>0</v>
      </c>
      <c r="Q9" s="15" cm="1">
        <f t="array" ref="Q9">IFERROR((_xlfn._xlws.FILTER(INDEX(Margin[],0,MATCH(Q$1&amp;"_"&amp;Q$3,Margin[#Headers],0)),(Margin[Index]=Q$2)*(Margin[Strategy]=Q$5))*Q8)/Client_Margin($C8),"-")</f>
        <v>0</v>
      </c>
    </row>
    <row r="10" spans="1:23" x14ac:dyDescent="0.25">
      <c r="A10" t="str">
        <f>_xlfn.XLOOKUP(C10,'OI QTY'!$O$5:$O$21,'OI QTY'!$N$5:$N$21,"")</f>
        <v>M</v>
      </c>
      <c r="B10">
        <f t="shared" si="0"/>
        <v>1</v>
      </c>
      <c r="C10" s="14" t="s">
        <v>127</v>
      </c>
      <c r="D10" s="14" cm="1">
        <f t="array" ref="D10">(_xlfn._xlws.FILTER(Fund[Margin],Fund[Client Id]=C10))/10000000</f>
        <v>4.5999999999999996</v>
      </c>
      <c r="E10" s="17"/>
      <c r="F10" s="14" t="str" cm="1">
        <f t="array" ref="F10">IFERROR(IF(ROUNDUP((Client_Margin($C10)*Alloted(F$3,F$2,F$5)/Get_Margin(F$3,F$2,F$5,F$1)),0)*Get_Margin(F$3,F$2,F$5,F$1)&gt;((Client_Margin($C10)*Alloted(F$3,F$2,F$5)/Get_Margin(F$3,F$2,F$5,F$1))*Get_Margin(F$3,F$2,F$5,F$1))*$D$3,ROUNDDOWN((Client_Margin($C10)*Alloted(F$3,F$2,F$5)/Get_Margin(F$3,F$2,F$5,F$1)),0),ROUNDUP((Client_Margin($C10)*Alloted(F$3,F$2,F$5)/Get_Margin(F$3,F$2,F$5,F$1)),0)),"-")</f>
        <v>-</v>
      </c>
      <c r="G10" s="14" t="str" cm="1">
        <f t="array" ref="G10">IFERROR(IF(ROUNDUP((Client_Margin($C10)*Alloted(G$3,G$2,G$5)/Get_Margin(G$3,G$2,G$5,G$1)),0)*Get_Margin(G$3,G$2,G$5,G$1)&gt;((Client_Margin($C10)*Alloted(G$3,G$2,G$5)/Get_Margin(G$3,G$2,G$5,G$1))*Get_Margin(G$3,G$2,G$5,G$1))*$D$3,ROUNDDOWN((Client_Margin($C10)*Alloted(G$3,G$2,G$5)/Get_Margin(G$3,G$2,G$5,G$1)),0),ROUNDUP((Client_Margin($C10)*Alloted(G$3,G$2,G$5)/Get_Margin(G$3,G$2,G$5,G$1)),0)),"-")</f>
        <v>-</v>
      </c>
      <c r="H10" s="14" cm="1">
        <f t="array" ref="H10">IFERROR(IF(ROUNDUP((Client_Margin($C10)*Alloted(H$3,H$2,H$5)/Get_Margin(H$3,H$2,H$5,H$1)),0)*Get_Margin(H$3,H$2,H$5,H$1)&gt;((Client_Margin($C10)*Alloted(H$3,H$2,H$5)/Get_Margin(H$3,H$2,H$5,H$1))*Get_Margin(H$3,H$2,H$5,H$1))*$D$3,ROUNDDOWN((Client_Margin($C10)*Alloted(H$3,H$2,H$5)/Get_Margin(H$3,H$2,H$5,H$1)),0),ROUNDUP((Client_Margin($C10)*Alloted(H$3,H$2,H$5)/Get_Margin(H$3,H$2,H$5,H$1)),0)),"-")</f>
        <v>7</v>
      </c>
      <c r="I10" s="14" cm="1">
        <f t="array" ref="I10">IFERROR(IF(ROUNDUP((Client_Margin($C10)*Alloted(I$3,I$2,I$5)/Get_Margin(I$3,I$2,I$5,I$1)),0)*Get_Margin(I$3,I$2,I$5,I$1)&gt;((Client_Margin($C10)*Alloted(I$3,I$2,I$5)/Get_Margin(I$3,I$2,I$5,I$1))*Get_Margin(I$3,I$2,I$5,I$1))*$D$3,ROUNDDOWN((Client_Margin($C10)*Alloted(I$3,I$2,I$5)/Get_Margin(I$3,I$2,I$5,I$1)),0),ROUNDUP((Client_Margin($C10)*Alloted(I$3,I$2,I$5)/Get_Margin(I$3,I$2,I$5,I$1)),0)),"-")</f>
        <v>2</v>
      </c>
      <c r="J10" s="14" cm="1">
        <f t="array" ref="J10">IFERROR(IF(ROUNDUP((Client_Margin($C10)*Alloted(J$3,J$2,J$5)/Get_Margin(J$3,J$2,J$5,J$1)),0)*Get_Margin(J$3,J$2,J$5,J$1)&gt;((Client_Margin($C10)*Alloted(J$3,J$2,J$5)/Get_Margin(J$3,J$2,J$5,J$1))*Get_Margin(J$3,J$2,J$5,J$1))*$D$3,ROUNDDOWN((Client_Margin($C10)*Alloted(J$3,J$2,J$5)/Get_Margin(J$3,J$2,J$5,J$1)),0),ROUNDUP((Client_Margin($C10)*Alloted(J$3,J$2,J$5)/Get_Margin(J$3,J$2,J$5,J$1)),0)),"-")</f>
        <v>3</v>
      </c>
      <c r="K10" s="14" cm="1">
        <f t="array" ref="K10">IFERROR(IF(ROUNDUP((Client_Margin($C10)*Alloted(K$3,K$2,K$5)/Get_Margin(K$3,K$2,K$5,K$1)),0)*Get_Margin(K$3,K$2,K$5,K$1)&gt;((Client_Margin($C10)*Alloted(K$3,K$2,K$5)/Get_Margin(K$3,K$2,K$5,K$1))*Get_Margin(K$3,K$2,K$5,K$1))*$D$3,ROUNDDOWN((Client_Margin($C10)*Alloted(K$3,K$2,K$5)/Get_Margin(K$3,K$2,K$5,K$1)),0),ROUNDUP((Client_Margin($C10)*Alloted(K$3,K$2,K$5)/Get_Margin(K$3,K$2,K$5,K$1)),0)),"-")</f>
        <v>9</v>
      </c>
      <c r="L10" s="14" cm="1">
        <f t="array" ref="L10">IFERROR(IF(ROUNDUP((Client_Margin($C10)*Alloted(L$3,L$2,L$5)/Get_Margin(L$3,L$2,L$5,L$1)),0)*Get_Margin(L$3,L$2,L$5,L$1)&gt;((Client_Margin($C10)*Alloted(L$3,L$2,L$5)/Get_Margin(L$3,L$2,L$5,L$1))*Get_Margin(L$3,L$2,L$5,L$1))*$D$3,ROUNDDOWN((Client_Margin($C10)*Alloted(L$3,L$2,L$5)/Get_Margin(L$3,L$2,L$5,L$1)),0),ROUNDUP((Client_Margin($C10)*Alloted(L$3,L$2,L$5)/Get_Margin(L$3,L$2,L$5,L$1)),0)),"-")</f>
        <v>34</v>
      </c>
      <c r="M10" s="14" cm="1">
        <f t="array" ref="M10">IFERROR(IF(ROUNDUP((Client_Margin($C10)*Alloted(M$3,M$2,M$5)/Get_Margin(M$3,M$2,M$5,M$1)),0)*Get_Margin(M$3,M$2,M$5,M$1)&gt;((Client_Margin($C10)*Alloted(M$3,M$2,M$5)/Get_Margin(M$3,M$2,M$5,M$1))*Get_Margin(M$3,M$2,M$5,M$1))*$D$3,ROUNDDOWN((Client_Margin($C10)*Alloted(M$3,M$2,M$5)/Get_Margin(M$3,M$2,M$5,M$1)),0),ROUNDUP((Client_Margin($C10)*Alloted(M$3,M$2,M$5)/Get_Margin(M$3,M$2,M$5,M$1)),0)),"-")</f>
        <v>0</v>
      </c>
      <c r="N10" s="14" cm="1">
        <f t="array" ref="N10">IFERROR(IF(ROUNDUP((Client_Margin($C10)*Alloted(N$3,N$2,N$5)/Get_Margin(N$3,N$2,N$5,N$1)),0)*Get_Margin(N$3,N$2,N$5,N$1)&gt;((Client_Margin($C10)*Alloted(N$3,N$2,N$5)/Get_Margin(N$3,N$2,N$5,N$1))*Get_Margin(N$3,N$2,N$5,N$1))*$D$3,ROUNDDOWN((Client_Margin($C10)*Alloted(N$3,N$2,N$5)/Get_Margin(N$3,N$2,N$5,N$1)),0),ROUNDUP((Client_Margin($C10)*Alloted(N$3,N$2,N$5)/Get_Margin(N$3,N$2,N$5,N$1)),0)),"-")</f>
        <v>0</v>
      </c>
      <c r="O10" s="14" cm="1">
        <f t="array" ref="O10">IFERROR(IF(ROUNDUP((Client_Margin($C10)*Alloted(O$3,O$2,O$5)/Get_Margin(O$3,O$2,O$5,O$1)),0)*Get_Margin(O$3,O$2,O$5,O$1)&gt;((Client_Margin($C10)*Alloted(O$3,O$2,O$5)/Get_Margin(O$3,O$2,O$5,O$1))*Get_Margin(O$3,O$2,O$5,O$1))*$D$3,ROUNDDOWN((Client_Margin($C10)*Alloted(O$3,O$2,O$5)/Get_Margin(O$3,O$2,O$5,O$1)),0),ROUNDUP((Client_Margin($C10)*Alloted(O$3,O$2,O$5)/Get_Margin(O$3,O$2,O$5,O$1)),0)),"-")</f>
        <v>0</v>
      </c>
      <c r="P10" s="14" cm="1">
        <f t="array" ref="P10">IFERROR(IF(ROUNDUP((Client_Margin($C10)*Alloted(P$3,P$2,P$5)/Get_Margin(P$3,P$2,P$5,P$1)),0)*Get_Margin(P$3,P$2,P$5,P$1)&gt;((Client_Margin($C10)*Alloted(P$3,P$2,P$5)/Get_Margin(P$3,P$2,P$5,P$1))*Get_Margin(P$3,P$2,P$5,P$1))*$D$3,ROUNDDOWN((Client_Margin($C10)*Alloted(P$3,P$2,P$5)/Get_Margin(P$3,P$2,P$5,P$1)),0),ROUNDUP((Client_Margin($C10)*Alloted(P$3,P$2,P$5)/Get_Margin(P$3,P$2,P$5,P$1)),0)),"-")</f>
        <v>0</v>
      </c>
      <c r="Q10" s="14" cm="1">
        <f t="array" ref="Q10">IFERROR(IF(ROUNDUP((Client_Margin($C10)*Alloted(Q$3,Q$2,Q$5)/Get_Margin(Q$3,Q$2,Q$5,Q$1)),0)*Get_Margin(Q$3,Q$2,Q$5,Q$1)&gt;((Client_Margin($C10)*Alloted(Q$3,Q$2,Q$5)/Get_Margin(Q$3,Q$2,Q$5,Q$1))*Get_Margin(Q$3,Q$2,Q$5,Q$1))*$D$3,ROUNDDOWN((Client_Margin($C10)*Alloted(Q$3,Q$2,Q$5)/Get_Margin(Q$3,Q$2,Q$5,Q$1)),0),ROUNDUP((Client_Margin($C10)*Alloted(Q$3,Q$2,Q$5)/Get_Margin(Q$3,Q$2,Q$5,Q$1)),0)),"-")</f>
        <v>0</v>
      </c>
    </row>
    <row r="11" spans="1:23" hidden="1" x14ac:dyDescent="0.25">
      <c r="A11">
        <f>_xlfn.XLOOKUP(C11,'OI QTY'!$O$5:$O$21,'OI QTY'!$N$5:$N$21,"")</f>
        <v>0</v>
      </c>
      <c r="B11">
        <f t="shared" si="0"/>
        <v>0</v>
      </c>
      <c r="C11" s="14"/>
      <c r="D11" s="14"/>
      <c r="E11" s="15">
        <f>SUM(F11:Q11)</f>
        <v>0.81045652173913041</v>
      </c>
      <c r="F11" s="15" t="str" cm="1">
        <f t="array" ref="F11">IFERROR((_xlfn._xlws.FILTER(INDEX(Margin[],0,MATCH(F$1&amp;"_"&amp;F$3,Margin[#Headers],0)),(Margin[Index]=F$2)*(Margin[Strategy]=F$5))*F10)/Client_Margin($C10),"-")</f>
        <v>-</v>
      </c>
      <c r="G11" s="15" t="str" cm="1">
        <f t="array" ref="G11">IFERROR((_xlfn._xlws.FILTER(INDEX(Margin[],0,MATCH(G$1&amp;"_"&amp;G$3,Margin[#Headers],0)),(Margin[Index]=G$2)*(Margin[Strategy]=G$5))*G10)/Client_Margin($C10),"-")</f>
        <v>-</v>
      </c>
      <c r="H11" s="15" cm="1">
        <f t="array" ref="H11">IFERROR((_xlfn._xlws.FILTER(INDEX(Margin[],0,MATCH(H$1&amp;"_"&amp;H$3,Margin[#Headers],0)),(Margin[Index]=H$2)*(Margin[Strategy]=H$5))*H10)/Client_Margin($C10),"-")</f>
        <v>0.10591304347826087</v>
      </c>
      <c r="I11" s="15" cm="1">
        <f t="array" ref="I11">IFERROR((_xlfn._xlws.FILTER(INDEX(Margin[],0,MATCH(I$1&amp;"_"&amp;I$3,Margin[#Headers],0)),(Margin[Index]=I$2)*(Margin[Strategy]=I$5))*I10)/Client_Margin($C10),"-")</f>
        <v>8.1391304347826085E-2</v>
      </c>
      <c r="J11" s="15" cm="1">
        <f t="array" ref="J11">IFERROR((_xlfn._xlws.FILTER(INDEX(Margin[],0,MATCH(J$1&amp;"_"&amp;J$3,Margin[#Headers],0)),(Margin[Index]=J$2)*(Margin[Strategy]=J$5))*J10)/Client_Margin($C10),"-")</f>
        <v>0.10434782608695652</v>
      </c>
      <c r="K11" s="15" cm="1">
        <f t="array" ref="K11">IFERROR((_xlfn._xlws.FILTER(INDEX(Margin[],0,MATCH(K$1&amp;"_"&amp;K$3,Margin[#Headers],0)),(Margin[Index]=K$2)*(Margin[Strategy]=K$5))*K10)/Client_Margin($C10),"-")</f>
        <v>0.10858695652173914</v>
      </c>
      <c r="L11" s="15" cm="1">
        <f t="array" ref="L11">IFERROR((_xlfn._xlws.FILTER(INDEX(Margin[],0,MATCH(L$1&amp;"_"&amp;L$3,Margin[#Headers],0)),(Margin[Index]=L$2)*(Margin[Strategy]=L$5))*L10)/Client_Margin($C10),"-")</f>
        <v>0.41021739130434781</v>
      </c>
      <c r="M11" s="15" cm="1">
        <f t="array" ref="M11">IFERROR((_xlfn._xlws.FILTER(INDEX(Margin[],0,MATCH(M$1&amp;"_"&amp;M$3,Margin[#Headers],0)),(Margin[Index]=M$2)*(Margin[Strategy]=M$5))*M10)/Client_Margin($C10),"-")</f>
        <v>0</v>
      </c>
      <c r="N11" s="15" cm="1">
        <f t="array" ref="N11">IFERROR((_xlfn._xlws.FILTER(INDEX(Margin[],0,MATCH(N$1&amp;"_"&amp;N$3,Margin[#Headers],0)),(Margin[Index]=N$2)*(Margin[Strategy]=N$5))*N10)/Client_Margin($C10),"-")</f>
        <v>0</v>
      </c>
      <c r="O11" s="15" cm="1">
        <f t="array" ref="O11">IFERROR((_xlfn._xlws.FILTER(INDEX(Margin[],0,MATCH(O$1&amp;"_"&amp;O$3,Margin[#Headers],0)),(Margin[Index]=O$2)*(Margin[Strategy]=O$5))*O10)/Client_Margin($C10),"-")</f>
        <v>0</v>
      </c>
      <c r="P11" s="15" cm="1">
        <f t="array" ref="P11">IFERROR((_xlfn._xlws.FILTER(INDEX(Margin[],0,MATCH(P$1&amp;"_"&amp;P$3,Margin[#Headers],0)),(Margin[Index]=P$2)*(Margin[Strategy]=P$5))*P10)/Client_Margin($C10),"-")</f>
        <v>0</v>
      </c>
      <c r="Q11" s="15" cm="1">
        <f t="array" ref="Q11">IFERROR((_xlfn._xlws.FILTER(INDEX(Margin[],0,MATCH(Q$1&amp;"_"&amp;Q$3,Margin[#Headers],0)),(Margin[Index]=Q$2)*(Margin[Strategy]=Q$5))*Q10)/Client_Margin($C10),"-")</f>
        <v>0</v>
      </c>
    </row>
    <row r="12" spans="1:23" x14ac:dyDescent="0.25">
      <c r="A12" t="str">
        <f>_xlfn.XLOOKUP(C12,'OI QTY'!$O$5:$O$21,'OI QTY'!$N$5:$N$21,"")</f>
        <v>M</v>
      </c>
      <c r="B12">
        <f>IF(C12="",0,1)</f>
        <v>1</v>
      </c>
      <c r="C12" s="14" t="s">
        <v>112</v>
      </c>
      <c r="D12" s="14" cm="1">
        <f t="array" ref="D12">(_xlfn._xlws.FILTER(Fund[Margin],Fund[Client Id]=C12))/10000000</f>
        <v>7</v>
      </c>
      <c r="E12" s="17"/>
      <c r="F12" s="14" t="str" cm="1">
        <f t="array" ref="F12">IFERROR(IF(ROUNDUP((Client_Margin($C12)*Alloted(F$3,F$2,F$5)/Get_Margin(F$3,F$2,F$5,F$1)),0)*Get_Margin(F$3,F$2,F$5,F$1)&gt;((Client_Margin($C12)*Alloted(F$3,F$2,F$5)/Get_Margin(F$3,F$2,F$5,F$1))*Get_Margin(F$3,F$2,F$5,F$1))*$D$3,ROUNDDOWN((Client_Margin($C12)*Alloted(F$3,F$2,F$5)/Get_Margin(F$3,F$2,F$5,F$1)),0),ROUNDUP((Client_Margin($C12)*Alloted(F$3,F$2,F$5)/Get_Margin(F$3,F$2,F$5,F$1)),0)),"-")</f>
        <v>-</v>
      </c>
      <c r="G12" s="14" t="str" cm="1">
        <f t="array" ref="G12">IFERROR(IF(ROUNDUP((Client_Margin($C12)*Alloted(G$3,G$2,G$5)/Get_Margin(G$3,G$2,G$5,G$1)),0)*Get_Margin(G$3,G$2,G$5,G$1)&gt;((Client_Margin($C12)*Alloted(G$3,G$2,G$5)/Get_Margin(G$3,G$2,G$5,G$1))*Get_Margin(G$3,G$2,G$5,G$1))*$D$3,ROUNDDOWN((Client_Margin($C12)*Alloted(G$3,G$2,G$5)/Get_Margin(G$3,G$2,G$5,G$1)),0),ROUNDUP((Client_Margin($C12)*Alloted(G$3,G$2,G$5)/Get_Margin(G$3,G$2,G$5,G$1)),0)),"-")</f>
        <v>-</v>
      </c>
      <c r="H12" s="14" cm="1">
        <f t="array" ref="H12">IFERROR(IF(ROUNDUP((Client_Margin($C12)*Alloted(H$3,H$2,H$5)/Get_Margin(H$3,H$2,H$5,H$1)),0)*Get_Margin(H$3,H$2,H$5,H$1)&gt;((Client_Margin($C12)*Alloted(H$3,H$2,H$5)/Get_Margin(H$3,H$2,H$5,H$1))*Get_Margin(H$3,H$2,H$5,H$1))*$D$3,ROUNDDOWN((Client_Margin($C12)*Alloted(H$3,H$2,H$5)/Get_Margin(H$3,H$2,H$5,H$1)),0),ROUNDUP((Client_Margin($C12)*Alloted(H$3,H$2,H$5)/Get_Margin(H$3,H$2,H$5,H$1)),0)),"-")</f>
        <v>11</v>
      </c>
      <c r="I12" s="14" cm="1">
        <f t="array" ref="I12">IFERROR(IF(ROUNDUP((Client_Margin($C12)*Alloted(I$3,I$2,I$5)/Get_Margin(I$3,I$2,I$5,I$1)),0)*Get_Margin(I$3,I$2,I$5,I$1)&gt;((Client_Margin($C12)*Alloted(I$3,I$2,I$5)/Get_Margin(I$3,I$2,I$5,I$1))*Get_Margin(I$3,I$2,I$5,I$1))*$D$3,ROUNDDOWN((Client_Margin($C12)*Alloted(I$3,I$2,I$5)/Get_Margin(I$3,I$2,I$5,I$1)),0),ROUNDUP((Client_Margin($C12)*Alloted(I$3,I$2,I$5)/Get_Margin(I$3,I$2,I$5,I$1)),0)),"-")</f>
        <v>4</v>
      </c>
      <c r="J12" s="14" cm="1">
        <f t="array" ref="J12">IFERROR(IF(ROUNDUP((Client_Margin($C12)*Alloted(J$3,J$2,J$5)/Get_Margin(J$3,J$2,J$5,J$1)),0)*Get_Margin(J$3,J$2,J$5,J$1)&gt;((Client_Margin($C12)*Alloted(J$3,J$2,J$5)/Get_Margin(J$3,J$2,J$5,J$1))*Get_Margin(J$3,J$2,J$5,J$1))*$D$3,ROUNDDOWN((Client_Margin($C12)*Alloted(J$3,J$2,J$5)/Get_Margin(J$3,J$2,J$5,J$1)),0),ROUNDUP((Client_Margin($C12)*Alloted(J$3,J$2,J$5)/Get_Margin(J$3,J$2,J$5,J$1)),0)),"-")</f>
        <v>5</v>
      </c>
      <c r="K12" s="14" cm="1">
        <f t="array" ref="K12">IFERROR(IF(ROUNDUP((Client_Margin($C12)*Alloted(K$3,K$2,K$5)/Get_Margin(K$3,K$2,K$5,K$1)),0)*Get_Margin(K$3,K$2,K$5,K$1)&gt;((Client_Margin($C12)*Alloted(K$3,K$2,K$5)/Get_Margin(K$3,K$2,K$5,K$1))*Get_Margin(K$3,K$2,K$5,K$1))*$D$3,ROUNDDOWN((Client_Margin($C12)*Alloted(K$3,K$2,K$5)/Get_Margin(K$3,K$2,K$5,K$1)),0),ROUNDUP((Client_Margin($C12)*Alloted(K$3,K$2,K$5)/Get_Margin(K$3,K$2,K$5,K$1)),0)),"-")</f>
        <v>13</v>
      </c>
      <c r="L12" s="14" cm="1">
        <f t="array" ref="L12">IFERROR(IF(ROUNDUP((Client_Margin($C12)*Alloted(L$3,L$2,L$5)/Get_Margin(L$3,L$2,L$5,L$1)),0)*Get_Margin(L$3,L$2,L$5,L$1)&gt;((Client_Margin($C12)*Alloted(L$3,L$2,L$5)/Get_Margin(L$3,L$2,L$5,L$1))*Get_Margin(L$3,L$2,L$5,L$1))*$D$3,ROUNDDOWN((Client_Margin($C12)*Alloted(L$3,L$2,L$5)/Get_Margin(L$3,L$2,L$5,L$1)),0),ROUNDUP((Client_Margin($C12)*Alloted(L$3,L$2,L$5)/Get_Margin(L$3,L$2,L$5,L$1)),0)),"-")</f>
        <v>51</v>
      </c>
      <c r="M12" s="14" cm="1">
        <f t="array" ref="M12">IFERROR(IF(ROUNDUP((Client_Margin($C12)*Alloted(M$3,M$2,M$5)/Get_Margin(M$3,M$2,M$5,M$1)),0)*Get_Margin(M$3,M$2,M$5,M$1)&gt;((Client_Margin($C12)*Alloted(M$3,M$2,M$5)/Get_Margin(M$3,M$2,M$5,M$1))*Get_Margin(M$3,M$2,M$5,M$1))*$D$3,ROUNDDOWN((Client_Margin($C12)*Alloted(M$3,M$2,M$5)/Get_Margin(M$3,M$2,M$5,M$1)),0),ROUNDUP((Client_Margin($C12)*Alloted(M$3,M$2,M$5)/Get_Margin(M$3,M$2,M$5,M$1)),0)),"-")</f>
        <v>0</v>
      </c>
      <c r="N12" s="14" cm="1">
        <f t="array" ref="N12">IFERROR(IF(ROUNDUP((Client_Margin($C12)*Alloted(N$3,N$2,N$5)/Get_Margin(N$3,N$2,N$5,N$1)),0)*Get_Margin(N$3,N$2,N$5,N$1)&gt;((Client_Margin($C12)*Alloted(N$3,N$2,N$5)/Get_Margin(N$3,N$2,N$5,N$1))*Get_Margin(N$3,N$2,N$5,N$1))*$D$3,ROUNDDOWN((Client_Margin($C12)*Alloted(N$3,N$2,N$5)/Get_Margin(N$3,N$2,N$5,N$1)),0),ROUNDUP((Client_Margin($C12)*Alloted(N$3,N$2,N$5)/Get_Margin(N$3,N$2,N$5,N$1)),0)),"-")</f>
        <v>0</v>
      </c>
      <c r="O12" s="14" cm="1">
        <f t="array" ref="O12">IFERROR(IF(ROUNDUP((Client_Margin($C12)*Alloted(O$3,O$2,O$5)/Get_Margin(O$3,O$2,O$5,O$1)),0)*Get_Margin(O$3,O$2,O$5,O$1)&gt;((Client_Margin($C12)*Alloted(O$3,O$2,O$5)/Get_Margin(O$3,O$2,O$5,O$1))*Get_Margin(O$3,O$2,O$5,O$1))*$D$3,ROUNDDOWN((Client_Margin($C12)*Alloted(O$3,O$2,O$5)/Get_Margin(O$3,O$2,O$5,O$1)),0),ROUNDUP((Client_Margin($C12)*Alloted(O$3,O$2,O$5)/Get_Margin(O$3,O$2,O$5,O$1)),0)),"-")</f>
        <v>0</v>
      </c>
      <c r="P12" s="14" cm="1">
        <f t="array" ref="P12">IFERROR(IF(ROUNDUP((Client_Margin($C12)*Alloted(P$3,P$2,P$5)/Get_Margin(P$3,P$2,P$5,P$1)),0)*Get_Margin(P$3,P$2,P$5,P$1)&gt;((Client_Margin($C12)*Alloted(P$3,P$2,P$5)/Get_Margin(P$3,P$2,P$5,P$1))*Get_Margin(P$3,P$2,P$5,P$1))*$D$3,ROUNDDOWN((Client_Margin($C12)*Alloted(P$3,P$2,P$5)/Get_Margin(P$3,P$2,P$5,P$1)),0),ROUNDUP((Client_Margin($C12)*Alloted(P$3,P$2,P$5)/Get_Margin(P$3,P$2,P$5,P$1)),0)),"-")</f>
        <v>0</v>
      </c>
      <c r="Q12" s="14" cm="1">
        <f t="array" ref="Q12">IFERROR(IF(ROUNDUP((Client_Margin($C12)*Alloted(Q$3,Q$2,Q$5)/Get_Margin(Q$3,Q$2,Q$5,Q$1)),0)*Get_Margin(Q$3,Q$2,Q$5,Q$1)&gt;((Client_Margin($C12)*Alloted(Q$3,Q$2,Q$5)/Get_Margin(Q$3,Q$2,Q$5,Q$1))*Get_Margin(Q$3,Q$2,Q$5,Q$1))*$D$3,ROUNDDOWN((Client_Margin($C12)*Alloted(Q$3,Q$2,Q$5)/Get_Margin(Q$3,Q$2,Q$5,Q$1)),0),ROUNDUP((Client_Margin($C12)*Alloted(Q$3,Q$2,Q$5)/Get_Margin(Q$3,Q$2,Q$5,Q$1)),0)),"-")</f>
        <v>0</v>
      </c>
    </row>
    <row r="13" spans="1:23" hidden="1" x14ac:dyDescent="0.25">
      <c r="A13">
        <f>_xlfn.XLOOKUP(C13,'OI QTY'!$O$5:$O$21,'OI QTY'!$N$5:$N$21,"")</f>
        <v>0</v>
      </c>
      <c r="B13">
        <f>IF(C13="",0,1)</f>
        <v>0</v>
      </c>
      <c r="C13" s="14"/>
      <c r="D13" s="14"/>
      <c r="E13" s="15">
        <f>SUM(F13:Q13)</f>
        <v>0.83805714285714283</v>
      </c>
      <c r="F13" s="15" t="str" cm="1">
        <f t="array" ref="F13">IFERROR((_xlfn._xlws.FILTER(INDEX(Margin[],0,MATCH(F$1&amp;"_"&amp;F$3,Margin[#Headers],0)),(Margin[Index]=F$2)*(Margin[Strategy]=F$5))*F12)/Client_Margin($C12),"-")</f>
        <v>-</v>
      </c>
      <c r="G13" s="15" t="str" cm="1">
        <f t="array" ref="G13">IFERROR((_xlfn._xlws.FILTER(INDEX(Margin[],0,MATCH(G$1&amp;"_"&amp;G$3,Margin[#Headers],0)),(Margin[Index]=G$2)*(Margin[Strategy]=G$5))*G12)/Client_Margin($C12),"-")</f>
        <v>-</v>
      </c>
      <c r="H13" s="15" cm="1">
        <f t="array" ref="H13">IFERROR((_xlfn._xlws.FILTER(INDEX(Margin[],0,MATCH(H$1&amp;"_"&amp;H$3,Margin[#Headers],0)),(Margin[Index]=H$2)*(Margin[Strategy]=H$5))*H12)/Client_Margin($C12),"-")</f>
        <v>0.10937142857142858</v>
      </c>
      <c r="I13" s="15" cm="1">
        <f t="array" ref="I13">IFERROR((_xlfn._xlws.FILTER(INDEX(Margin[],0,MATCH(I$1&amp;"_"&amp;I$3,Margin[#Headers],0)),(Margin[Index]=I$2)*(Margin[Strategy]=I$5))*I12)/Client_Margin($C12),"-")</f>
        <v>0.10697142857142856</v>
      </c>
      <c r="J13" s="15" cm="1">
        <f t="array" ref="J13">IFERROR((_xlfn._xlws.FILTER(INDEX(Margin[],0,MATCH(J$1&amp;"_"&amp;J$3,Margin[#Headers],0)),(Margin[Index]=J$2)*(Margin[Strategy]=J$5))*J12)/Client_Margin($C12),"-")</f>
        <v>0.11428571428571428</v>
      </c>
      <c r="K13" s="15" cm="1">
        <f t="array" ref="K13">IFERROR((_xlfn._xlws.FILTER(INDEX(Margin[],0,MATCH(K$1&amp;"_"&amp;K$3,Margin[#Headers],0)),(Margin[Index]=K$2)*(Margin[Strategy]=K$5))*K12)/Client_Margin($C12),"-")</f>
        <v>0.10307142857142858</v>
      </c>
      <c r="L13" s="15" cm="1">
        <f t="array" ref="L13">IFERROR((_xlfn._xlws.FILTER(INDEX(Margin[],0,MATCH(L$1&amp;"_"&amp;L$3,Margin[#Headers],0)),(Margin[Index]=L$2)*(Margin[Strategy]=L$5))*L12)/Client_Margin($C12),"-")</f>
        <v>0.40435714285714286</v>
      </c>
      <c r="M13" s="15" cm="1">
        <f t="array" ref="M13">IFERROR((_xlfn._xlws.FILTER(INDEX(Margin[],0,MATCH(M$1&amp;"_"&amp;M$3,Margin[#Headers],0)),(Margin[Index]=M$2)*(Margin[Strategy]=M$5))*M12)/Client_Margin($C12),"-")</f>
        <v>0</v>
      </c>
      <c r="N13" s="15" cm="1">
        <f t="array" ref="N13">IFERROR((_xlfn._xlws.FILTER(INDEX(Margin[],0,MATCH(N$1&amp;"_"&amp;N$3,Margin[#Headers],0)),(Margin[Index]=N$2)*(Margin[Strategy]=N$5))*N12)/Client_Margin($C12),"-")</f>
        <v>0</v>
      </c>
      <c r="O13" s="15" cm="1">
        <f t="array" ref="O13">IFERROR((_xlfn._xlws.FILTER(INDEX(Margin[],0,MATCH(O$1&amp;"_"&amp;O$3,Margin[#Headers],0)),(Margin[Index]=O$2)*(Margin[Strategy]=O$5))*O12)/Client_Margin($C12),"-")</f>
        <v>0</v>
      </c>
      <c r="P13" s="15" cm="1">
        <f t="array" ref="P13">IFERROR((_xlfn._xlws.FILTER(INDEX(Margin[],0,MATCH(P$1&amp;"_"&amp;P$3,Margin[#Headers],0)),(Margin[Index]=P$2)*(Margin[Strategy]=P$5))*P12)/Client_Margin($C12),"-")</f>
        <v>0</v>
      </c>
      <c r="Q13" s="15" cm="1">
        <f t="array" ref="Q13">IFERROR((_xlfn._xlws.FILTER(INDEX(Margin[],0,MATCH(Q$1&amp;"_"&amp;Q$3,Margin[#Headers],0)),(Margin[Index]=Q$2)*(Margin[Strategy]=Q$5))*Q12)/Client_Margin($C12),"-")</f>
        <v>0</v>
      </c>
    </row>
    <row r="14" spans="1:23" x14ac:dyDescent="0.25">
      <c r="A14" t="str">
        <f>_xlfn.XLOOKUP(C14,'OI QTY'!$O$5:$O$21,'OI QTY'!$N$5:$N$21,"")</f>
        <v>M</v>
      </c>
      <c r="B14">
        <f t="shared" ref="B14:B15" si="1">IF(C14="",0,1)</f>
        <v>1</v>
      </c>
      <c r="C14" s="14" t="s">
        <v>123</v>
      </c>
      <c r="D14" s="14" cm="1">
        <f t="array" ref="D14">(_xlfn._xlws.FILTER(Fund[Margin],Fund[Client Id]=C14))/10000000</f>
        <v>4</v>
      </c>
      <c r="E14" s="17"/>
      <c r="F14" s="14" t="str" cm="1">
        <f t="array" ref="F14">IFERROR(IF(ROUNDUP((Client_Margin($C14)*Alloted(F$3,F$2,F$5)/Get_Margin(F$3,F$2,F$5,F$1)),0)*Get_Margin(F$3,F$2,F$5,F$1)&gt;((Client_Margin($C14)*Alloted(F$3,F$2,F$5)/Get_Margin(F$3,F$2,F$5,F$1))*Get_Margin(F$3,F$2,F$5,F$1))*$D$3,ROUNDDOWN((Client_Margin($C14)*Alloted(F$3,F$2,F$5)/Get_Margin(F$3,F$2,F$5,F$1)),0),ROUNDUP((Client_Margin($C14)*Alloted(F$3,F$2,F$5)/Get_Margin(F$3,F$2,F$5,F$1)),0)),"-")</f>
        <v>-</v>
      </c>
      <c r="G14" s="14" t="str" cm="1">
        <f t="array" ref="G14">IFERROR(IF(ROUNDUP((Client_Margin($C14)*Alloted(G$3,G$2,G$5)/Get_Margin(G$3,G$2,G$5,G$1)),0)*Get_Margin(G$3,G$2,G$5,G$1)&gt;((Client_Margin($C14)*Alloted(G$3,G$2,G$5)/Get_Margin(G$3,G$2,G$5,G$1))*Get_Margin(G$3,G$2,G$5,G$1))*$D$3,ROUNDDOWN((Client_Margin($C14)*Alloted(G$3,G$2,G$5)/Get_Margin(G$3,G$2,G$5,G$1)),0),ROUNDUP((Client_Margin($C14)*Alloted(G$3,G$2,G$5)/Get_Margin(G$3,G$2,G$5,G$1)),0)),"-")</f>
        <v>-</v>
      </c>
      <c r="H14" s="14" cm="1">
        <f t="array" ref="H14">IFERROR(IF(ROUNDUP((Client_Margin($C14)*Alloted(H$3,H$2,H$5)/Get_Margin(H$3,H$2,H$5,H$1)),0)*Get_Margin(H$3,H$2,H$5,H$1)&gt;((Client_Margin($C14)*Alloted(H$3,H$2,H$5)/Get_Margin(H$3,H$2,H$5,H$1))*Get_Margin(H$3,H$2,H$5,H$1))*$D$3,ROUNDDOWN((Client_Margin($C14)*Alloted(H$3,H$2,H$5)/Get_Margin(H$3,H$2,H$5,H$1)),0),ROUNDUP((Client_Margin($C14)*Alloted(H$3,H$2,H$5)/Get_Margin(H$3,H$2,H$5,H$1)),0)),"-")</f>
        <v>6</v>
      </c>
      <c r="I14" s="14" cm="1">
        <f t="array" ref="I14">IFERROR(IF(ROUNDUP((Client_Margin($C14)*Alloted(I$3,I$2,I$5)/Get_Margin(I$3,I$2,I$5,I$1)),0)*Get_Margin(I$3,I$2,I$5,I$1)&gt;((Client_Margin($C14)*Alloted(I$3,I$2,I$5)/Get_Margin(I$3,I$2,I$5,I$1))*Get_Margin(I$3,I$2,I$5,I$1))*$D$3,ROUNDDOWN((Client_Margin($C14)*Alloted(I$3,I$2,I$5)/Get_Margin(I$3,I$2,I$5,I$1)),0),ROUNDUP((Client_Margin($C14)*Alloted(I$3,I$2,I$5)/Get_Margin(I$3,I$2,I$5,I$1)),0)),"-")</f>
        <v>2</v>
      </c>
      <c r="J14" s="14" cm="1">
        <f t="array" ref="J14">IFERROR(IF(ROUNDUP((Client_Margin($C14)*Alloted(J$3,J$2,J$5)/Get_Margin(J$3,J$2,J$5,J$1)),0)*Get_Margin(J$3,J$2,J$5,J$1)&gt;((Client_Margin($C14)*Alloted(J$3,J$2,J$5)/Get_Margin(J$3,J$2,J$5,J$1))*Get_Margin(J$3,J$2,J$5,J$1))*$D$3,ROUNDDOWN((Client_Margin($C14)*Alloted(J$3,J$2,J$5)/Get_Margin(J$3,J$2,J$5,J$1)),0),ROUNDUP((Client_Margin($C14)*Alloted(J$3,J$2,J$5)/Get_Margin(J$3,J$2,J$5,J$1)),0)),"-")</f>
        <v>2</v>
      </c>
      <c r="K14" s="14" cm="1">
        <f t="array" ref="K14">IFERROR(IF(ROUNDUP((Client_Margin($C14)*Alloted(K$3,K$2,K$5)/Get_Margin(K$3,K$2,K$5,K$1)),0)*Get_Margin(K$3,K$2,K$5,K$1)&gt;((Client_Margin($C14)*Alloted(K$3,K$2,K$5)/Get_Margin(K$3,K$2,K$5,K$1))*Get_Margin(K$3,K$2,K$5,K$1))*$D$3,ROUNDDOWN((Client_Margin($C14)*Alloted(K$3,K$2,K$5)/Get_Margin(K$3,K$2,K$5,K$1)),0),ROUNDUP((Client_Margin($C14)*Alloted(K$3,K$2,K$5)/Get_Margin(K$3,K$2,K$5,K$1)),0)),"-")</f>
        <v>8</v>
      </c>
      <c r="L14" s="14" cm="1">
        <f t="array" ref="L14">IFERROR(IF(ROUNDUP((Client_Margin($C14)*Alloted(L$3,L$2,L$5)/Get_Margin(L$3,L$2,L$5,L$1)),0)*Get_Margin(L$3,L$2,L$5,L$1)&gt;((Client_Margin($C14)*Alloted(L$3,L$2,L$5)/Get_Margin(L$3,L$2,L$5,L$1))*Get_Margin(L$3,L$2,L$5,L$1))*$D$3,ROUNDDOWN((Client_Margin($C14)*Alloted(L$3,L$2,L$5)/Get_Margin(L$3,L$2,L$5,L$1)),0),ROUNDUP((Client_Margin($C14)*Alloted(L$3,L$2,L$5)/Get_Margin(L$3,L$2,L$5,L$1)),0)),"-")</f>
        <v>29</v>
      </c>
      <c r="M14" s="14" cm="1">
        <f t="array" ref="M14">IFERROR(IF(ROUNDUP((Client_Margin($C14)*Alloted(M$3,M$2,M$5)/Get_Margin(M$3,M$2,M$5,M$1)),0)*Get_Margin(M$3,M$2,M$5,M$1)&gt;((Client_Margin($C14)*Alloted(M$3,M$2,M$5)/Get_Margin(M$3,M$2,M$5,M$1))*Get_Margin(M$3,M$2,M$5,M$1))*$D$3,ROUNDDOWN((Client_Margin($C14)*Alloted(M$3,M$2,M$5)/Get_Margin(M$3,M$2,M$5,M$1)),0),ROUNDUP((Client_Margin($C14)*Alloted(M$3,M$2,M$5)/Get_Margin(M$3,M$2,M$5,M$1)),0)),"-")</f>
        <v>0</v>
      </c>
      <c r="N14" s="14" cm="1">
        <f t="array" ref="N14">IFERROR(IF(ROUNDUP((Client_Margin($C14)*Alloted(N$3,N$2,N$5)/Get_Margin(N$3,N$2,N$5,N$1)),0)*Get_Margin(N$3,N$2,N$5,N$1)&gt;((Client_Margin($C14)*Alloted(N$3,N$2,N$5)/Get_Margin(N$3,N$2,N$5,N$1))*Get_Margin(N$3,N$2,N$5,N$1))*$D$3,ROUNDDOWN((Client_Margin($C14)*Alloted(N$3,N$2,N$5)/Get_Margin(N$3,N$2,N$5,N$1)),0),ROUNDUP((Client_Margin($C14)*Alloted(N$3,N$2,N$5)/Get_Margin(N$3,N$2,N$5,N$1)),0)),"-")</f>
        <v>0</v>
      </c>
      <c r="O14" s="14" cm="1">
        <f t="array" ref="O14">IFERROR(IF(ROUNDUP((Client_Margin($C14)*Alloted(O$3,O$2,O$5)/Get_Margin(O$3,O$2,O$5,O$1)),0)*Get_Margin(O$3,O$2,O$5,O$1)&gt;((Client_Margin($C14)*Alloted(O$3,O$2,O$5)/Get_Margin(O$3,O$2,O$5,O$1))*Get_Margin(O$3,O$2,O$5,O$1))*$D$3,ROUNDDOWN((Client_Margin($C14)*Alloted(O$3,O$2,O$5)/Get_Margin(O$3,O$2,O$5,O$1)),0),ROUNDUP((Client_Margin($C14)*Alloted(O$3,O$2,O$5)/Get_Margin(O$3,O$2,O$5,O$1)),0)),"-")</f>
        <v>0</v>
      </c>
      <c r="P14" s="14" cm="1">
        <f t="array" ref="P14">IFERROR(IF(ROUNDUP((Client_Margin($C14)*Alloted(P$3,P$2,P$5)/Get_Margin(P$3,P$2,P$5,P$1)),0)*Get_Margin(P$3,P$2,P$5,P$1)&gt;((Client_Margin($C14)*Alloted(P$3,P$2,P$5)/Get_Margin(P$3,P$2,P$5,P$1))*Get_Margin(P$3,P$2,P$5,P$1))*$D$3,ROUNDDOWN((Client_Margin($C14)*Alloted(P$3,P$2,P$5)/Get_Margin(P$3,P$2,P$5,P$1)),0),ROUNDUP((Client_Margin($C14)*Alloted(P$3,P$2,P$5)/Get_Margin(P$3,P$2,P$5,P$1)),0)),"-")</f>
        <v>0</v>
      </c>
      <c r="Q14" s="14" cm="1">
        <f t="array" ref="Q14">IFERROR(IF(ROUNDUP((Client_Margin($C14)*Alloted(Q$3,Q$2,Q$5)/Get_Margin(Q$3,Q$2,Q$5,Q$1)),0)*Get_Margin(Q$3,Q$2,Q$5,Q$1)&gt;((Client_Margin($C14)*Alloted(Q$3,Q$2,Q$5)/Get_Margin(Q$3,Q$2,Q$5,Q$1))*Get_Margin(Q$3,Q$2,Q$5,Q$1))*$D$3,ROUNDDOWN((Client_Margin($C14)*Alloted(Q$3,Q$2,Q$5)/Get_Margin(Q$3,Q$2,Q$5,Q$1)),0),ROUNDUP((Client_Margin($C14)*Alloted(Q$3,Q$2,Q$5)/Get_Margin(Q$3,Q$2,Q$5,Q$1)),0)),"-")</f>
        <v>0</v>
      </c>
    </row>
    <row r="15" spans="1:23" hidden="1" x14ac:dyDescent="0.25">
      <c r="A15">
        <f>_xlfn.XLOOKUP(C15,'OI QTY'!$O$5:$O$21,'OI QTY'!$N$5:$N$21,"")</f>
        <v>0</v>
      </c>
      <c r="B15">
        <f t="shared" si="1"/>
        <v>0</v>
      </c>
      <c r="C15" s="14"/>
      <c r="D15" s="14"/>
      <c r="E15" s="15">
        <f>SUM(F15:Q15)</f>
        <v>0.79137499999999994</v>
      </c>
      <c r="F15" s="15" t="str" cm="1">
        <f t="array" ref="F15">IFERROR((_xlfn._xlws.FILTER(INDEX(Margin[],0,MATCH(F$1&amp;"_"&amp;F$3,Margin[#Headers],0)),(Margin[Index]=F$2)*(Margin[Strategy]=F$5))*F14)/Client_Margin($C14),"-")</f>
        <v>-</v>
      </c>
      <c r="G15" s="15" t="str" cm="1">
        <f t="array" ref="G15">IFERROR((_xlfn._xlws.FILTER(INDEX(Margin[],0,MATCH(G$1&amp;"_"&amp;G$3,Margin[#Headers],0)),(Margin[Index]=G$2)*(Margin[Strategy]=G$5))*G14)/Client_Margin($C14),"-")</f>
        <v>-</v>
      </c>
      <c r="H15" s="15" cm="1">
        <f t="array" ref="H15">IFERROR((_xlfn._xlws.FILTER(INDEX(Margin[],0,MATCH(H$1&amp;"_"&amp;H$3,Margin[#Headers],0)),(Margin[Index]=H$2)*(Margin[Strategy]=H$5))*H14)/Client_Margin($C14),"-")</f>
        <v>0.10440000000000001</v>
      </c>
      <c r="I15" s="15" cm="1">
        <f t="array" ref="I15">IFERROR((_xlfn._xlws.FILTER(INDEX(Margin[],0,MATCH(I$1&amp;"_"&amp;I$3,Margin[#Headers],0)),(Margin[Index]=I$2)*(Margin[Strategy]=I$5))*I14)/Client_Margin($C14),"-")</f>
        <v>9.3600000000000003E-2</v>
      </c>
      <c r="J15" s="15" cm="1">
        <f t="array" ref="J15">IFERROR((_xlfn._xlws.FILTER(INDEX(Margin[],0,MATCH(J$1&amp;"_"&amp;J$3,Margin[#Headers],0)),(Margin[Index]=J$2)*(Margin[Strategy]=J$5))*J14)/Client_Margin($C14),"-")</f>
        <v>0.08</v>
      </c>
      <c r="K15" s="15" cm="1">
        <f t="array" ref="K15">IFERROR((_xlfn._xlws.FILTER(INDEX(Margin[],0,MATCH(K$1&amp;"_"&amp;K$3,Margin[#Headers],0)),(Margin[Index]=K$2)*(Margin[Strategy]=K$5))*K14)/Client_Margin($C14),"-")</f>
        <v>0.111</v>
      </c>
      <c r="L15" s="15" cm="1">
        <f t="array" ref="L15">IFERROR((_xlfn._xlws.FILTER(INDEX(Margin[],0,MATCH(L$1&amp;"_"&amp;L$3,Margin[#Headers],0)),(Margin[Index]=L$2)*(Margin[Strategy]=L$5))*L14)/Client_Margin($C14),"-")</f>
        <v>0.40237499999999998</v>
      </c>
      <c r="M15" s="15" cm="1">
        <f t="array" ref="M15">IFERROR((_xlfn._xlws.FILTER(INDEX(Margin[],0,MATCH(M$1&amp;"_"&amp;M$3,Margin[#Headers],0)),(Margin[Index]=M$2)*(Margin[Strategy]=M$5))*M14)/Client_Margin($C14),"-")</f>
        <v>0</v>
      </c>
      <c r="N15" s="15" cm="1">
        <f t="array" ref="N15">IFERROR((_xlfn._xlws.FILTER(INDEX(Margin[],0,MATCH(N$1&amp;"_"&amp;N$3,Margin[#Headers],0)),(Margin[Index]=N$2)*(Margin[Strategy]=N$5))*N14)/Client_Margin($C14),"-")</f>
        <v>0</v>
      </c>
      <c r="O15" s="15" cm="1">
        <f t="array" ref="O15">IFERROR((_xlfn._xlws.FILTER(INDEX(Margin[],0,MATCH(O$1&amp;"_"&amp;O$3,Margin[#Headers],0)),(Margin[Index]=O$2)*(Margin[Strategy]=O$5))*O14)/Client_Margin($C14),"-")</f>
        <v>0</v>
      </c>
      <c r="P15" s="15" cm="1">
        <f t="array" ref="P15">IFERROR((_xlfn._xlws.FILTER(INDEX(Margin[],0,MATCH(P$1&amp;"_"&amp;P$3,Margin[#Headers],0)),(Margin[Index]=P$2)*(Margin[Strategy]=P$5))*P14)/Client_Margin($C14),"-")</f>
        <v>0</v>
      </c>
      <c r="Q15" s="15" cm="1">
        <f t="array" ref="Q15">IFERROR((_xlfn._xlws.FILTER(INDEX(Margin[],0,MATCH(Q$1&amp;"_"&amp;Q$3,Margin[#Headers],0)),(Margin[Index]=Q$2)*(Margin[Strategy]=Q$5))*Q14)/Client_Margin($C14),"-")</f>
        <v>0</v>
      </c>
    </row>
    <row r="16" spans="1:23" x14ac:dyDescent="0.25">
      <c r="A16" t="str">
        <f>_xlfn.XLOOKUP(C16,'OI QTY'!$O$5:$O$21,'OI QTY'!$N$5:$N$21,"")</f>
        <v>M</v>
      </c>
      <c r="B16">
        <f t="shared" ref="B16:B27" si="2">IF(C16="",0,1)</f>
        <v>1</v>
      </c>
      <c r="C16" s="14" t="s">
        <v>128</v>
      </c>
      <c r="D16" s="14" cm="1">
        <f t="array" ref="D16">(_xlfn._xlws.FILTER(Fund[Margin],Fund[Client Id]=C16))/10000000</f>
        <v>2</v>
      </c>
      <c r="E16" s="17"/>
      <c r="F16" s="14" t="str" cm="1">
        <f t="array" ref="F16">IFERROR(IF(ROUNDUP((Client_Margin($C16)*Alloted(F$3,F$2,F$5)/Get_Margin(F$3,F$2,F$5,F$1)),0)*Get_Margin(F$3,F$2,F$5,F$1)&gt;((Client_Margin($C16)*Alloted(F$3,F$2,F$5)/Get_Margin(F$3,F$2,F$5,F$1))*Get_Margin(F$3,F$2,F$5,F$1))*$D$3,ROUNDDOWN((Client_Margin($C16)*Alloted(F$3,F$2,F$5)/Get_Margin(F$3,F$2,F$5,F$1)),0),ROUNDUP((Client_Margin($C16)*Alloted(F$3,F$2,F$5)/Get_Margin(F$3,F$2,F$5,F$1)),0)),"-")</f>
        <v>-</v>
      </c>
      <c r="G16" s="14" t="str" cm="1">
        <f t="array" ref="G16">IFERROR(IF(ROUNDUP((Client_Margin($C16)*Alloted(G$3,G$2,G$5)/Get_Margin(G$3,G$2,G$5,G$1)),0)*Get_Margin(G$3,G$2,G$5,G$1)&gt;((Client_Margin($C16)*Alloted(G$3,G$2,G$5)/Get_Margin(G$3,G$2,G$5,G$1))*Get_Margin(G$3,G$2,G$5,G$1))*$D$3,ROUNDDOWN((Client_Margin($C16)*Alloted(G$3,G$2,G$5)/Get_Margin(G$3,G$2,G$5,G$1)),0),ROUNDUP((Client_Margin($C16)*Alloted(G$3,G$2,G$5)/Get_Margin(G$3,G$2,G$5,G$1)),0)),"-")</f>
        <v>-</v>
      </c>
      <c r="H16" s="14" cm="1">
        <f t="array" ref="H16">IFERROR(IF(ROUNDUP((Client_Margin($C16)*Alloted(H$3,H$2,H$5)/Get_Margin(H$3,H$2,H$5,H$1)),0)*Get_Margin(H$3,H$2,H$5,H$1)&gt;((Client_Margin($C16)*Alloted(H$3,H$2,H$5)/Get_Margin(H$3,H$2,H$5,H$1))*Get_Margin(H$3,H$2,H$5,H$1))*$D$3,ROUNDDOWN((Client_Margin($C16)*Alloted(H$3,H$2,H$5)/Get_Margin(H$3,H$2,H$5,H$1)),0),ROUNDUP((Client_Margin($C16)*Alloted(H$3,H$2,H$5)/Get_Margin(H$3,H$2,H$5,H$1)),0)),"-")</f>
        <v>3</v>
      </c>
      <c r="I16" s="14" cm="1">
        <f t="array" ref="I16">IFERROR(IF(ROUNDUP((Client_Margin($C16)*Alloted(I$3,I$2,I$5)/Get_Margin(I$3,I$2,I$5,I$1)),0)*Get_Margin(I$3,I$2,I$5,I$1)&gt;((Client_Margin($C16)*Alloted(I$3,I$2,I$5)/Get_Margin(I$3,I$2,I$5,I$1))*Get_Margin(I$3,I$2,I$5,I$1))*$D$3,ROUNDDOWN((Client_Margin($C16)*Alloted(I$3,I$2,I$5)/Get_Margin(I$3,I$2,I$5,I$1)),0),ROUNDUP((Client_Margin($C16)*Alloted(I$3,I$2,I$5)/Get_Margin(I$3,I$2,I$5,I$1)),0)),"-")</f>
        <v>1</v>
      </c>
      <c r="J16" s="14" cm="1">
        <f t="array" ref="J16">IFERROR(IF(ROUNDUP((Client_Margin($C16)*Alloted(J$3,J$2,J$5)/Get_Margin(J$3,J$2,J$5,J$1)),0)*Get_Margin(J$3,J$2,J$5,J$1)&gt;((Client_Margin($C16)*Alloted(J$3,J$2,J$5)/Get_Margin(J$3,J$2,J$5,J$1))*Get_Margin(J$3,J$2,J$5,J$1))*$D$3,ROUNDDOWN((Client_Margin($C16)*Alloted(J$3,J$2,J$5)/Get_Margin(J$3,J$2,J$5,J$1)),0),ROUNDUP((Client_Margin($C16)*Alloted(J$3,J$2,J$5)/Get_Margin(J$3,J$2,J$5,J$1)),0)),"-")</f>
        <v>1</v>
      </c>
      <c r="K16" s="14" cm="1">
        <f t="array" ref="K16">IFERROR(IF(ROUNDUP((Client_Margin($C16)*Alloted(K$3,K$2,K$5)/Get_Margin(K$3,K$2,K$5,K$1)),0)*Get_Margin(K$3,K$2,K$5,K$1)&gt;((Client_Margin($C16)*Alloted(K$3,K$2,K$5)/Get_Margin(K$3,K$2,K$5,K$1))*Get_Margin(K$3,K$2,K$5,K$1))*$D$3,ROUNDDOWN((Client_Margin($C16)*Alloted(K$3,K$2,K$5)/Get_Margin(K$3,K$2,K$5,K$1)),0),ROUNDUP((Client_Margin($C16)*Alloted(K$3,K$2,K$5)/Get_Margin(K$3,K$2,K$5,K$1)),0)),"-")</f>
        <v>4</v>
      </c>
      <c r="L16" s="14" cm="1">
        <f t="array" ref="L16">IFERROR(IF(ROUNDUP((Client_Margin($C16)*Alloted(L$3,L$2,L$5)/Get_Margin(L$3,L$2,L$5,L$1)),0)*Get_Margin(L$3,L$2,L$5,L$1)&gt;((Client_Margin($C16)*Alloted(L$3,L$2,L$5)/Get_Margin(L$3,L$2,L$5,L$1))*Get_Margin(L$3,L$2,L$5,L$1))*$D$3,ROUNDDOWN((Client_Margin($C16)*Alloted(L$3,L$2,L$5)/Get_Margin(L$3,L$2,L$5,L$1)),0),ROUNDUP((Client_Margin($C16)*Alloted(L$3,L$2,L$5)/Get_Margin(L$3,L$2,L$5,L$1)),0)),"-")</f>
        <v>15</v>
      </c>
      <c r="M16" s="14" cm="1">
        <f t="array" ref="M16">IFERROR(IF(ROUNDUP((Client_Margin($C16)*Alloted(M$3,M$2,M$5)/Get_Margin(M$3,M$2,M$5,M$1)),0)*Get_Margin(M$3,M$2,M$5,M$1)&gt;((Client_Margin($C16)*Alloted(M$3,M$2,M$5)/Get_Margin(M$3,M$2,M$5,M$1))*Get_Margin(M$3,M$2,M$5,M$1))*$D$3,ROUNDDOWN((Client_Margin($C16)*Alloted(M$3,M$2,M$5)/Get_Margin(M$3,M$2,M$5,M$1)),0),ROUNDUP((Client_Margin($C16)*Alloted(M$3,M$2,M$5)/Get_Margin(M$3,M$2,M$5,M$1)),0)),"-")</f>
        <v>0</v>
      </c>
      <c r="N16" s="14" cm="1">
        <f t="array" ref="N16">IFERROR(IF(ROUNDUP((Client_Margin($C16)*Alloted(N$3,N$2,N$5)/Get_Margin(N$3,N$2,N$5,N$1)),0)*Get_Margin(N$3,N$2,N$5,N$1)&gt;((Client_Margin($C16)*Alloted(N$3,N$2,N$5)/Get_Margin(N$3,N$2,N$5,N$1))*Get_Margin(N$3,N$2,N$5,N$1))*$D$3,ROUNDDOWN((Client_Margin($C16)*Alloted(N$3,N$2,N$5)/Get_Margin(N$3,N$2,N$5,N$1)),0),ROUNDUP((Client_Margin($C16)*Alloted(N$3,N$2,N$5)/Get_Margin(N$3,N$2,N$5,N$1)),0)),"-")</f>
        <v>0</v>
      </c>
      <c r="O16" s="14" cm="1">
        <f t="array" ref="O16">IFERROR(IF(ROUNDUP((Client_Margin($C16)*Alloted(O$3,O$2,O$5)/Get_Margin(O$3,O$2,O$5,O$1)),0)*Get_Margin(O$3,O$2,O$5,O$1)&gt;((Client_Margin($C16)*Alloted(O$3,O$2,O$5)/Get_Margin(O$3,O$2,O$5,O$1))*Get_Margin(O$3,O$2,O$5,O$1))*$D$3,ROUNDDOWN((Client_Margin($C16)*Alloted(O$3,O$2,O$5)/Get_Margin(O$3,O$2,O$5,O$1)),0),ROUNDUP((Client_Margin($C16)*Alloted(O$3,O$2,O$5)/Get_Margin(O$3,O$2,O$5,O$1)),0)),"-")</f>
        <v>0</v>
      </c>
      <c r="P16" s="14" cm="1">
        <f t="array" ref="P16">IFERROR(IF(ROUNDUP((Client_Margin($C16)*Alloted(P$3,P$2,P$5)/Get_Margin(P$3,P$2,P$5,P$1)),0)*Get_Margin(P$3,P$2,P$5,P$1)&gt;((Client_Margin($C16)*Alloted(P$3,P$2,P$5)/Get_Margin(P$3,P$2,P$5,P$1))*Get_Margin(P$3,P$2,P$5,P$1))*$D$3,ROUNDDOWN((Client_Margin($C16)*Alloted(P$3,P$2,P$5)/Get_Margin(P$3,P$2,P$5,P$1)),0),ROUNDUP((Client_Margin($C16)*Alloted(P$3,P$2,P$5)/Get_Margin(P$3,P$2,P$5,P$1)),0)),"-")</f>
        <v>0</v>
      </c>
      <c r="Q16" s="14" cm="1">
        <f t="array" ref="Q16">IFERROR(IF(ROUNDUP((Client_Margin($C16)*Alloted(Q$3,Q$2,Q$5)/Get_Margin(Q$3,Q$2,Q$5,Q$1)),0)*Get_Margin(Q$3,Q$2,Q$5,Q$1)&gt;((Client_Margin($C16)*Alloted(Q$3,Q$2,Q$5)/Get_Margin(Q$3,Q$2,Q$5,Q$1))*Get_Margin(Q$3,Q$2,Q$5,Q$1))*$D$3,ROUNDDOWN((Client_Margin($C16)*Alloted(Q$3,Q$2,Q$5)/Get_Margin(Q$3,Q$2,Q$5,Q$1)),0),ROUNDUP((Client_Margin($C16)*Alloted(Q$3,Q$2,Q$5)/Get_Margin(Q$3,Q$2,Q$5,Q$1)),0)),"-")</f>
        <v>0</v>
      </c>
    </row>
    <row r="17" spans="1:17" hidden="1" x14ac:dyDescent="0.25">
      <c r="A17">
        <f>_xlfn.XLOOKUP(C17,'OI QTY'!$O$5:$O$21,'OI QTY'!$N$5:$N$21,"")</f>
        <v>0</v>
      </c>
      <c r="B17">
        <f t="shared" si="2"/>
        <v>0</v>
      </c>
      <c r="C17" s="14"/>
      <c r="D17" s="14"/>
      <c r="E17" s="15">
        <f>SUM(F17:Q17)</f>
        <v>0.80525000000000002</v>
      </c>
      <c r="F17" s="15" t="str" cm="1">
        <f t="array" ref="F17">IFERROR((_xlfn._xlws.FILTER(INDEX(Margin[],0,MATCH(F$1&amp;"_"&amp;F$3,Margin[#Headers],0)),(Margin[Index]=F$2)*(Margin[Strategy]=F$5))*F16)/Client_Margin($C16),"-")</f>
        <v>-</v>
      </c>
      <c r="G17" s="15" t="str" cm="1">
        <f t="array" ref="G17">IFERROR((_xlfn._xlws.FILTER(INDEX(Margin[],0,MATCH(G$1&amp;"_"&amp;G$3,Margin[#Headers],0)),(Margin[Index]=G$2)*(Margin[Strategy]=G$5))*G16)/Client_Margin($C16),"-")</f>
        <v>-</v>
      </c>
      <c r="H17" s="15" cm="1">
        <f t="array" ref="H17">IFERROR((_xlfn._xlws.FILTER(INDEX(Margin[],0,MATCH(H$1&amp;"_"&amp;H$3,Margin[#Headers],0)),(Margin[Index]=H$2)*(Margin[Strategy]=H$5))*H16)/Client_Margin($C16),"-")</f>
        <v>0.10440000000000001</v>
      </c>
      <c r="I17" s="15" cm="1">
        <f t="array" ref="I17">IFERROR((_xlfn._xlws.FILTER(INDEX(Margin[],0,MATCH(I$1&amp;"_"&amp;I$3,Margin[#Headers],0)),(Margin[Index]=I$2)*(Margin[Strategy]=I$5))*I16)/Client_Margin($C16),"-")</f>
        <v>9.3600000000000003E-2</v>
      </c>
      <c r="J17" s="15" cm="1">
        <f t="array" ref="J17">IFERROR((_xlfn._xlws.FILTER(INDEX(Margin[],0,MATCH(J$1&amp;"_"&amp;J$3,Margin[#Headers],0)),(Margin[Index]=J$2)*(Margin[Strategy]=J$5))*J16)/Client_Margin($C16),"-")</f>
        <v>0.08</v>
      </c>
      <c r="K17" s="15" cm="1">
        <f t="array" ref="K17">IFERROR((_xlfn._xlws.FILTER(INDEX(Margin[],0,MATCH(K$1&amp;"_"&amp;K$3,Margin[#Headers],0)),(Margin[Index]=K$2)*(Margin[Strategy]=K$5))*K16)/Client_Margin($C16),"-")</f>
        <v>0.111</v>
      </c>
      <c r="L17" s="15" cm="1">
        <f t="array" ref="L17">IFERROR((_xlfn._xlws.FILTER(INDEX(Margin[],0,MATCH(L$1&amp;"_"&amp;L$3,Margin[#Headers],0)),(Margin[Index]=L$2)*(Margin[Strategy]=L$5))*L16)/Client_Margin($C16),"-")</f>
        <v>0.41625000000000001</v>
      </c>
      <c r="M17" s="15" cm="1">
        <f t="array" ref="M17">IFERROR((_xlfn._xlws.FILTER(INDEX(Margin[],0,MATCH(M$1&amp;"_"&amp;M$3,Margin[#Headers],0)),(Margin[Index]=M$2)*(Margin[Strategy]=M$5))*M16)/Client_Margin($C16),"-")</f>
        <v>0</v>
      </c>
      <c r="N17" s="15" cm="1">
        <f t="array" ref="N17">IFERROR((_xlfn._xlws.FILTER(INDEX(Margin[],0,MATCH(N$1&amp;"_"&amp;N$3,Margin[#Headers],0)),(Margin[Index]=N$2)*(Margin[Strategy]=N$5))*N16)/Client_Margin($C16),"-")</f>
        <v>0</v>
      </c>
      <c r="O17" s="15" cm="1">
        <f t="array" ref="O17">IFERROR((_xlfn._xlws.FILTER(INDEX(Margin[],0,MATCH(O$1&amp;"_"&amp;O$3,Margin[#Headers],0)),(Margin[Index]=O$2)*(Margin[Strategy]=O$5))*O16)/Client_Margin($C16),"-")</f>
        <v>0</v>
      </c>
      <c r="P17" s="15" cm="1">
        <f t="array" ref="P17">IFERROR((_xlfn._xlws.FILTER(INDEX(Margin[],0,MATCH(P$1&amp;"_"&amp;P$3,Margin[#Headers],0)),(Margin[Index]=P$2)*(Margin[Strategy]=P$5))*P16)/Client_Margin($C16),"-")</f>
        <v>0</v>
      </c>
      <c r="Q17" s="15" cm="1">
        <f t="array" ref="Q17">IFERROR((_xlfn._xlws.FILTER(INDEX(Margin[],0,MATCH(Q$1&amp;"_"&amp;Q$3,Margin[#Headers],0)),(Margin[Index]=Q$2)*(Margin[Strategy]=Q$5))*Q16)/Client_Margin($C16),"-")</f>
        <v>0</v>
      </c>
    </row>
    <row r="18" spans="1:17" hidden="1" x14ac:dyDescent="0.25">
      <c r="A18" t="str">
        <f>_xlfn.XLOOKUP(C18,'OI QTY'!$O$5:$O$21,'OI QTY'!$N$5:$N$21,"")</f>
        <v/>
      </c>
      <c r="B18">
        <f t="shared" si="2"/>
        <v>1</v>
      </c>
      <c r="C18" s="14" t="s">
        <v>34</v>
      </c>
      <c r="D18" s="14" cm="1">
        <f t="array" ref="D18">(_xlfn._xlws.FILTER(Fund[Margin],Fund[Client Id]=C18))/10000000</f>
        <v>5.0999999999999996</v>
      </c>
      <c r="E18" s="17"/>
      <c r="F18" s="14" t="str" cm="1">
        <f t="array" ref="F18">IFERROR(IF(ROUNDUP((Client_Margin($C18)*Alloted(F$3,F$2,F$5)/Get_Margin(F$3,F$2,F$5,F$1)),0)*Get_Margin(F$3,F$2,F$5,F$1)&gt;((Client_Margin($C18)*Alloted(F$3,F$2,F$5)/Get_Margin(F$3,F$2,F$5,F$1))*Get_Margin(F$3,F$2,F$5,F$1))*$D$3,ROUNDDOWN((Client_Margin($C18)*Alloted(F$3,F$2,F$5)/Get_Margin(F$3,F$2,F$5,F$1)),0),ROUNDUP((Client_Margin($C18)*Alloted(F$3,F$2,F$5)/Get_Margin(F$3,F$2,F$5,F$1)),0)),"-")</f>
        <v>-</v>
      </c>
      <c r="G18" s="14" t="str" cm="1">
        <f t="array" ref="G18">IFERROR(IF(ROUNDUP((Client_Margin($C18)*Alloted(G$3,G$2,G$5)/Get_Margin(G$3,G$2,G$5,G$1)),0)*Get_Margin(G$3,G$2,G$5,G$1)&gt;((Client_Margin($C18)*Alloted(G$3,G$2,G$5)/Get_Margin(G$3,G$2,G$5,G$1))*Get_Margin(G$3,G$2,G$5,G$1))*$D$3,ROUNDDOWN((Client_Margin($C18)*Alloted(G$3,G$2,G$5)/Get_Margin(G$3,G$2,G$5,G$1)),0),ROUNDUP((Client_Margin($C18)*Alloted(G$3,G$2,G$5)/Get_Margin(G$3,G$2,G$5,G$1)),0)),"-")</f>
        <v>-</v>
      </c>
      <c r="H18" s="14" cm="1">
        <f t="array" ref="H18">IFERROR(IF(ROUNDUP((Client_Margin($C18)*Alloted(H$3,H$2,H$5)/Get_Margin(H$3,H$2,H$5,H$1)),0)*Get_Margin(H$3,H$2,H$5,H$1)&gt;((Client_Margin($C18)*Alloted(H$3,H$2,H$5)/Get_Margin(H$3,H$2,H$5,H$1))*Get_Margin(H$3,H$2,H$5,H$1))*$D$3,ROUNDDOWN((Client_Margin($C18)*Alloted(H$3,H$2,H$5)/Get_Margin(H$3,H$2,H$5,H$1)),0),ROUNDUP((Client_Margin($C18)*Alloted(H$3,H$2,H$5)/Get_Margin(H$3,H$2,H$5,H$1)),0)),"-")</f>
        <v>8</v>
      </c>
      <c r="I18" s="14" cm="1">
        <f t="array" ref="I18">IFERROR(IF(ROUNDUP((Client_Margin($C18)*Alloted(I$3,I$2,I$5)/Get_Margin(I$3,I$2,I$5,I$1)),0)*Get_Margin(I$3,I$2,I$5,I$1)&gt;((Client_Margin($C18)*Alloted(I$3,I$2,I$5)/Get_Margin(I$3,I$2,I$5,I$1))*Get_Margin(I$3,I$2,I$5,I$1))*$D$3,ROUNDDOWN((Client_Margin($C18)*Alloted(I$3,I$2,I$5)/Get_Margin(I$3,I$2,I$5,I$1)),0),ROUNDUP((Client_Margin($C18)*Alloted(I$3,I$2,I$5)/Get_Margin(I$3,I$2,I$5,I$1)),0)),"-")</f>
        <v>3</v>
      </c>
      <c r="J18" s="14" cm="1">
        <f t="array" ref="J18">IFERROR(IF(ROUNDUP((Client_Margin($C18)*Alloted(J$3,J$2,J$5)/Get_Margin(J$3,J$2,J$5,J$1)),0)*Get_Margin(J$3,J$2,J$5,J$1)&gt;((Client_Margin($C18)*Alloted(J$3,J$2,J$5)/Get_Margin(J$3,J$2,J$5,J$1))*Get_Margin(J$3,J$2,J$5,J$1))*$D$3,ROUNDDOWN((Client_Margin($C18)*Alloted(J$3,J$2,J$5)/Get_Margin(J$3,J$2,J$5,J$1)),0),ROUNDUP((Client_Margin($C18)*Alloted(J$3,J$2,J$5)/Get_Margin(J$3,J$2,J$5,J$1)),0)),"-")</f>
        <v>3</v>
      </c>
      <c r="K18" s="14" cm="1">
        <f t="array" ref="K18">IFERROR(IF(ROUNDUP((Client_Margin($C18)*Alloted(K$3,K$2,K$5)/Get_Margin(K$3,K$2,K$5,K$1)),0)*Get_Margin(K$3,K$2,K$5,K$1)&gt;((Client_Margin($C18)*Alloted(K$3,K$2,K$5)/Get_Margin(K$3,K$2,K$5,K$1))*Get_Margin(K$3,K$2,K$5,K$1))*$D$3,ROUNDDOWN((Client_Margin($C18)*Alloted(K$3,K$2,K$5)/Get_Margin(K$3,K$2,K$5,K$1)),0),ROUNDUP((Client_Margin($C18)*Alloted(K$3,K$2,K$5)/Get_Margin(K$3,K$2,K$5,K$1)),0)),"-")</f>
        <v>10</v>
      </c>
      <c r="L18" s="14" cm="1">
        <f t="array" ref="L18">IFERROR(IF(ROUNDUP((Client_Margin($C18)*Alloted(L$3,L$2,L$5)/Get_Margin(L$3,L$2,L$5,L$1)),0)*Get_Margin(L$3,L$2,L$5,L$1)&gt;((Client_Margin($C18)*Alloted(L$3,L$2,L$5)/Get_Margin(L$3,L$2,L$5,L$1))*Get_Margin(L$3,L$2,L$5,L$1))*$D$3,ROUNDDOWN((Client_Margin($C18)*Alloted(L$3,L$2,L$5)/Get_Margin(L$3,L$2,L$5,L$1)),0),ROUNDUP((Client_Margin($C18)*Alloted(L$3,L$2,L$5)/Get_Margin(L$3,L$2,L$5,L$1)),0)),"-")</f>
        <v>37</v>
      </c>
      <c r="M18" s="14" cm="1">
        <f t="array" ref="M18">IFERROR(IF(ROUNDUP((Client_Margin($C18)*Alloted(M$3,M$2,M$5)/Get_Margin(M$3,M$2,M$5,M$1)),0)*Get_Margin(M$3,M$2,M$5,M$1)&gt;((Client_Margin($C18)*Alloted(M$3,M$2,M$5)/Get_Margin(M$3,M$2,M$5,M$1))*Get_Margin(M$3,M$2,M$5,M$1))*$D$3,ROUNDDOWN((Client_Margin($C18)*Alloted(M$3,M$2,M$5)/Get_Margin(M$3,M$2,M$5,M$1)),0),ROUNDUP((Client_Margin($C18)*Alloted(M$3,M$2,M$5)/Get_Margin(M$3,M$2,M$5,M$1)),0)),"-")</f>
        <v>0</v>
      </c>
      <c r="N18" s="14" cm="1">
        <f t="array" ref="N18">IFERROR(IF(ROUNDUP((Client_Margin($C18)*Alloted(N$3,N$2,N$5)/Get_Margin(N$3,N$2,N$5,N$1)),0)*Get_Margin(N$3,N$2,N$5,N$1)&gt;((Client_Margin($C18)*Alloted(N$3,N$2,N$5)/Get_Margin(N$3,N$2,N$5,N$1))*Get_Margin(N$3,N$2,N$5,N$1))*$D$3,ROUNDDOWN((Client_Margin($C18)*Alloted(N$3,N$2,N$5)/Get_Margin(N$3,N$2,N$5,N$1)),0),ROUNDUP((Client_Margin($C18)*Alloted(N$3,N$2,N$5)/Get_Margin(N$3,N$2,N$5,N$1)),0)),"-")</f>
        <v>0</v>
      </c>
      <c r="O18" s="14" cm="1">
        <f t="array" ref="O18">IFERROR(IF(ROUNDUP((Client_Margin($C18)*Alloted(O$3,O$2,O$5)/Get_Margin(O$3,O$2,O$5,O$1)),0)*Get_Margin(O$3,O$2,O$5,O$1)&gt;((Client_Margin($C18)*Alloted(O$3,O$2,O$5)/Get_Margin(O$3,O$2,O$5,O$1))*Get_Margin(O$3,O$2,O$5,O$1))*$D$3,ROUNDDOWN((Client_Margin($C18)*Alloted(O$3,O$2,O$5)/Get_Margin(O$3,O$2,O$5,O$1)),0),ROUNDUP((Client_Margin($C18)*Alloted(O$3,O$2,O$5)/Get_Margin(O$3,O$2,O$5,O$1)),0)),"-")</f>
        <v>0</v>
      </c>
      <c r="P18" s="14" cm="1">
        <f t="array" ref="P18">IFERROR(IF(ROUNDUP((Client_Margin($C18)*Alloted(P$3,P$2,P$5)/Get_Margin(P$3,P$2,P$5,P$1)),0)*Get_Margin(P$3,P$2,P$5,P$1)&gt;((Client_Margin($C18)*Alloted(P$3,P$2,P$5)/Get_Margin(P$3,P$2,P$5,P$1))*Get_Margin(P$3,P$2,P$5,P$1))*$D$3,ROUNDDOWN((Client_Margin($C18)*Alloted(P$3,P$2,P$5)/Get_Margin(P$3,P$2,P$5,P$1)),0),ROUNDUP((Client_Margin($C18)*Alloted(P$3,P$2,P$5)/Get_Margin(P$3,P$2,P$5,P$1)),0)),"-")</f>
        <v>0</v>
      </c>
      <c r="Q18" s="14" cm="1">
        <f t="array" ref="Q18">IFERROR(IF(ROUNDUP((Client_Margin($C18)*Alloted(Q$3,Q$2,Q$5)/Get_Margin(Q$3,Q$2,Q$5,Q$1)),0)*Get_Margin(Q$3,Q$2,Q$5,Q$1)&gt;((Client_Margin($C18)*Alloted(Q$3,Q$2,Q$5)/Get_Margin(Q$3,Q$2,Q$5,Q$1))*Get_Margin(Q$3,Q$2,Q$5,Q$1))*$D$3,ROUNDDOWN((Client_Margin($C18)*Alloted(Q$3,Q$2,Q$5)/Get_Margin(Q$3,Q$2,Q$5,Q$1)),0),ROUNDUP((Client_Margin($C18)*Alloted(Q$3,Q$2,Q$5)/Get_Margin(Q$3,Q$2,Q$5,Q$1)),0)),"-")</f>
        <v>0</v>
      </c>
    </row>
    <row r="19" spans="1:17" hidden="1" x14ac:dyDescent="0.25">
      <c r="A19">
        <f>_xlfn.XLOOKUP(C19,'OI QTY'!$O$5:$O$21,'OI QTY'!$N$5:$N$21,"")</f>
        <v>0</v>
      </c>
      <c r="B19">
        <f t="shared" si="2"/>
        <v>0</v>
      </c>
      <c r="C19" s="14"/>
      <c r="D19" s="14"/>
      <c r="E19" s="15">
        <f>SUM(F19:Q19)</f>
        <v>0.8248823529411764</v>
      </c>
      <c r="F19" s="15" t="str" cm="1">
        <f t="array" ref="F19">IFERROR((_xlfn._xlws.FILTER(INDEX(Margin[],0,MATCH(F$1&amp;"_"&amp;F$3,Margin[#Headers],0)),(Margin[Index]=F$2)*(Margin[Strategy]=F$5))*F18)/Client_Margin($C18),"-")</f>
        <v>-</v>
      </c>
      <c r="G19" s="15" t="str" cm="1">
        <f t="array" ref="G19">IFERROR((_xlfn._xlws.FILTER(INDEX(Margin[],0,MATCH(G$1&amp;"_"&amp;G$3,Margin[#Headers],0)),(Margin[Index]=G$2)*(Margin[Strategy]=G$5))*G18)/Client_Margin($C18),"-")</f>
        <v>-</v>
      </c>
      <c r="H19" s="15" cm="1">
        <f t="array" ref="H19">IFERROR((_xlfn._xlws.FILTER(INDEX(Margin[],0,MATCH(H$1&amp;"_"&amp;H$3,Margin[#Headers],0)),(Margin[Index]=H$2)*(Margin[Strategy]=H$5))*H18)/Client_Margin($C18),"-")</f>
        <v>0.10917647058823529</v>
      </c>
      <c r="I19" s="15" cm="1">
        <f t="array" ref="I19">IFERROR((_xlfn._xlws.FILTER(INDEX(Margin[],0,MATCH(I$1&amp;"_"&amp;I$3,Margin[#Headers],0)),(Margin[Index]=I$2)*(Margin[Strategy]=I$5))*I18)/Client_Margin($C18),"-")</f>
        <v>0.11011764705882353</v>
      </c>
      <c r="J19" s="15" cm="1">
        <f t="array" ref="J19">IFERROR((_xlfn._xlws.FILTER(INDEX(Margin[],0,MATCH(J$1&amp;"_"&amp;J$3,Margin[#Headers],0)),(Margin[Index]=J$2)*(Margin[Strategy]=J$5))*J18)/Client_Margin($C18),"-")</f>
        <v>9.4117647058823528E-2</v>
      </c>
      <c r="K19" s="15" cm="1">
        <f t="array" ref="K19">IFERROR((_xlfn._xlws.FILTER(INDEX(Margin[],0,MATCH(K$1&amp;"_"&amp;K$3,Margin[#Headers],0)),(Margin[Index]=K$2)*(Margin[Strategy]=K$5))*K18)/Client_Margin($C18),"-")</f>
        <v>0.10882352941176471</v>
      </c>
      <c r="L19" s="15" cm="1">
        <f t="array" ref="L19">IFERROR((_xlfn._xlws.FILTER(INDEX(Margin[],0,MATCH(L$1&amp;"_"&amp;L$3,Margin[#Headers],0)),(Margin[Index]=L$2)*(Margin[Strategy]=L$5))*L18)/Client_Margin($C18),"-")</f>
        <v>0.40264705882352941</v>
      </c>
      <c r="M19" s="15" cm="1">
        <f t="array" ref="M19">IFERROR((_xlfn._xlws.FILTER(INDEX(Margin[],0,MATCH(M$1&amp;"_"&amp;M$3,Margin[#Headers],0)),(Margin[Index]=M$2)*(Margin[Strategy]=M$5))*M18)/Client_Margin($C18),"-")</f>
        <v>0</v>
      </c>
      <c r="N19" s="15" cm="1">
        <f t="array" ref="N19">IFERROR((_xlfn._xlws.FILTER(INDEX(Margin[],0,MATCH(N$1&amp;"_"&amp;N$3,Margin[#Headers],0)),(Margin[Index]=N$2)*(Margin[Strategy]=N$5))*N18)/Client_Margin($C18),"-")</f>
        <v>0</v>
      </c>
      <c r="O19" s="15" cm="1">
        <f t="array" ref="O19">IFERROR((_xlfn._xlws.FILTER(INDEX(Margin[],0,MATCH(O$1&amp;"_"&amp;O$3,Margin[#Headers],0)),(Margin[Index]=O$2)*(Margin[Strategy]=O$5))*O18)/Client_Margin($C18),"-")</f>
        <v>0</v>
      </c>
      <c r="P19" s="15" cm="1">
        <f t="array" ref="P19">IFERROR((_xlfn._xlws.FILTER(INDEX(Margin[],0,MATCH(P$1&amp;"_"&amp;P$3,Margin[#Headers],0)),(Margin[Index]=P$2)*(Margin[Strategy]=P$5))*P18)/Client_Margin($C18),"-")</f>
        <v>0</v>
      </c>
      <c r="Q19" s="15" cm="1">
        <f t="array" ref="Q19">IFERROR((_xlfn._xlws.FILTER(INDEX(Margin[],0,MATCH(Q$1&amp;"_"&amp;Q$3,Margin[#Headers],0)),(Margin[Index]=Q$2)*(Margin[Strategy]=Q$5))*Q18)/Client_Margin($C18),"-")</f>
        <v>0</v>
      </c>
    </row>
    <row r="20" spans="1:17" hidden="1" x14ac:dyDescent="0.25">
      <c r="A20" t="str">
        <f>_xlfn.XLOOKUP(C20,'OI QTY'!$O$5:$O$21,'OI QTY'!$N$5:$N$21,"")</f>
        <v/>
      </c>
      <c r="B20">
        <v>1</v>
      </c>
      <c r="C20" s="14" t="s">
        <v>117</v>
      </c>
      <c r="D20" s="14" cm="1">
        <f t="array" ref="D20">(_xlfn._xlws.FILTER(Fund[Margin],Fund[Client Id]=C20))/10000000</f>
        <v>2.8</v>
      </c>
      <c r="E20" s="17"/>
      <c r="F20" s="14" t="str" cm="1">
        <f t="array" ref="F20">IFERROR(IF(ROUNDUP((Client_Margin($C20)*Alloted(F$3,F$2,F$5)/Get_Margin(F$3,F$2,F$5,F$1)),0)*Get_Margin(F$3,F$2,F$5,F$1)&gt;((Client_Margin($C20)*Alloted(F$3,F$2,F$5)/Get_Margin(F$3,F$2,F$5,F$1))*Get_Margin(F$3,F$2,F$5,F$1))*$D$3,ROUNDDOWN((Client_Margin($C20)*Alloted(F$3,F$2,F$5)/Get_Margin(F$3,F$2,F$5,F$1)),0),ROUNDUP((Client_Margin($C20)*Alloted(F$3,F$2,F$5)/Get_Margin(F$3,F$2,F$5,F$1)),0)),"-")</f>
        <v>-</v>
      </c>
      <c r="G20" s="14" t="str" cm="1">
        <f t="array" ref="G20">IFERROR(IF(ROUNDUP((Client_Margin($C20)*Alloted(G$3,G$2,G$5)/Get_Margin(G$3,G$2,G$5,G$1)),0)*Get_Margin(G$3,G$2,G$5,G$1)&gt;((Client_Margin($C20)*Alloted(G$3,G$2,G$5)/Get_Margin(G$3,G$2,G$5,G$1))*Get_Margin(G$3,G$2,G$5,G$1))*$D$3,ROUNDDOWN((Client_Margin($C20)*Alloted(G$3,G$2,G$5)/Get_Margin(G$3,G$2,G$5,G$1)),0),ROUNDUP((Client_Margin($C20)*Alloted(G$3,G$2,G$5)/Get_Margin(G$3,G$2,G$5,G$1)),0)),"-")</f>
        <v>-</v>
      </c>
      <c r="H20" s="14" cm="1">
        <f t="array" ref="H20">IFERROR(IF(ROUNDUP((Client_Margin($C20)*Alloted(H$3,H$2,H$5)/Get_Margin(H$3,H$2,H$5,H$1)),0)*Get_Margin(H$3,H$2,H$5,H$1)&gt;((Client_Margin($C20)*Alloted(H$3,H$2,H$5)/Get_Margin(H$3,H$2,H$5,H$1))*Get_Margin(H$3,H$2,H$5,H$1))*$D$3,ROUNDDOWN((Client_Margin($C20)*Alloted(H$3,H$2,H$5)/Get_Margin(H$3,H$2,H$5,H$1)),0),ROUNDUP((Client_Margin($C20)*Alloted(H$3,H$2,H$5)/Get_Margin(H$3,H$2,H$5,H$1)),0)),"-")</f>
        <v>4</v>
      </c>
      <c r="I20" s="14" cm="1">
        <f t="array" ref="I20">IFERROR(IF(ROUNDUP((Client_Margin($C20)*Alloted(I$3,I$2,I$5)/Get_Margin(I$3,I$2,I$5,I$1)),0)*Get_Margin(I$3,I$2,I$5,I$1)&gt;((Client_Margin($C20)*Alloted(I$3,I$2,I$5)/Get_Margin(I$3,I$2,I$5,I$1))*Get_Margin(I$3,I$2,I$5,I$1))*$D$3,ROUNDDOWN((Client_Margin($C20)*Alloted(I$3,I$2,I$5)/Get_Margin(I$3,I$2,I$5,I$1)),0),ROUNDUP((Client_Margin($C20)*Alloted(I$3,I$2,I$5)/Get_Margin(I$3,I$2,I$5,I$1)),0)),"-")</f>
        <v>1</v>
      </c>
      <c r="J20" s="14" cm="1">
        <f t="array" ref="J20">IFERROR(IF(ROUNDUP((Client_Margin($C20)*Alloted(J$3,J$2,J$5)/Get_Margin(J$3,J$2,J$5,J$1)),0)*Get_Margin(J$3,J$2,J$5,J$1)&gt;((Client_Margin($C20)*Alloted(J$3,J$2,J$5)/Get_Margin(J$3,J$2,J$5,J$1))*Get_Margin(J$3,J$2,J$5,J$1))*$D$3,ROUNDDOWN((Client_Margin($C20)*Alloted(J$3,J$2,J$5)/Get_Margin(J$3,J$2,J$5,J$1)),0),ROUNDUP((Client_Margin($C20)*Alloted(J$3,J$2,J$5)/Get_Margin(J$3,J$2,J$5,J$1)),0)),"-")</f>
        <v>2</v>
      </c>
      <c r="K20" s="14" cm="1">
        <f t="array" ref="K20">IFERROR(IF(ROUNDUP((Client_Margin($C20)*Alloted(K$3,K$2,K$5)/Get_Margin(K$3,K$2,K$5,K$1)),0)*Get_Margin(K$3,K$2,K$5,K$1)&gt;((Client_Margin($C20)*Alloted(K$3,K$2,K$5)/Get_Margin(K$3,K$2,K$5,K$1))*Get_Margin(K$3,K$2,K$5,K$1))*$D$3,ROUNDDOWN((Client_Margin($C20)*Alloted(K$3,K$2,K$5)/Get_Margin(K$3,K$2,K$5,K$1)),0),ROUNDUP((Client_Margin($C20)*Alloted(K$3,K$2,K$5)/Get_Margin(K$3,K$2,K$5,K$1)),0)),"-")</f>
        <v>5</v>
      </c>
      <c r="L20" s="14" cm="1">
        <f t="array" ref="L20">IFERROR(IF(ROUNDUP((Client_Margin($C20)*Alloted(L$3,L$2,L$5)/Get_Margin(L$3,L$2,L$5,L$1)),0)*Get_Margin(L$3,L$2,L$5,L$1)&gt;((Client_Margin($C20)*Alloted(L$3,L$2,L$5)/Get_Margin(L$3,L$2,L$5,L$1))*Get_Margin(L$3,L$2,L$5,L$1))*$D$3,ROUNDDOWN((Client_Margin($C20)*Alloted(L$3,L$2,L$5)/Get_Margin(L$3,L$2,L$5,L$1)),0),ROUNDUP((Client_Margin($C20)*Alloted(L$3,L$2,L$5)/Get_Margin(L$3,L$2,L$5,L$1)),0)),"-")</f>
        <v>21</v>
      </c>
      <c r="M20" s="14" cm="1">
        <f t="array" ref="M20">IFERROR(IF(ROUNDUP((Client_Margin($C20)*Alloted(M$3,M$2,M$5)/Get_Margin(M$3,M$2,M$5,M$1)),0)*Get_Margin(M$3,M$2,M$5,M$1)&gt;((Client_Margin($C20)*Alloted(M$3,M$2,M$5)/Get_Margin(M$3,M$2,M$5,M$1))*Get_Margin(M$3,M$2,M$5,M$1))*$D$3,ROUNDDOWN((Client_Margin($C20)*Alloted(M$3,M$2,M$5)/Get_Margin(M$3,M$2,M$5,M$1)),0),ROUNDUP((Client_Margin($C20)*Alloted(M$3,M$2,M$5)/Get_Margin(M$3,M$2,M$5,M$1)),0)),"-")</f>
        <v>0</v>
      </c>
      <c r="N20" s="14" cm="1">
        <f t="array" ref="N20">IFERROR(IF(ROUNDUP((Client_Margin($C20)*Alloted(N$3,N$2,N$5)/Get_Margin(N$3,N$2,N$5,N$1)),0)*Get_Margin(N$3,N$2,N$5,N$1)&gt;((Client_Margin($C20)*Alloted(N$3,N$2,N$5)/Get_Margin(N$3,N$2,N$5,N$1))*Get_Margin(N$3,N$2,N$5,N$1))*$D$3,ROUNDDOWN((Client_Margin($C20)*Alloted(N$3,N$2,N$5)/Get_Margin(N$3,N$2,N$5,N$1)),0),ROUNDUP((Client_Margin($C20)*Alloted(N$3,N$2,N$5)/Get_Margin(N$3,N$2,N$5,N$1)),0)),"-")</f>
        <v>0</v>
      </c>
      <c r="O20" s="14" cm="1">
        <f t="array" ref="O20">IFERROR(IF(ROUNDUP((Client_Margin($C20)*Alloted(O$3,O$2,O$5)/Get_Margin(O$3,O$2,O$5,O$1)),0)*Get_Margin(O$3,O$2,O$5,O$1)&gt;((Client_Margin($C20)*Alloted(O$3,O$2,O$5)/Get_Margin(O$3,O$2,O$5,O$1))*Get_Margin(O$3,O$2,O$5,O$1))*$D$3,ROUNDDOWN((Client_Margin($C20)*Alloted(O$3,O$2,O$5)/Get_Margin(O$3,O$2,O$5,O$1)),0),ROUNDUP((Client_Margin($C20)*Alloted(O$3,O$2,O$5)/Get_Margin(O$3,O$2,O$5,O$1)),0)),"-")</f>
        <v>0</v>
      </c>
      <c r="P20" s="14" cm="1">
        <f t="array" ref="P20">IFERROR(IF(ROUNDUP((Client_Margin($C20)*Alloted(P$3,P$2,P$5)/Get_Margin(P$3,P$2,P$5,P$1)),0)*Get_Margin(P$3,P$2,P$5,P$1)&gt;((Client_Margin($C20)*Alloted(P$3,P$2,P$5)/Get_Margin(P$3,P$2,P$5,P$1))*Get_Margin(P$3,P$2,P$5,P$1))*$D$3,ROUNDDOWN((Client_Margin($C20)*Alloted(P$3,P$2,P$5)/Get_Margin(P$3,P$2,P$5,P$1)),0),ROUNDUP((Client_Margin($C20)*Alloted(P$3,P$2,P$5)/Get_Margin(P$3,P$2,P$5,P$1)),0)),"-")</f>
        <v>0</v>
      </c>
      <c r="Q20" s="14" cm="1">
        <f t="array" ref="Q20">IFERROR(IF(ROUNDUP((Client_Margin($C20)*Alloted(Q$3,Q$2,Q$5)/Get_Margin(Q$3,Q$2,Q$5,Q$1)),0)*Get_Margin(Q$3,Q$2,Q$5,Q$1)&gt;((Client_Margin($C20)*Alloted(Q$3,Q$2,Q$5)/Get_Margin(Q$3,Q$2,Q$5,Q$1))*Get_Margin(Q$3,Q$2,Q$5,Q$1))*$D$3,ROUNDDOWN((Client_Margin($C20)*Alloted(Q$3,Q$2,Q$5)/Get_Margin(Q$3,Q$2,Q$5,Q$1)),0),ROUNDUP((Client_Margin($C20)*Alloted(Q$3,Q$2,Q$5)/Get_Margin(Q$3,Q$2,Q$5,Q$1)),0)),"-")</f>
        <v>0</v>
      </c>
    </row>
    <row r="21" spans="1:17" hidden="1" x14ac:dyDescent="0.25">
      <c r="A21">
        <f>_xlfn.XLOOKUP(C21,'OI QTY'!$O$5:$O$21,'OI QTY'!$N$5:$N$21,"")</f>
        <v>0</v>
      </c>
      <c r="B21">
        <v>0</v>
      </c>
      <c r="C21" s="14"/>
      <c r="D21" s="14"/>
      <c r="E21" s="15">
        <f>SUM(F21:Q21)</f>
        <v>0.79592857142857132</v>
      </c>
      <c r="F21" s="15" t="str" cm="1">
        <f t="array" ref="F21">IFERROR((_xlfn._xlws.FILTER(INDEX(Margin[],0,MATCH(F$1&amp;"_"&amp;F$3,Margin[#Headers],0)),(Margin[Index]=F$2)*(Margin[Strategy]=F$5))*F20)/Client_Margin($C20),"-")</f>
        <v>-</v>
      </c>
      <c r="G21" s="15" t="str" cm="1">
        <f t="array" ref="G21">IFERROR((_xlfn._xlws.FILTER(INDEX(Margin[],0,MATCH(G$1&amp;"_"&amp;G$3,Margin[#Headers],0)),(Margin[Index]=G$2)*(Margin[Strategy]=G$5))*G20)/Client_Margin($C20),"-")</f>
        <v>-</v>
      </c>
      <c r="H21" s="15" cm="1">
        <f t="array" ref="H21">IFERROR((_xlfn._xlws.FILTER(INDEX(Margin[],0,MATCH(H$1&amp;"_"&amp;H$3,Margin[#Headers],0)),(Margin[Index]=H$2)*(Margin[Strategy]=H$5))*H20)/Client_Margin($C20),"-")</f>
        <v>9.9428571428571422E-2</v>
      </c>
      <c r="I21" s="15" cm="1">
        <f t="array" ref="I21">IFERROR((_xlfn._xlws.FILTER(INDEX(Margin[],0,MATCH(I$1&amp;"_"&amp;I$3,Margin[#Headers],0)),(Margin[Index]=I$2)*(Margin[Strategy]=I$5))*I20)/Client_Margin($C20),"-")</f>
        <v>6.6857142857142851E-2</v>
      </c>
      <c r="J21" s="15" cm="1">
        <f t="array" ref="J21">IFERROR((_xlfn._xlws.FILTER(INDEX(Margin[],0,MATCH(J$1&amp;"_"&amp;J$3,Margin[#Headers],0)),(Margin[Index]=J$2)*(Margin[Strategy]=J$5))*J20)/Client_Margin($C20),"-")</f>
        <v>0.11428571428571428</v>
      </c>
      <c r="K21" s="15" cm="1">
        <f t="array" ref="K21">IFERROR((_xlfn._xlws.FILTER(INDEX(Margin[],0,MATCH(K$1&amp;"_"&amp;K$3,Margin[#Headers],0)),(Margin[Index]=K$2)*(Margin[Strategy]=K$5))*K20)/Client_Margin($C20),"-")</f>
        <v>9.9107142857142852E-2</v>
      </c>
      <c r="L21" s="15" cm="1">
        <f t="array" ref="L21">IFERROR((_xlfn._xlws.FILTER(INDEX(Margin[],0,MATCH(L$1&amp;"_"&amp;L$3,Margin[#Headers],0)),(Margin[Index]=L$2)*(Margin[Strategy]=L$5))*L20)/Client_Margin($C20),"-")</f>
        <v>0.41625000000000001</v>
      </c>
      <c r="M21" s="15" cm="1">
        <f t="array" ref="M21">IFERROR((_xlfn._xlws.FILTER(INDEX(Margin[],0,MATCH(M$1&amp;"_"&amp;M$3,Margin[#Headers],0)),(Margin[Index]=M$2)*(Margin[Strategy]=M$5))*M20)/Client_Margin($C20),"-")</f>
        <v>0</v>
      </c>
      <c r="N21" s="15" cm="1">
        <f t="array" ref="N21">IFERROR((_xlfn._xlws.FILTER(INDEX(Margin[],0,MATCH(N$1&amp;"_"&amp;N$3,Margin[#Headers],0)),(Margin[Index]=N$2)*(Margin[Strategy]=N$5))*N20)/Client_Margin($C20),"-")</f>
        <v>0</v>
      </c>
      <c r="O21" s="15" cm="1">
        <f t="array" ref="O21">IFERROR((_xlfn._xlws.FILTER(INDEX(Margin[],0,MATCH(O$1&amp;"_"&amp;O$3,Margin[#Headers],0)),(Margin[Index]=O$2)*(Margin[Strategy]=O$5))*O20)/Client_Margin($C20),"-")</f>
        <v>0</v>
      </c>
      <c r="P21" s="15" cm="1">
        <f t="array" ref="P21">IFERROR((_xlfn._xlws.FILTER(INDEX(Margin[],0,MATCH(P$1&amp;"_"&amp;P$3,Margin[#Headers],0)),(Margin[Index]=P$2)*(Margin[Strategy]=P$5))*P20)/Client_Margin($C20),"-")</f>
        <v>0</v>
      </c>
      <c r="Q21" s="15" cm="1">
        <f t="array" ref="Q21">IFERROR((_xlfn._xlws.FILTER(INDEX(Margin[],0,MATCH(Q$1&amp;"_"&amp;Q$3,Margin[#Headers],0)),(Margin[Index]=Q$2)*(Margin[Strategy]=Q$5))*Q20)/Client_Margin($C20),"-")</f>
        <v>0</v>
      </c>
    </row>
    <row r="22" spans="1:17" hidden="1" x14ac:dyDescent="0.25">
      <c r="A22" t="str">
        <f>_xlfn.XLOOKUP(C22,'OI QTY'!$O$5:$O$21,'OI QTY'!$N$5:$N$21,"")</f>
        <v/>
      </c>
      <c r="B22">
        <f t="shared" si="2"/>
        <v>1</v>
      </c>
      <c r="C22" s="14" t="s">
        <v>28</v>
      </c>
      <c r="D22" s="14" cm="1">
        <f t="array" ref="D22">(_xlfn._xlws.FILTER(Fund[Margin],Fund[Client Id]=C22))/10000000</f>
        <v>2.8</v>
      </c>
      <c r="E22" s="17"/>
      <c r="F22" s="14" t="str" cm="1">
        <f t="array" ref="F22">IFERROR(IF(ROUNDUP((Client_Margin($C22)*Alloted(F$3,F$2,F$5)/Get_Margin(F$3,F$2,F$5,F$1)),0)*Get_Margin(F$3,F$2,F$5,F$1)&gt;((Client_Margin($C22)*Alloted(F$3,F$2,F$5)/Get_Margin(F$3,F$2,F$5,F$1))*Get_Margin(F$3,F$2,F$5,F$1))*$D$3,ROUNDDOWN((Client_Margin($C22)*Alloted(F$3,F$2,F$5)/Get_Margin(F$3,F$2,F$5,F$1)),0),ROUNDUP((Client_Margin($C22)*Alloted(F$3,F$2,F$5)/Get_Margin(F$3,F$2,F$5,F$1)),0)),"-")</f>
        <v>-</v>
      </c>
      <c r="G22" s="14" t="str" cm="1">
        <f t="array" ref="G22">IFERROR(IF(ROUNDUP((Client_Margin($C22)*Alloted(G$3,G$2,G$5)/Get_Margin(G$3,G$2,G$5,G$1)),0)*Get_Margin(G$3,G$2,G$5,G$1)&gt;((Client_Margin($C22)*Alloted(G$3,G$2,G$5)/Get_Margin(G$3,G$2,G$5,G$1))*Get_Margin(G$3,G$2,G$5,G$1))*$D$3,ROUNDDOWN((Client_Margin($C22)*Alloted(G$3,G$2,G$5)/Get_Margin(G$3,G$2,G$5,G$1)),0),ROUNDUP((Client_Margin($C22)*Alloted(G$3,G$2,G$5)/Get_Margin(G$3,G$2,G$5,G$1)),0)),"-")</f>
        <v>-</v>
      </c>
      <c r="H22" s="14" cm="1">
        <f t="array" ref="H22">IFERROR(IF(ROUNDUP((Client_Margin($C22)*Alloted(H$3,H$2,H$5)/Get_Margin(H$3,H$2,H$5,H$1)),0)*Get_Margin(H$3,H$2,H$5,H$1)&gt;((Client_Margin($C22)*Alloted(H$3,H$2,H$5)/Get_Margin(H$3,H$2,H$5,H$1))*Get_Margin(H$3,H$2,H$5,H$1))*$D$3,ROUNDDOWN((Client_Margin($C22)*Alloted(H$3,H$2,H$5)/Get_Margin(H$3,H$2,H$5,H$1)),0),ROUNDUP((Client_Margin($C22)*Alloted(H$3,H$2,H$5)/Get_Margin(H$3,H$2,H$5,H$1)),0)),"-")</f>
        <v>4</v>
      </c>
      <c r="I22" s="14" cm="1">
        <f t="array" ref="I22">IFERROR(IF(ROUNDUP((Client_Margin($C22)*Alloted(I$3,I$2,I$5)/Get_Margin(I$3,I$2,I$5,I$1)),0)*Get_Margin(I$3,I$2,I$5,I$1)&gt;((Client_Margin($C22)*Alloted(I$3,I$2,I$5)/Get_Margin(I$3,I$2,I$5,I$1))*Get_Margin(I$3,I$2,I$5,I$1))*$D$3,ROUNDDOWN((Client_Margin($C22)*Alloted(I$3,I$2,I$5)/Get_Margin(I$3,I$2,I$5,I$1)),0),ROUNDUP((Client_Margin($C22)*Alloted(I$3,I$2,I$5)/Get_Margin(I$3,I$2,I$5,I$1)),0)),"-")</f>
        <v>1</v>
      </c>
      <c r="J22" s="14" cm="1">
        <f t="array" ref="J22">IFERROR(IF(ROUNDUP((Client_Margin($C22)*Alloted(J$3,J$2,J$5)/Get_Margin(J$3,J$2,J$5,J$1)),0)*Get_Margin(J$3,J$2,J$5,J$1)&gt;((Client_Margin($C22)*Alloted(J$3,J$2,J$5)/Get_Margin(J$3,J$2,J$5,J$1))*Get_Margin(J$3,J$2,J$5,J$1))*$D$3,ROUNDDOWN((Client_Margin($C22)*Alloted(J$3,J$2,J$5)/Get_Margin(J$3,J$2,J$5,J$1)),0),ROUNDUP((Client_Margin($C22)*Alloted(J$3,J$2,J$5)/Get_Margin(J$3,J$2,J$5,J$1)),0)),"-")</f>
        <v>2</v>
      </c>
      <c r="K22" s="14" cm="1">
        <f t="array" ref="K22">IFERROR(IF(ROUNDUP((Client_Margin($C22)*Alloted(K$3,K$2,K$5)/Get_Margin(K$3,K$2,K$5,K$1)),0)*Get_Margin(K$3,K$2,K$5,K$1)&gt;((Client_Margin($C22)*Alloted(K$3,K$2,K$5)/Get_Margin(K$3,K$2,K$5,K$1))*Get_Margin(K$3,K$2,K$5,K$1))*$D$3,ROUNDDOWN((Client_Margin($C22)*Alloted(K$3,K$2,K$5)/Get_Margin(K$3,K$2,K$5,K$1)),0),ROUNDUP((Client_Margin($C22)*Alloted(K$3,K$2,K$5)/Get_Margin(K$3,K$2,K$5,K$1)),0)),"-")</f>
        <v>5</v>
      </c>
      <c r="L22" s="14" cm="1">
        <f t="array" ref="L22">IFERROR(IF(ROUNDUP((Client_Margin($C22)*Alloted(L$3,L$2,L$5)/Get_Margin(L$3,L$2,L$5,L$1)),0)*Get_Margin(L$3,L$2,L$5,L$1)&gt;((Client_Margin($C22)*Alloted(L$3,L$2,L$5)/Get_Margin(L$3,L$2,L$5,L$1))*Get_Margin(L$3,L$2,L$5,L$1))*$D$3,ROUNDDOWN((Client_Margin($C22)*Alloted(L$3,L$2,L$5)/Get_Margin(L$3,L$2,L$5,L$1)),0),ROUNDUP((Client_Margin($C22)*Alloted(L$3,L$2,L$5)/Get_Margin(L$3,L$2,L$5,L$1)),0)),"-")</f>
        <v>21</v>
      </c>
      <c r="M22" s="14" cm="1">
        <f t="array" ref="M22">IFERROR(IF(ROUNDUP((Client_Margin($C22)*Alloted(M$3,M$2,M$5)/Get_Margin(M$3,M$2,M$5,M$1)),0)*Get_Margin(M$3,M$2,M$5,M$1)&gt;((Client_Margin($C22)*Alloted(M$3,M$2,M$5)/Get_Margin(M$3,M$2,M$5,M$1))*Get_Margin(M$3,M$2,M$5,M$1))*$D$3,ROUNDDOWN((Client_Margin($C22)*Alloted(M$3,M$2,M$5)/Get_Margin(M$3,M$2,M$5,M$1)),0),ROUNDUP((Client_Margin($C22)*Alloted(M$3,M$2,M$5)/Get_Margin(M$3,M$2,M$5,M$1)),0)),"-")</f>
        <v>0</v>
      </c>
      <c r="N22" s="14" cm="1">
        <f t="array" ref="N22">IFERROR(IF(ROUNDUP((Client_Margin($C22)*Alloted(N$3,N$2,N$5)/Get_Margin(N$3,N$2,N$5,N$1)),0)*Get_Margin(N$3,N$2,N$5,N$1)&gt;((Client_Margin($C22)*Alloted(N$3,N$2,N$5)/Get_Margin(N$3,N$2,N$5,N$1))*Get_Margin(N$3,N$2,N$5,N$1))*$D$3,ROUNDDOWN((Client_Margin($C22)*Alloted(N$3,N$2,N$5)/Get_Margin(N$3,N$2,N$5,N$1)),0),ROUNDUP((Client_Margin($C22)*Alloted(N$3,N$2,N$5)/Get_Margin(N$3,N$2,N$5,N$1)),0)),"-")</f>
        <v>0</v>
      </c>
      <c r="O22" s="14" cm="1">
        <f t="array" ref="O22">IFERROR(IF(ROUNDUP((Client_Margin($C22)*Alloted(O$3,O$2,O$5)/Get_Margin(O$3,O$2,O$5,O$1)),0)*Get_Margin(O$3,O$2,O$5,O$1)&gt;((Client_Margin($C22)*Alloted(O$3,O$2,O$5)/Get_Margin(O$3,O$2,O$5,O$1))*Get_Margin(O$3,O$2,O$5,O$1))*$D$3,ROUNDDOWN((Client_Margin($C22)*Alloted(O$3,O$2,O$5)/Get_Margin(O$3,O$2,O$5,O$1)),0),ROUNDUP((Client_Margin($C22)*Alloted(O$3,O$2,O$5)/Get_Margin(O$3,O$2,O$5,O$1)),0)),"-")</f>
        <v>0</v>
      </c>
      <c r="P22" s="14" cm="1">
        <f t="array" ref="P22">IFERROR(IF(ROUNDUP((Client_Margin($C22)*Alloted(P$3,P$2,P$5)/Get_Margin(P$3,P$2,P$5,P$1)),0)*Get_Margin(P$3,P$2,P$5,P$1)&gt;((Client_Margin($C22)*Alloted(P$3,P$2,P$5)/Get_Margin(P$3,P$2,P$5,P$1))*Get_Margin(P$3,P$2,P$5,P$1))*$D$3,ROUNDDOWN((Client_Margin($C22)*Alloted(P$3,P$2,P$5)/Get_Margin(P$3,P$2,P$5,P$1)),0),ROUNDUP((Client_Margin($C22)*Alloted(P$3,P$2,P$5)/Get_Margin(P$3,P$2,P$5,P$1)),0)),"-")</f>
        <v>0</v>
      </c>
      <c r="Q22" s="14" cm="1">
        <f t="array" ref="Q22">IFERROR(IF(ROUNDUP((Client_Margin($C22)*Alloted(Q$3,Q$2,Q$5)/Get_Margin(Q$3,Q$2,Q$5,Q$1)),0)*Get_Margin(Q$3,Q$2,Q$5,Q$1)&gt;((Client_Margin($C22)*Alloted(Q$3,Q$2,Q$5)/Get_Margin(Q$3,Q$2,Q$5,Q$1))*Get_Margin(Q$3,Q$2,Q$5,Q$1))*$D$3,ROUNDDOWN((Client_Margin($C22)*Alloted(Q$3,Q$2,Q$5)/Get_Margin(Q$3,Q$2,Q$5,Q$1)),0),ROUNDUP((Client_Margin($C22)*Alloted(Q$3,Q$2,Q$5)/Get_Margin(Q$3,Q$2,Q$5,Q$1)),0)),"-")</f>
        <v>0</v>
      </c>
    </row>
    <row r="23" spans="1:17" hidden="1" x14ac:dyDescent="0.25">
      <c r="A23">
        <f>_xlfn.XLOOKUP(C23,'OI QTY'!$O$5:$O$21,'OI QTY'!$N$5:$N$21,"")</f>
        <v>0</v>
      </c>
      <c r="B23">
        <f t="shared" si="2"/>
        <v>0</v>
      </c>
      <c r="C23" s="14"/>
      <c r="D23" s="14"/>
      <c r="E23" s="15">
        <f>SUM(F23:Q23)</f>
        <v>0.79592857142857132</v>
      </c>
      <c r="F23" s="15" t="str" cm="1">
        <f t="array" ref="F23">IFERROR((_xlfn._xlws.FILTER(INDEX(Margin[],0,MATCH(F$1&amp;"_"&amp;F$3,Margin[#Headers],0)),(Margin[Index]=F$2)*(Margin[Strategy]=F$5))*F22)/Client_Margin($C22),"-")</f>
        <v>-</v>
      </c>
      <c r="G23" s="15" t="str" cm="1">
        <f t="array" ref="G23">IFERROR((_xlfn._xlws.FILTER(INDEX(Margin[],0,MATCH(G$1&amp;"_"&amp;G$3,Margin[#Headers],0)),(Margin[Index]=G$2)*(Margin[Strategy]=G$5))*G22)/Client_Margin($C22),"-")</f>
        <v>-</v>
      </c>
      <c r="H23" s="15" cm="1">
        <f t="array" ref="H23">IFERROR((_xlfn._xlws.FILTER(INDEX(Margin[],0,MATCH(H$1&amp;"_"&amp;H$3,Margin[#Headers],0)),(Margin[Index]=H$2)*(Margin[Strategy]=H$5))*H22)/Client_Margin($C22),"-")</f>
        <v>9.9428571428571422E-2</v>
      </c>
      <c r="I23" s="15" cm="1">
        <f t="array" ref="I23">IFERROR((_xlfn._xlws.FILTER(INDEX(Margin[],0,MATCH(I$1&amp;"_"&amp;I$3,Margin[#Headers],0)),(Margin[Index]=I$2)*(Margin[Strategy]=I$5))*I22)/Client_Margin($C22),"-")</f>
        <v>6.6857142857142851E-2</v>
      </c>
      <c r="J23" s="15" cm="1">
        <f t="array" ref="J23">IFERROR((_xlfn._xlws.FILTER(INDEX(Margin[],0,MATCH(J$1&amp;"_"&amp;J$3,Margin[#Headers],0)),(Margin[Index]=J$2)*(Margin[Strategy]=J$5))*J22)/Client_Margin($C22),"-")</f>
        <v>0.11428571428571428</v>
      </c>
      <c r="K23" s="15" cm="1">
        <f t="array" ref="K23">IFERROR((_xlfn._xlws.FILTER(INDEX(Margin[],0,MATCH(K$1&amp;"_"&amp;K$3,Margin[#Headers],0)),(Margin[Index]=K$2)*(Margin[Strategy]=K$5))*K22)/Client_Margin($C22),"-")</f>
        <v>9.9107142857142852E-2</v>
      </c>
      <c r="L23" s="15" cm="1">
        <f t="array" ref="L23">IFERROR((_xlfn._xlws.FILTER(INDEX(Margin[],0,MATCH(L$1&amp;"_"&amp;L$3,Margin[#Headers],0)),(Margin[Index]=L$2)*(Margin[Strategy]=L$5))*L22)/Client_Margin($C22),"-")</f>
        <v>0.41625000000000001</v>
      </c>
      <c r="M23" s="15" cm="1">
        <f t="array" ref="M23">IFERROR((_xlfn._xlws.FILTER(INDEX(Margin[],0,MATCH(M$1&amp;"_"&amp;M$3,Margin[#Headers],0)),(Margin[Index]=M$2)*(Margin[Strategy]=M$5))*M22)/Client_Margin($C22),"-")</f>
        <v>0</v>
      </c>
      <c r="N23" s="15" cm="1">
        <f t="array" ref="N23">IFERROR((_xlfn._xlws.FILTER(INDEX(Margin[],0,MATCH(N$1&amp;"_"&amp;N$3,Margin[#Headers],0)),(Margin[Index]=N$2)*(Margin[Strategy]=N$5))*N22)/Client_Margin($C22),"-")</f>
        <v>0</v>
      </c>
      <c r="O23" s="15" cm="1">
        <f t="array" ref="O23">IFERROR((_xlfn._xlws.FILTER(INDEX(Margin[],0,MATCH(O$1&amp;"_"&amp;O$3,Margin[#Headers],0)),(Margin[Index]=O$2)*(Margin[Strategy]=O$5))*O22)/Client_Margin($C22),"-")</f>
        <v>0</v>
      </c>
      <c r="P23" s="15" cm="1">
        <f t="array" ref="P23">IFERROR((_xlfn._xlws.FILTER(INDEX(Margin[],0,MATCH(P$1&amp;"_"&amp;P$3,Margin[#Headers],0)),(Margin[Index]=P$2)*(Margin[Strategy]=P$5))*P22)/Client_Margin($C22),"-")</f>
        <v>0</v>
      </c>
      <c r="Q23" s="15" cm="1">
        <f t="array" ref="Q23">IFERROR((_xlfn._xlws.FILTER(INDEX(Margin[],0,MATCH(Q$1&amp;"_"&amp;Q$3,Margin[#Headers],0)),(Margin[Index]=Q$2)*(Margin[Strategy]=Q$5))*Q22)/Client_Margin($C22),"-")</f>
        <v>0</v>
      </c>
    </row>
    <row r="24" spans="1:17" x14ac:dyDescent="0.25">
      <c r="A24" t="str">
        <f>_xlfn.XLOOKUP(C24,'OI QTY'!$O$5:$O$21,'OI QTY'!$N$5:$N$21,"")</f>
        <v>K</v>
      </c>
      <c r="B24">
        <f t="shared" si="2"/>
        <v>1</v>
      </c>
      <c r="C24" s="14" t="s">
        <v>122</v>
      </c>
      <c r="D24" s="14" cm="1">
        <f t="array" ref="D24">(_xlfn._xlws.FILTER(Fund[Margin],Fund[Client Id]=C24))/10000000</f>
        <v>2.65</v>
      </c>
      <c r="E24" s="17"/>
      <c r="F24" s="14" t="str" cm="1">
        <f t="array" ref="F24">IFERROR(IF(ROUNDUP((Client_Margin($C24)*Alloted(F$3,F$2,F$5)/Get_Margin(F$3,F$2,F$5,F$1)),0)*Get_Margin(F$3,F$2,F$5,F$1)&gt;((Client_Margin($C24)*Alloted(F$3,F$2,F$5)/Get_Margin(F$3,F$2,F$5,F$1))*Get_Margin(F$3,F$2,F$5,F$1))*$D$3,ROUNDDOWN((Client_Margin($C24)*Alloted(F$3,F$2,F$5)/Get_Margin(F$3,F$2,F$5,F$1)),0),ROUNDUP((Client_Margin($C24)*Alloted(F$3,F$2,F$5)/Get_Margin(F$3,F$2,F$5,F$1)),0)),"-")</f>
        <v>-</v>
      </c>
      <c r="G24" s="14" t="str" cm="1">
        <f t="array" ref="G24">IFERROR(IF(ROUNDUP((Client_Margin($C24)*Alloted(G$3,G$2,G$5)/Get_Margin(G$3,G$2,G$5,G$1)),0)*Get_Margin(G$3,G$2,G$5,G$1)&gt;((Client_Margin($C24)*Alloted(G$3,G$2,G$5)/Get_Margin(G$3,G$2,G$5,G$1))*Get_Margin(G$3,G$2,G$5,G$1))*$D$3,ROUNDDOWN((Client_Margin($C24)*Alloted(G$3,G$2,G$5)/Get_Margin(G$3,G$2,G$5,G$1)),0),ROUNDUP((Client_Margin($C24)*Alloted(G$3,G$2,G$5)/Get_Margin(G$3,G$2,G$5,G$1)),0)),"-")</f>
        <v>-</v>
      </c>
      <c r="H24" s="14" cm="1">
        <f t="array" ref="H24">IFERROR(IF(ROUNDUP((Client_Margin($C24)*Alloted(H$3,H$2,H$5)/Get_Margin(H$3,H$2,H$5,H$1)),0)*Get_Margin(H$3,H$2,H$5,H$1)&gt;((Client_Margin($C24)*Alloted(H$3,H$2,H$5)/Get_Margin(H$3,H$2,H$5,H$1))*Get_Margin(H$3,H$2,H$5,H$1))*$D$3,ROUNDDOWN((Client_Margin($C24)*Alloted(H$3,H$2,H$5)/Get_Margin(H$3,H$2,H$5,H$1)),0),ROUNDUP((Client_Margin($C24)*Alloted(H$3,H$2,H$5)/Get_Margin(H$3,H$2,H$5,H$1)),0)),"-")</f>
        <v>4</v>
      </c>
      <c r="I24" s="14" cm="1">
        <f t="array" ref="I24">IFERROR(IF(ROUNDUP((Client_Margin($C24)*Alloted(I$3,I$2,I$5)/Get_Margin(I$3,I$2,I$5,I$1)),0)*Get_Margin(I$3,I$2,I$5,I$1)&gt;((Client_Margin($C24)*Alloted(I$3,I$2,I$5)/Get_Margin(I$3,I$2,I$5,I$1))*Get_Margin(I$3,I$2,I$5,I$1))*$D$3,ROUNDDOWN((Client_Margin($C24)*Alloted(I$3,I$2,I$5)/Get_Margin(I$3,I$2,I$5,I$1)),0),ROUNDUP((Client_Margin($C24)*Alloted(I$3,I$2,I$5)/Get_Margin(I$3,I$2,I$5,I$1)),0)),"-")</f>
        <v>1</v>
      </c>
      <c r="J24" s="14" cm="1">
        <f t="array" ref="J24">IFERROR(IF(ROUNDUP((Client_Margin($C24)*Alloted(J$3,J$2,J$5)/Get_Margin(J$3,J$2,J$5,J$1)),0)*Get_Margin(J$3,J$2,J$5,J$1)&gt;((Client_Margin($C24)*Alloted(J$3,J$2,J$5)/Get_Margin(J$3,J$2,J$5,J$1))*Get_Margin(J$3,J$2,J$5,J$1))*$D$3,ROUNDDOWN((Client_Margin($C24)*Alloted(J$3,J$2,J$5)/Get_Margin(J$3,J$2,J$5,J$1)),0),ROUNDUP((Client_Margin($C24)*Alloted(J$3,J$2,J$5)/Get_Margin(J$3,J$2,J$5,J$1)),0)),"-")</f>
        <v>1</v>
      </c>
      <c r="K24" s="14" cm="1">
        <f t="array" ref="K24">IFERROR(IF(ROUNDUP((Client_Margin($C24)*Alloted(K$3,K$2,K$5)/Get_Margin(K$3,K$2,K$5,K$1)),0)*Get_Margin(K$3,K$2,K$5,K$1)&gt;((Client_Margin($C24)*Alloted(K$3,K$2,K$5)/Get_Margin(K$3,K$2,K$5,K$1))*Get_Margin(K$3,K$2,K$5,K$1))*$D$3,ROUNDDOWN((Client_Margin($C24)*Alloted(K$3,K$2,K$5)/Get_Margin(K$3,K$2,K$5,K$1)),0),ROUNDUP((Client_Margin($C24)*Alloted(K$3,K$2,K$5)/Get_Margin(K$3,K$2,K$5,K$1)),0)),"-")</f>
        <v>5</v>
      </c>
      <c r="L24" s="14" cm="1">
        <f t="array" ref="L24">IFERROR(IF(ROUNDUP((Client_Margin($C24)*Alloted(L$3,L$2,L$5)/Get_Margin(L$3,L$2,L$5,L$1)),0)*Get_Margin(L$3,L$2,L$5,L$1)&gt;((Client_Margin($C24)*Alloted(L$3,L$2,L$5)/Get_Margin(L$3,L$2,L$5,L$1))*Get_Margin(L$3,L$2,L$5,L$1))*$D$3,ROUNDDOWN((Client_Margin($C24)*Alloted(L$3,L$2,L$5)/Get_Margin(L$3,L$2,L$5,L$1)),0),ROUNDUP((Client_Margin($C24)*Alloted(L$3,L$2,L$5)/Get_Margin(L$3,L$2,L$5,L$1)),0)),"-")</f>
        <v>20</v>
      </c>
      <c r="M24" s="14" cm="1">
        <f t="array" ref="M24">IFERROR(IF(ROUNDUP((Client_Margin($C24)*Alloted(M$3,M$2,M$5)/Get_Margin(M$3,M$2,M$5,M$1)),0)*Get_Margin(M$3,M$2,M$5,M$1)&gt;((Client_Margin($C24)*Alloted(M$3,M$2,M$5)/Get_Margin(M$3,M$2,M$5,M$1))*Get_Margin(M$3,M$2,M$5,M$1))*$D$3,ROUNDDOWN((Client_Margin($C24)*Alloted(M$3,M$2,M$5)/Get_Margin(M$3,M$2,M$5,M$1)),0),ROUNDUP((Client_Margin($C24)*Alloted(M$3,M$2,M$5)/Get_Margin(M$3,M$2,M$5,M$1)),0)),"-")</f>
        <v>0</v>
      </c>
      <c r="N24" s="14" cm="1">
        <f t="array" ref="N24">IFERROR(IF(ROUNDUP((Client_Margin($C24)*Alloted(N$3,N$2,N$5)/Get_Margin(N$3,N$2,N$5,N$1)),0)*Get_Margin(N$3,N$2,N$5,N$1)&gt;((Client_Margin($C24)*Alloted(N$3,N$2,N$5)/Get_Margin(N$3,N$2,N$5,N$1))*Get_Margin(N$3,N$2,N$5,N$1))*$D$3,ROUNDDOWN((Client_Margin($C24)*Alloted(N$3,N$2,N$5)/Get_Margin(N$3,N$2,N$5,N$1)),0),ROUNDUP((Client_Margin($C24)*Alloted(N$3,N$2,N$5)/Get_Margin(N$3,N$2,N$5,N$1)),0)),"-")</f>
        <v>0</v>
      </c>
      <c r="O24" s="14" cm="1">
        <f t="array" ref="O24">IFERROR(IF(ROUNDUP((Client_Margin($C24)*Alloted(O$3,O$2,O$5)/Get_Margin(O$3,O$2,O$5,O$1)),0)*Get_Margin(O$3,O$2,O$5,O$1)&gt;((Client_Margin($C24)*Alloted(O$3,O$2,O$5)/Get_Margin(O$3,O$2,O$5,O$1))*Get_Margin(O$3,O$2,O$5,O$1))*$D$3,ROUNDDOWN((Client_Margin($C24)*Alloted(O$3,O$2,O$5)/Get_Margin(O$3,O$2,O$5,O$1)),0),ROUNDUP((Client_Margin($C24)*Alloted(O$3,O$2,O$5)/Get_Margin(O$3,O$2,O$5,O$1)),0)),"-")</f>
        <v>0</v>
      </c>
      <c r="P24" s="14" cm="1">
        <f t="array" ref="P24">IFERROR(IF(ROUNDUP((Client_Margin($C24)*Alloted(P$3,P$2,P$5)/Get_Margin(P$3,P$2,P$5,P$1)),0)*Get_Margin(P$3,P$2,P$5,P$1)&gt;((Client_Margin($C24)*Alloted(P$3,P$2,P$5)/Get_Margin(P$3,P$2,P$5,P$1))*Get_Margin(P$3,P$2,P$5,P$1))*$D$3,ROUNDDOWN((Client_Margin($C24)*Alloted(P$3,P$2,P$5)/Get_Margin(P$3,P$2,P$5,P$1)),0),ROUNDUP((Client_Margin($C24)*Alloted(P$3,P$2,P$5)/Get_Margin(P$3,P$2,P$5,P$1)),0)),"-")</f>
        <v>0</v>
      </c>
      <c r="Q24" s="14" cm="1">
        <f t="array" ref="Q24">IFERROR(IF(ROUNDUP((Client_Margin($C24)*Alloted(Q$3,Q$2,Q$5)/Get_Margin(Q$3,Q$2,Q$5,Q$1)),0)*Get_Margin(Q$3,Q$2,Q$5,Q$1)&gt;((Client_Margin($C24)*Alloted(Q$3,Q$2,Q$5)/Get_Margin(Q$3,Q$2,Q$5,Q$1))*Get_Margin(Q$3,Q$2,Q$5,Q$1))*$D$3,ROUNDDOWN((Client_Margin($C24)*Alloted(Q$3,Q$2,Q$5)/Get_Margin(Q$3,Q$2,Q$5,Q$1)),0),ROUNDUP((Client_Margin($C24)*Alloted(Q$3,Q$2,Q$5)/Get_Margin(Q$3,Q$2,Q$5,Q$1)),0)),"-")</f>
        <v>0</v>
      </c>
    </row>
    <row r="25" spans="1:17" hidden="1" x14ac:dyDescent="0.25">
      <c r="A25">
        <f>_xlfn.XLOOKUP(C25,'OI QTY'!$O$5:$O$21,'OI QTY'!$N$5:$N$21,"")</f>
        <v>0</v>
      </c>
      <c r="B25">
        <f t="shared" si="2"/>
        <v>0</v>
      </c>
      <c r="C25" s="14"/>
      <c r="D25" s="14"/>
      <c r="E25" s="15">
        <f>SUM(F25:Q25)</f>
        <v>0.75966037735849057</v>
      </c>
      <c r="F25" s="15" t="str" cm="1">
        <f t="array" ref="F25">IFERROR((_xlfn._xlws.FILTER(INDEX(Margin[],0,MATCH(F$1&amp;"_"&amp;F$3,Margin[#Headers],0)),(Margin[Index]=F$2)*(Margin[Strategy]=F$5))*F24)/Client_Margin($C24),"-")</f>
        <v>-</v>
      </c>
      <c r="G25" s="15" t="str" cm="1">
        <f t="array" ref="G25">IFERROR((_xlfn._xlws.FILTER(INDEX(Margin[],0,MATCH(G$1&amp;"_"&amp;G$3,Margin[#Headers],0)),(Margin[Index]=G$2)*(Margin[Strategy]=G$5))*G24)/Client_Margin($C24),"-")</f>
        <v>-</v>
      </c>
      <c r="H25" s="15" cm="1">
        <f t="array" ref="H25">IFERROR((_xlfn._xlws.FILTER(INDEX(Margin[],0,MATCH(H$1&amp;"_"&amp;H$3,Margin[#Headers],0)),(Margin[Index]=H$2)*(Margin[Strategy]=H$5))*H24)/Client_Margin($C24),"-")</f>
        <v>0.1050566037735849</v>
      </c>
      <c r="I25" s="15" cm="1">
        <f t="array" ref="I25">IFERROR((_xlfn._xlws.FILTER(INDEX(Margin[],0,MATCH(I$1&amp;"_"&amp;I$3,Margin[#Headers],0)),(Margin[Index]=I$2)*(Margin[Strategy]=I$5))*I24)/Client_Margin($C24),"-")</f>
        <v>7.064150943396226E-2</v>
      </c>
      <c r="J25" s="15" cm="1">
        <f t="array" ref="J25">IFERROR((_xlfn._xlws.FILTER(INDEX(Margin[],0,MATCH(J$1&amp;"_"&amp;J$3,Margin[#Headers],0)),(Margin[Index]=J$2)*(Margin[Strategy]=J$5))*J24)/Client_Margin($C24),"-")</f>
        <v>6.0377358490566038E-2</v>
      </c>
      <c r="K25" s="15" cm="1">
        <f t="array" ref="K25">IFERROR((_xlfn._xlws.FILTER(INDEX(Margin[],0,MATCH(K$1&amp;"_"&amp;K$3,Margin[#Headers],0)),(Margin[Index]=K$2)*(Margin[Strategy]=K$5))*K24)/Client_Margin($C24),"-")</f>
        <v>0.10471698113207548</v>
      </c>
      <c r="L25" s="15" cm="1">
        <f t="array" ref="L25">IFERROR((_xlfn._xlws.FILTER(INDEX(Margin[],0,MATCH(L$1&amp;"_"&amp;L$3,Margin[#Headers],0)),(Margin[Index]=L$2)*(Margin[Strategy]=L$5))*L24)/Client_Margin($C24),"-")</f>
        <v>0.4188679245283019</v>
      </c>
      <c r="M25" s="15" cm="1">
        <f t="array" ref="M25">IFERROR((_xlfn._xlws.FILTER(INDEX(Margin[],0,MATCH(M$1&amp;"_"&amp;M$3,Margin[#Headers],0)),(Margin[Index]=M$2)*(Margin[Strategy]=M$5))*M24)/Client_Margin($C24),"-")</f>
        <v>0</v>
      </c>
      <c r="N25" s="15" cm="1">
        <f t="array" ref="N25">IFERROR((_xlfn._xlws.FILTER(INDEX(Margin[],0,MATCH(N$1&amp;"_"&amp;N$3,Margin[#Headers],0)),(Margin[Index]=N$2)*(Margin[Strategy]=N$5))*N24)/Client_Margin($C24),"-")</f>
        <v>0</v>
      </c>
      <c r="O25" s="15" cm="1">
        <f t="array" ref="O25">IFERROR((_xlfn._xlws.FILTER(INDEX(Margin[],0,MATCH(O$1&amp;"_"&amp;O$3,Margin[#Headers],0)),(Margin[Index]=O$2)*(Margin[Strategy]=O$5))*O24)/Client_Margin($C24),"-")</f>
        <v>0</v>
      </c>
      <c r="P25" s="15" cm="1">
        <f t="array" ref="P25">IFERROR((_xlfn._xlws.FILTER(INDEX(Margin[],0,MATCH(P$1&amp;"_"&amp;P$3,Margin[#Headers],0)),(Margin[Index]=P$2)*(Margin[Strategy]=P$5))*P24)/Client_Margin($C24),"-")</f>
        <v>0</v>
      </c>
      <c r="Q25" s="15" cm="1">
        <f t="array" ref="Q25">IFERROR((_xlfn._xlws.FILTER(INDEX(Margin[],0,MATCH(Q$1&amp;"_"&amp;Q$3,Margin[#Headers],0)),(Margin[Index]=Q$2)*(Margin[Strategy]=Q$5))*Q24)/Client_Margin($C24),"-")</f>
        <v>0</v>
      </c>
    </row>
    <row r="26" spans="1:17" hidden="1" x14ac:dyDescent="0.25">
      <c r="A26" t="str">
        <f>_xlfn.XLOOKUP(C26,'OI QTY'!$O$5:$O$21,'OI QTY'!$N$5:$N$21,"")</f>
        <v/>
      </c>
      <c r="B26">
        <f t="shared" si="2"/>
        <v>1</v>
      </c>
      <c r="C26" s="14" t="s">
        <v>53</v>
      </c>
      <c r="D26" s="14" cm="1">
        <f t="array" ref="D26">(_xlfn._xlws.FILTER(Fund[Margin],Fund[Client Id]=C26))/10000000</f>
        <v>2.4</v>
      </c>
      <c r="E26" s="17"/>
      <c r="F26" s="14" t="str" cm="1">
        <f t="array" ref="F26">IFERROR(IF(ROUNDUP((Client_Margin($C26)*Alloted(F$3,F$2,F$5)/Get_Margin(F$3,F$2,F$5,F$1)),0)*Get_Margin(F$3,F$2,F$5,F$1)&gt;((Client_Margin($C26)*Alloted(F$3,F$2,F$5)/Get_Margin(F$3,F$2,F$5,F$1))*Get_Margin(F$3,F$2,F$5,F$1))*$D$3,ROUNDDOWN((Client_Margin($C26)*Alloted(F$3,F$2,F$5)/Get_Margin(F$3,F$2,F$5,F$1)),0),ROUNDUP((Client_Margin($C26)*Alloted(F$3,F$2,F$5)/Get_Margin(F$3,F$2,F$5,F$1)),0)),"-")</f>
        <v>-</v>
      </c>
      <c r="G26" s="14" t="str" cm="1">
        <f t="array" ref="G26">IFERROR(IF(ROUNDUP((Client_Margin($C26)*Alloted(G$3,G$2,G$5)/Get_Margin(G$3,G$2,G$5,G$1)),0)*Get_Margin(G$3,G$2,G$5,G$1)&gt;((Client_Margin($C26)*Alloted(G$3,G$2,G$5)/Get_Margin(G$3,G$2,G$5,G$1))*Get_Margin(G$3,G$2,G$5,G$1))*$D$3,ROUNDDOWN((Client_Margin($C26)*Alloted(G$3,G$2,G$5)/Get_Margin(G$3,G$2,G$5,G$1)),0),ROUNDUP((Client_Margin($C26)*Alloted(G$3,G$2,G$5)/Get_Margin(G$3,G$2,G$5,G$1)),0)),"-")</f>
        <v>-</v>
      </c>
      <c r="H26" s="14" cm="1">
        <f t="array" ref="H26">IFERROR(IF(ROUNDUP((Client_Margin($C26)*Alloted(H$3,H$2,H$5)/Get_Margin(H$3,H$2,H$5,H$1)),0)*Get_Margin(H$3,H$2,H$5,H$1)&gt;((Client_Margin($C26)*Alloted(H$3,H$2,H$5)/Get_Margin(H$3,H$2,H$5,H$1))*Get_Margin(H$3,H$2,H$5,H$1))*$D$3,ROUNDDOWN((Client_Margin($C26)*Alloted(H$3,H$2,H$5)/Get_Margin(H$3,H$2,H$5,H$1)),0),ROUNDUP((Client_Margin($C26)*Alloted(H$3,H$2,H$5)/Get_Margin(H$3,H$2,H$5,H$1)),0)),"-")</f>
        <v>3</v>
      </c>
      <c r="I26" s="14" cm="1">
        <f t="array" ref="I26">IFERROR(IF(ROUNDUP((Client_Margin($C26)*Alloted(I$3,I$2,I$5)/Get_Margin(I$3,I$2,I$5,I$1)),0)*Get_Margin(I$3,I$2,I$5,I$1)&gt;((Client_Margin($C26)*Alloted(I$3,I$2,I$5)/Get_Margin(I$3,I$2,I$5,I$1))*Get_Margin(I$3,I$2,I$5,I$1))*$D$3,ROUNDDOWN((Client_Margin($C26)*Alloted(I$3,I$2,I$5)/Get_Margin(I$3,I$2,I$5,I$1)),0),ROUNDUP((Client_Margin($C26)*Alloted(I$3,I$2,I$5)/Get_Margin(I$3,I$2,I$5,I$1)),0)),"-")</f>
        <v>1</v>
      </c>
      <c r="J26" s="14" cm="1">
        <f t="array" ref="J26">IFERROR(IF(ROUNDUP((Client_Margin($C26)*Alloted(J$3,J$2,J$5)/Get_Margin(J$3,J$2,J$5,J$1)),0)*Get_Margin(J$3,J$2,J$5,J$1)&gt;((Client_Margin($C26)*Alloted(J$3,J$2,J$5)/Get_Margin(J$3,J$2,J$5,J$1))*Get_Margin(J$3,J$2,J$5,J$1))*$D$3,ROUNDDOWN((Client_Margin($C26)*Alloted(J$3,J$2,J$5)/Get_Margin(J$3,J$2,J$5,J$1)),0),ROUNDUP((Client_Margin($C26)*Alloted(J$3,J$2,J$5)/Get_Margin(J$3,J$2,J$5,J$1)),0)),"-")</f>
        <v>1</v>
      </c>
      <c r="K26" s="14" cm="1">
        <f t="array" ref="K26">IFERROR(IF(ROUNDUP((Client_Margin($C26)*Alloted(K$3,K$2,K$5)/Get_Margin(K$3,K$2,K$5,K$1)),0)*Get_Margin(K$3,K$2,K$5,K$1)&gt;((Client_Margin($C26)*Alloted(K$3,K$2,K$5)/Get_Margin(K$3,K$2,K$5,K$1))*Get_Margin(K$3,K$2,K$5,K$1))*$D$3,ROUNDDOWN((Client_Margin($C26)*Alloted(K$3,K$2,K$5)/Get_Margin(K$3,K$2,K$5,K$1)),0),ROUNDUP((Client_Margin($C26)*Alloted(K$3,K$2,K$5)/Get_Margin(K$3,K$2,K$5,K$1)),0)),"-")</f>
        <v>4</v>
      </c>
      <c r="L26" s="14" cm="1">
        <f t="array" ref="L26">IFERROR(IF(ROUNDUP((Client_Margin($C26)*Alloted(L$3,L$2,L$5)/Get_Margin(L$3,L$2,L$5,L$1)),0)*Get_Margin(L$3,L$2,L$5,L$1)&gt;((Client_Margin($C26)*Alloted(L$3,L$2,L$5)/Get_Margin(L$3,L$2,L$5,L$1))*Get_Margin(L$3,L$2,L$5,L$1))*$D$3,ROUNDDOWN((Client_Margin($C26)*Alloted(L$3,L$2,L$5)/Get_Margin(L$3,L$2,L$5,L$1)),0),ROUNDUP((Client_Margin($C26)*Alloted(L$3,L$2,L$5)/Get_Margin(L$3,L$2,L$5,L$1)),0)),"-")</f>
        <v>18</v>
      </c>
      <c r="M26" s="14" cm="1">
        <f t="array" ref="M26">IFERROR(IF(ROUNDUP((Client_Margin($C26)*Alloted(M$3,M$2,M$5)/Get_Margin(M$3,M$2,M$5,M$1)),0)*Get_Margin(M$3,M$2,M$5,M$1)&gt;((Client_Margin($C26)*Alloted(M$3,M$2,M$5)/Get_Margin(M$3,M$2,M$5,M$1))*Get_Margin(M$3,M$2,M$5,M$1))*$D$3,ROUNDDOWN((Client_Margin($C26)*Alloted(M$3,M$2,M$5)/Get_Margin(M$3,M$2,M$5,M$1)),0),ROUNDUP((Client_Margin($C26)*Alloted(M$3,M$2,M$5)/Get_Margin(M$3,M$2,M$5,M$1)),0)),"-")</f>
        <v>0</v>
      </c>
      <c r="N26" s="14" cm="1">
        <f t="array" ref="N26">IFERROR(IF(ROUNDUP((Client_Margin($C26)*Alloted(N$3,N$2,N$5)/Get_Margin(N$3,N$2,N$5,N$1)),0)*Get_Margin(N$3,N$2,N$5,N$1)&gt;((Client_Margin($C26)*Alloted(N$3,N$2,N$5)/Get_Margin(N$3,N$2,N$5,N$1))*Get_Margin(N$3,N$2,N$5,N$1))*$D$3,ROUNDDOWN((Client_Margin($C26)*Alloted(N$3,N$2,N$5)/Get_Margin(N$3,N$2,N$5,N$1)),0),ROUNDUP((Client_Margin($C26)*Alloted(N$3,N$2,N$5)/Get_Margin(N$3,N$2,N$5,N$1)),0)),"-")</f>
        <v>0</v>
      </c>
      <c r="O26" s="14" cm="1">
        <f t="array" ref="O26">IFERROR(IF(ROUNDUP((Client_Margin($C26)*Alloted(O$3,O$2,O$5)/Get_Margin(O$3,O$2,O$5,O$1)),0)*Get_Margin(O$3,O$2,O$5,O$1)&gt;((Client_Margin($C26)*Alloted(O$3,O$2,O$5)/Get_Margin(O$3,O$2,O$5,O$1))*Get_Margin(O$3,O$2,O$5,O$1))*$D$3,ROUNDDOWN((Client_Margin($C26)*Alloted(O$3,O$2,O$5)/Get_Margin(O$3,O$2,O$5,O$1)),0),ROUNDUP((Client_Margin($C26)*Alloted(O$3,O$2,O$5)/Get_Margin(O$3,O$2,O$5,O$1)),0)),"-")</f>
        <v>0</v>
      </c>
      <c r="P26" s="14" cm="1">
        <f t="array" ref="P26">IFERROR(IF(ROUNDUP((Client_Margin($C26)*Alloted(P$3,P$2,P$5)/Get_Margin(P$3,P$2,P$5,P$1)),0)*Get_Margin(P$3,P$2,P$5,P$1)&gt;((Client_Margin($C26)*Alloted(P$3,P$2,P$5)/Get_Margin(P$3,P$2,P$5,P$1))*Get_Margin(P$3,P$2,P$5,P$1))*$D$3,ROUNDDOWN((Client_Margin($C26)*Alloted(P$3,P$2,P$5)/Get_Margin(P$3,P$2,P$5,P$1)),0),ROUNDUP((Client_Margin($C26)*Alloted(P$3,P$2,P$5)/Get_Margin(P$3,P$2,P$5,P$1)),0)),"-")</f>
        <v>0</v>
      </c>
      <c r="Q26" s="14" cm="1">
        <f t="array" ref="Q26">IFERROR(IF(ROUNDUP((Client_Margin($C26)*Alloted(Q$3,Q$2,Q$5)/Get_Margin(Q$3,Q$2,Q$5,Q$1)),0)*Get_Margin(Q$3,Q$2,Q$5,Q$1)&gt;((Client_Margin($C26)*Alloted(Q$3,Q$2,Q$5)/Get_Margin(Q$3,Q$2,Q$5,Q$1))*Get_Margin(Q$3,Q$2,Q$5,Q$1))*$D$3,ROUNDDOWN((Client_Margin($C26)*Alloted(Q$3,Q$2,Q$5)/Get_Margin(Q$3,Q$2,Q$5,Q$1)),0),ROUNDUP((Client_Margin($C26)*Alloted(Q$3,Q$2,Q$5)/Get_Margin(Q$3,Q$2,Q$5,Q$1)),0)),"-")</f>
        <v>0</v>
      </c>
    </row>
    <row r="27" spans="1:17" hidden="1" x14ac:dyDescent="0.25">
      <c r="A27">
        <f>_xlfn.XLOOKUP(C27,'OI QTY'!$O$5:$O$21,'OI QTY'!$N$5:$N$21,"")</f>
        <v>0</v>
      </c>
      <c r="B27">
        <f t="shared" si="2"/>
        <v>0</v>
      </c>
      <c r="C27" s="14"/>
      <c r="D27" s="14"/>
      <c r="E27" s="15">
        <f>SUM(F27:Q27)</f>
        <v>0.74041666666666661</v>
      </c>
      <c r="F27" s="15" t="str" cm="1">
        <f t="array" ref="F27">IFERROR((_xlfn._xlws.FILTER(INDEX(Margin[],0,MATCH(F$1&amp;"_"&amp;F$3,Margin[#Headers],0)),(Margin[Index]=F$2)*(Margin[Strategy]=F$5))*F26)/Client_Margin($C26),"-")</f>
        <v>-</v>
      </c>
      <c r="G27" s="15" t="str" cm="1">
        <f t="array" ref="G27">IFERROR((_xlfn._xlws.FILTER(INDEX(Margin[],0,MATCH(G$1&amp;"_"&amp;G$3,Margin[#Headers],0)),(Margin[Index]=G$2)*(Margin[Strategy]=G$5))*G26)/Client_Margin($C26),"-")</f>
        <v>-</v>
      </c>
      <c r="H27" s="15" cm="1">
        <f t="array" ref="H27">IFERROR((_xlfn._xlws.FILTER(INDEX(Margin[],0,MATCH(H$1&amp;"_"&amp;H$3,Margin[#Headers],0)),(Margin[Index]=H$2)*(Margin[Strategy]=H$5))*H26)/Client_Margin($C26),"-")</f>
        <v>8.6999999999999994E-2</v>
      </c>
      <c r="I27" s="15" cm="1">
        <f t="array" ref="I27">IFERROR((_xlfn._xlws.FILTER(INDEX(Margin[],0,MATCH(I$1&amp;"_"&amp;I$3,Margin[#Headers],0)),(Margin[Index]=I$2)*(Margin[Strategy]=I$5))*I26)/Client_Margin($C26),"-")</f>
        <v>7.8E-2</v>
      </c>
      <c r="J27" s="15" cm="1">
        <f t="array" ref="J27">IFERROR((_xlfn._xlws.FILTER(INDEX(Margin[],0,MATCH(J$1&amp;"_"&amp;J$3,Margin[#Headers],0)),(Margin[Index]=J$2)*(Margin[Strategy]=J$5))*J26)/Client_Margin($C26),"-")</f>
        <v>6.6666666666666666E-2</v>
      </c>
      <c r="K27" s="15" cm="1">
        <f t="array" ref="K27">IFERROR((_xlfn._xlws.FILTER(INDEX(Margin[],0,MATCH(K$1&amp;"_"&amp;K$3,Margin[#Headers],0)),(Margin[Index]=K$2)*(Margin[Strategy]=K$5))*K26)/Client_Margin($C26),"-")</f>
        <v>9.2499999999999999E-2</v>
      </c>
      <c r="L27" s="15" cm="1">
        <f t="array" ref="L27">IFERROR((_xlfn._xlws.FILTER(INDEX(Margin[],0,MATCH(L$1&amp;"_"&amp;L$3,Margin[#Headers],0)),(Margin[Index]=L$2)*(Margin[Strategy]=L$5))*L26)/Client_Margin($C26),"-")</f>
        <v>0.41625000000000001</v>
      </c>
      <c r="M27" s="15" cm="1">
        <f t="array" ref="M27">IFERROR((_xlfn._xlws.FILTER(INDEX(Margin[],0,MATCH(M$1&amp;"_"&amp;M$3,Margin[#Headers],0)),(Margin[Index]=M$2)*(Margin[Strategy]=M$5))*M26)/Client_Margin($C26),"-")</f>
        <v>0</v>
      </c>
      <c r="N27" s="15" cm="1">
        <f t="array" ref="N27">IFERROR((_xlfn._xlws.FILTER(INDEX(Margin[],0,MATCH(N$1&amp;"_"&amp;N$3,Margin[#Headers],0)),(Margin[Index]=N$2)*(Margin[Strategy]=N$5))*N26)/Client_Margin($C26),"-")</f>
        <v>0</v>
      </c>
      <c r="O27" s="15" cm="1">
        <f t="array" ref="O27">IFERROR((_xlfn._xlws.FILTER(INDEX(Margin[],0,MATCH(O$1&amp;"_"&amp;O$3,Margin[#Headers],0)),(Margin[Index]=O$2)*(Margin[Strategy]=O$5))*O26)/Client_Margin($C26),"-")</f>
        <v>0</v>
      </c>
      <c r="P27" s="15" cm="1">
        <f t="array" ref="P27">IFERROR((_xlfn._xlws.FILTER(INDEX(Margin[],0,MATCH(P$1&amp;"_"&amp;P$3,Margin[#Headers],0)),(Margin[Index]=P$2)*(Margin[Strategy]=P$5))*P26)/Client_Margin($C26),"-")</f>
        <v>0</v>
      </c>
      <c r="Q27" s="15" cm="1">
        <f t="array" ref="Q27">IFERROR((_xlfn._xlws.FILTER(INDEX(Margin[],0,MATCH(Q$1&amp;"_"&amp;Q$3,Margin[#Headers],0)),(Margin[Index]=Q$2)*(Margin[Strategy]=Q$5))*Q26)/Client_Margin($C26),"-")</f>
        <v>0</v>
      </c>
    </row>
    <row r="28" spans="1:17" x14ac:dyDescent="0.25">
      <c r="A28" t="str">
        <f>_xlfn.XLOOKUP(C28,'OI QTY'!$O$5:$O$21,'OI QTY'!$N$5:$N$21,"")</f>
        <v>K</v>
      </c>
      <c r="B28">
        <f>IF(C28="",0,1)</f>
        <v>1</v>
      </c>
      <c r="C28" s="14" t="s">
        <v>129</v>
      </c>
      <c r="D28" s="14" cm="1">
        <f t="array" ref="D28">(_xlfn._xlws.FILTER(Fund[Margin],Fund[Client Id]=C28))/10000000</f>
        <v>2.4</v>
      </c>
      <c r="E28" s="17"/>
      <c r="F28" s="14" t="str" cm="1">
        <f t="array" ref="F28">IFERROR(IF(ROUNDUP((Client_Margin($C28)*Alloted(F$3,F$2,F$5)/Get_Margin(F$3,F$2,F$5,F$1)),0)*Get_Margin(F$3,F$2,F$5,F$1)&gt;((Client_Margin($C28)*Alloted(F$3,F$2,F$5)/Get_Margin(F$3,F$2,F$5,F$1))*Get_Margin(F$3,F$2,F$5,F$1))*$D$3,ROUNDDOWN((Client_Margin($C28)*Alloted(F$3,F$2,F$5)/Get_Margin(F$3,F$2,F$5,F$1)),0),ROUNDUP((Client_Margin($C28)*Alloted(F$3,F$2,F$5)/Get_Margin(F$3,F$2,F$5,F$1)),0)),"-")</f>
        <v>-</v>
      </c>
      <c r="G28" s="14" t="str" cm="1">
        <f t="array" ref="G28">IFERROR(IF(ROUNDUP((Client_Margin($C28)*Alloted(G$3,G$2,G$5)/Get_Margin(G$3,G$2,G$5,G$1)),0)*Get_Margin(G$3,G$2,G$5,G$1)&gt;((Client_Margin($C28)*Alloted(G$3,G$2,G$5)/Get_Margin(G$3,G$2,G$5,G$1))*Get_Margin(G$3,G$2,G$5,G$1))*$D$3,ROUNDDOWN((Client_Margin($C28)*Alloted(G$3,G$2,G$5)/Get_Margin(G$3,G$2,G$5,G$1)),0),ROUNDUP((Client_Margin($C28)*Alloted(G$3,G$2,G$5)/Get_Margin(G$3,G$2,G$5,G$1)),0)),"-")</f>
        <v>-</v>
      </c>
      <c r="H28" s="14" cm="1">
        <f t="array" ref="H28">IFERROR(IF(ROUNDUP((Client_Margin($C28)*Alloted(H$3,H$2,H$5)/Get_Margin(H$3,H$2,H$5,H$1)),0)*Get_Margin(H$3,H$2,H$5,H$1)&gt;((Client_Margin($C28)*Alloted(H$3,H$2,H$5)/Get_Margin(H$3,H$2,H$5,H$1))*Get_Margin(H$3,H$2,H$5,H$1))*$D$3,ROUNDDOWN((Client_Margin($C28)*Alloted(H$3,H$2,H$5)/Get_Margin(H$3,H$2,H$5,H$1)),0),ROUNDUP((Client_Margin($C28)*Alloted(H$3,H$2,H$5)/Get_Margin(H$3,H$2,H$5,H$1)),0)),"-")</f>
        <v>3</v>
      </c>
      <c r="I28" s="14" cm="1">
        <f t="array" ref="I28">IFERROR(IF(ROUNDUP((Client_Margin($C28)*Alloted(I$3,I$2,I$5)/Get_Margin(I$3,I$2,I$5,I$1)),0)*Get_Margin(I$3,I$2,I$5,I$1)&gt;((Client_Margin($C28)*Alloted(I$3,I$2,I$5)/Get_Margin(I$3,I$2,I$5,I$1))*Get_Margin(I$3,I$2,I$5,I$1))*$D$3,ROUNDDOWN((Client_Margin($C28)*Alloted(I$3,I$2,I$5)/Get_Margin(I$3,I$2,I$5,I$1)),0),ROUNDUP((Client_Margin($C28)*Alloted(I$3,I$2,I$5)/Get_Margin(I$3,I$2,I$5,I$1)),0)),"-")</f>
        <v>1</v>
      </c>
      <c r="J28" s="14" cm="1">
        <f t="array" ref="J28">IFERROR(IF(ROUNDUP((Client_Margin($C28)*Alloted(J$3,J$2,J$5)/Get_Margin(J$3,J$2,J$5,J$1)),0)*Get_Margin(J$3,J$2,J$5,J$1)&gt;((Client_Margin($C28)*Alloted(J$3,J$2,J$5)/Get_Margin(J$3,J$2,J$5,J$1))*Get_Margin(J$3,J$2,J$5,J$1))*$D$3,ROUNDDOWN((Client_Margin($C28)*Alloted(J$3,J$2,J$5)/Get_Margin(J$3,J$2,J$5,J$1)),0),ROUNDUP((Client_Margin($C28)*Alloted(J$3,J$2,J$5)/Get_Margin(J$3,J$2,J$5,J$1)),0)),"-")</f>
        <v>1</v>
      </c>
      <c r="K28" s="14" cm="1">
        <f t="array" ref="K28">IFERROR(IF(ROUNDUP((Client_Margin($C28)*Alloted(K$3,K$2,K$5)/Get_Margin(K$3,K$2,K$5,K$1)),0)*Get_Margin(K$3,K$2,K$5,K$1)&gt;((Client_Margin($C28)*Alloted(K$3,K$2,K$5)/Get_Margin(K$3,K$2,K$5,K$1))*Get_Margin(K$3,K$2,K$5,K$1))*$D$3,ROUNDDOWN((Client_Margin($C28)*Alloted(K$3,K$2,K$5)/Get_Margin(K$3,K$2,K$5,K$1)),0),ROUNDUP((Client_Margin($C28)*Alloted(K$3,K$2,K$5)/Get_Margin(K$3,K$2,K$5,K$1)),0)),"-")</f>
        <v>4</v>
      </c>
      <c r="L28" s="14" cm="1">
        <f t="array" ref="L28">IFERROR(IF(ROUNDUP((Client_Margin($C28)*Alloted(L$3,L$2,L$5)/Get_Margin(L$3,L$2,L$5,L$1)),0)*Get_Margin(L$3,L$2,L$5,L$1)&gt;((Client_Margin($C28)*Alloted(L$3,L$2,L$5)/Get_Margin(L$3,L$2,L$5,L$1))*Get_Margin(L$3,L$2,L$5,L$1))*$D$3,ROUNDDOWN((Client_Margin($C28)*Alloted(L$3,L$2,L$5)/Get_Margin(L$3,L$2,L$5,L$1)),0),ROUNDUP((Client_Margin($C28)*Alloted(L$3,L$2,L$5)/Get_Margin(L$3,L$2,L$5,L$1)),0)),"-")</f>
        <v>18</v>
      </c>
      <c r="M28" s="14" cm="1">
        <f t="array" ref="M28">IFERROR(IF(ROUNDUP((Client_Margin($C28)*Alloted(M$3,M$2,M$5)/Get_Margin(M$3,M$2,M$5,M$1)),0)*Get_Margin(M$3,M$2,M$5,M$1)&gt;((Client_Margin($C28)*Alloted(M$3,M$2,M$5)/Get_Margin(M$3,M$2,M$5,M$1))*Get_Margin(M$3,M$2,M$5,M$1))*$D$3,ROUNDDOWN((Client_Margin($C28)*Alloted(M$3,M$2,M$5)/Get_Margin(M$3,M$2,M$5,M$1)),0),ROUNDUP((Client_Margin($C28)*Alloted(M$3,M$2,M$5)/Get_Margin(M$3,M$2,M$5,M$1)),0)),"-")</f>
        <v>0</v>
      </c>
      <c r="N28" s="14" cm="1">
        <f t="array" ref="N28">IFERROR(IF(ROUNDUP((Client_Margin($C28)*Alloted(N$3,N$2,N$5)/Get_Margin(N$3,N$2,N$5,N$1)),0)*Get_Margin(N$3,N$2,N$5,N$1)&gt;((Client_Margin($C28)*Alloted(N$3,N$2,N$5)/Get_Margin(N$3,N$2,N$5,N$1))*Get_Margin(N$3,N$2,N$5,N$1))*$D$3,ROUNDDOWN((Client_Margin($C28)*Alloted(N$3,N$2,N$5)/Get_Margin(N$3,N$2,N$5,N$1)),0),ROUNDUP((Client_Margin($C28)*Alloted(N$3,N$2,N$5)/Get_Margin(N$3,N$2,N$5,N$1)),0)),"-")</f>
        <v>0</v>
      </c>
      <c r="O28" s="14" cm="1">
        <f t="array" ref="O28">IFERROR(IF(ROUNDUP((Client_Margin($C28)*Alloted(O$3,O$2,O$5)/Get_Margin(O$3,O$2,O$5,O$1)),0)*Get_Margin(O$3,O$2,O$5,O$1)&gt;((Client_Margin($C28)*Alloted(O$3,O$2,O$5)/Get_Margin(O$3,O$2,O$5,O$1))*Get_Margin(O$3,O$2,O$5,O$1))*$D$3,ROUNDDOWN((Client_Margin($C28)*Alloted(O$3,O$2,O$5)/Get_Margin(O$3,O$2,O$5,O$1)),0),ROUNDUP((Client_Margin($C28)*Alloted(O$3,O$2,O$5)/Get_Margin(O$3,O$2,O$5,O$1)),0)),"-")</f>
        <v>0</v>
      </c>
      <c r="P28" s="14" cm="1">
        <f t="array" ref="P28">IFERROR(IF(ROUNDUP((Client_Margin($C28)*Alloted(P$3,P$2,P$5)/Get_Margin(P$3,P$2,P$5,P$1)),0)*Get_Margin(P$3,P$2,P$5,P$1)&gt;((Client_Margin($C28)*Alloted(P$3,P$2,P$5)/Get_Margin(P$3,P$2,P$5,P$1))*Get_Margin(P$3,P$2,P$5,P$1))*$D$3,ROUNDDOWN((Client_Margin($C28)*Alloted(P$3,P$2,P$5)/Get_Margin(P$3,P$2,P$5,P$1)),0),ROUNDUP((Client_Margin($C28)*Alloted(P$3,P$2,P$5)/Get_Margin(P$3,P$2,P$5,P$1)),0)),"-")</f>
        <v>0</v>
      </c>
      <c r="Q28" s="14" cm="1">
        <f t="array" ref="Q28">IFERROR(IF(ROUNDUP((Client_Margin($C28)*Alloted(Q$3,Q$2,Q$5)/Get_Margin(Q$3,Q$2,Q$5,Q$1)),0)*Get_Margin(Q$3,Q$2,Q$5,Q$1)&gt;((Client_Margin($C28)*Alloted(Q$3,Q$2,Q$5)/Get_Margin(Q$3,Q$2,Q$5,Q$1))*Get_Margin(Q$3,Q$2,Q$5,Q$1))*$D$3,ROUNDDOWN((Client_Margin($C28)*Alloted(Q$3,Q$2,Q$5)/Get_Margin(Q$3,Q$2,Q$5,Q$1)),0),ROUNDUP((Client_Margin($C28)*Alloted(Q$3,Q$2,Q$5)/Get_Margin(Q$3,Q$2,Q$5,Q$1)),0)),"-")</f>
        <v>0</v>
      </c>
    </row>
    <row r="29" spans="1:17" hidden="1" x14ac:dyDescent="0.25">
      <c r="A29">
        <f>_xlfn.XLOOKUP(C29,'OI QTY'!$O$5:$O$21,'OI QTY'!$N$5:$N$21,"")</f>
        <v>0</v>
      </c>
      <c r="B29">
        <f>IF(C29="",0,1)</f>
        <v>0</v>
      </c>
      <c r="C29" s="14"/>
      <c r="D29" s="14"/>
      <c r="E29" s="15">
        <f>SUM(F29:Q29)</f>
        <v>0.74041666666666661</v>
      </c>
      <c r="F29" s="15" t="str" cm="1">
        <f t="array" ref="F29">IFERROR((_xlfn._xlws.FILTER(INDEX(Margin[],0,MATCH(F$1&amp;"_"&amp;F$3,Margin[#Headers],0)),(Margin[Index]=F$2)*(Margin[Strategy]=F$5))*F28)/Client_Margin($C28),"-")</f>
        <v>-</v>
      </c>
      <c r="G29" s="15" t="str" cm="1">
        <f t="array" ref="G29">IFERROR((_xlfn._xlws.FILTER(INDEX(Margin[],0,MATCH(G$1&amp;"_"&amp;G$3,Margin[#Headers],0)),(Margin[Index]=G$2)*(Margin[Strategy]=G$5))*G28)/Client_Margin($C28),"-")</f>
        <v>-</v>
      </c>
      <c r="H29" s="15" cm="1">
        <f t="array" ref="H29">IFERROR((_xlfn._xlws.FILTER(INDEX(Margin[],0,MATCH(H$1&amp;"_"&amp;H$3,Margin[#Headers],0)),(Margin[Index]=H$2)*(Margin[Strategy]=H$5))*H28)/Client_Margin($C28),"-")</f>
        <v>8.6999999999999994E-2</v>
      </c>
      <c r="I29" s="15" cm="1">
        <f t="array" ref="I29">IFERROR((_xlfn._xlws.FILTER(INDEX(Margin[],0,MATCH(I$1&amp;"_"&amp;I$3,Margin[#Headers],0)),(Margin[Index]=I$2)*(Margin[Strategy]=I$5))*I28)/Client_Margin($C28),"-")</f>
        <v>7.8E-2</v>
      </c>
      <c r="J29" s="15" cm="1">
        <f t="array" ref="J29">IFERROR((_xlfn._xlws.FILTER(INDEX(Margin[],0,MATCH(J$1&amp;"_"&amp;J$3,Margin[#Headers],0)),(Margin[Index]=J$2)*(Margin[Strategy]=J$5))*J28)/Client_Margin($C28),"-")</f>
        <v>6.6666666666666666E-2</v>
      </c>
      <c r="K29" s="15" cm="1">
        <f t="array" ref="K29">IFERROR((_xlfn._xlws.FILTER(INDEX(Margin[],0,MATCH(K$1&amp;"_"&amp;K$3,Margin[#Headers],0)),(Margin[Index]=K$2)*(Margin[Strategy]=K$5))*K28)/Client_Margin($C28),"-")</f>
        <v>9.2499999999999999E-2</v>
      </c>
      <c r="L29" s="15" cm="1">
        <f t="array" ref="L29">IFERROR((_xlfn._xlws.FILTER(INDEX(Margin[],0,MATCH(L$1&amp;"_"&amp;L$3,Margin[#Headers],0)),(Margin[Index]=L$2)*(Margin[Strategy]=L$5))*L28)/Client_Margin($C28),"-")</f>
        <v>0.41625000000000001</v>
      </c>
      <c r="M29" s="15" cm="1">
        <f t="array" ref="M29">IFERROR((_xlfn._xlws.FILTER(INDEX(Margin[],0,MATCH(M$1&amp;"_"&amp;M$3,Margin[#Headers],0)),(Margin[Index]=M$2)*(Margin[Strategy]=M$5))*M28)/Client_Margin($C28),"-")</f>
        <v>0</v>
      </c>
      <c r="N29" s="15" cm="1">
        <f t="array" ref="N29">IFERROR((_xlfn._xlws.FILTER(INDEX(Margin[],0,MATCH(N$1&amp;"_"&amp;N$3,Margin[#Headers],0)),(Margin[Index]=N$2)*(Margin[Strategy]=N$5))*N28)/Client_Margin($C28),"-")</f>
        <v>0</v>
      </c>
      <c r="O29" s="15" cm="1">
        <f t="array" ref="O29">IFERROR((_xlfn._xlws.FILTER(INDEX(Margin[],0,MATCH(O$1&amp;"_"&amp;O$3,Margin[#Headers],0)),(Margin[Index]=O$2)*(Margin[Strategy]=O$5))*O28)/Client_Margin($C28),"-")</f>
        <v>0</v>
      </c>
      <c r="P29" s="15" cm="1">
        <f t="array" ref="P29">IFERROR((_xlfn._xlws.FILTER(INDEX(Margin[],0,MATCH(P$1&amp;"_"&amp;P$3,Margin[#Headers],0)),(Margin[Index]=P$2)*(Margin[Strategy]=P$5))*P28)/Client_Margin($C28),"-")</f>
        <v>0</v>
      </c>
      <c r="Q29" s="15" cm="1">
        <f t="array" ref="Q29">IFERROR((_xlfn._xlws.FILTER(INDEX(Margin[],0,MATCH(Q$1&amp;"_"&amp;Q$3,Margin[#Headers],0)),(Margin[Index]=Q$2)*(Margin[Strategy]=Q$5))*Q28)/Client_Margin($C28),"-")</f>
        <v>0</v>
      </c>
    </row>
    <row r="30" spans="1:17" x14ac:dyDescent="0.25">
      <c r="A30" t="str">
        <f>_xlfn.XLOOKUP(C30,'OI QTY'!$O$5:$O$21,'OI QTY'!$N$5:$N$21,"")</f>
        <v>K</v>
      </c>
      <c r="B30">
        <f t="shared" ref="B30:B31" si="3">IF(C30="",0,1)</f>
        <v>1</v>
      </c>
      <c r="C30" s="14" t="s">
        <v>114</v>
      </c>
      <c r="D30" s="14" cm="1">
        <f t="array" ref="D30">(_xlfn._xlws.FILTER(Fund[Margin],Fund[Client Id]=C30))/10000000</f>
        <v>1.85</v>
      </c>
      <c r="E30" s="17"/>
      <c r="F30" s="14" t="str" cm="1">
        <f t="array" ref="F30">IFERROR(IF(ROUNDUP((Client_Margin($C30)*Alloted(F$3,F$2,F$5)/Get_Margin(F$3,F$2,F$5,F$1)),0)*Get_Margin(F$3,F$2,F$5,F$1)&gt;((Client_Margin($C30)*Alloted(F$3,F$2,F$5)/Get_Margin(F$3,F$2,F$5,F$1))*Get_Margin(F$3,F$2,F$5,F$1))*$D$3,ROUNDDOWN((Client_Margin($C30)*Alloted(F$3,F$2,F$5)/Get_Margin(F$3,F$2,F$5,F$1)),0),ROUNDUP((Client_Margin($C30)*Alloted(F$3,F$2,F$5)/Get_Margin(F$3,F$2,F$5,F$1)),0)),"-")</f>
        <v>-</v>
      </c>
      <c r="G30" s="14" t="str" cm="1">
        <f t="array" ref="G30">IFERROR(IF(ROUNDUP((Client_Margin($C30)*Alloted(G$3,G$2,G$5)/Get_Margin(G$3,G$2,G$5,G$1)),0)*Get_Margin(G$3,G$2,G$5,G$1)&gt;((Client_Margin($C30)*Alloted(G$3,G$2,G$5)/Get_Margin(G$3,G$2,G$5,G$1))*Get_Margin(G$3,G$2,G$5,G$1))*$D$3,ROUNDDOWN((Client_Margin($C30)*Alloted(G$3,G$2,G$5)/Get_Margin(G$3,G$2,G$5,G$1)),0),ROUNDUP((Client_Margin($C30)*Alloted(G$3,G$2,G$5)/Get_Margin(G$3,G$2,G$5,G$1)),0)),"-")</f>
        <v>-</v>
      </c>
      <c r="H30" s="14" cm="1">
        <f t="array" ref="H30">IFERROR(IF(ROUNDUP((Client_Margin($C30)*Alloted(H$3,H$2,H$5)/Get_Margin(H$3,H$2,H$5,H$1)),0)*Get_Margin(H$3,H$2,H$5,H$1)&gt;((Client_Margin($C30)*Alloted(H$3,H$2,H$5)/Get_Margin(H$3,H$2,H$5,H$1))*Get_Margin(H$3,H$2,H$5,H$1))*$D$3,ROUNDDOWN((Client_Margin($C30)*Alloted(H$3,H$2,H$5)/Get_Margin(H$3,H$2,H$5,H$1)),0),ROUNDUP((Client_Margin($C30)*Alloted(H$3,H$2,H$5)/Get_Margin(H$3,H$2,H$5,H$1)),0)),"-")</f>
        <v>3</v>
      </c>
      <c r="I30" s="14" cm="1">
        <f t="array" ref="I30">IFERROR(IF(ROUNDUP((Client_Margin($C30)*Alloted(I$3,I$2,I$5)/Get_Margin(I$3,I$2,I$5,I$1)),0)*Get_Margin(I$3,I$2,I$5,I$1)&gt;((Client_Margin($C30)*Alloted(I$3,I$2,I$5)/Get_Margin(I$3,I$2,I$5,I$1))*Get_Margin(I$3,I$2,I$5,I$1))*$D$3,ROUNDDOWN((Client_Margin($C30)*Alloted(I$3,I$2,I$5)/Get_Margin(I$3,I$2,I$5,I$1)),0),ROUNDUP((Client_Margin($C30)*Alloted(I$3,I$2,I$5)/Get_Margin(I$3,I$2,I$5,I$1)),0)),"-")</f>
        <v>1</v>
      </c>
      <c r="J30" s="14" cm="1">
        <f t="array" ref="J30">IFERROR(IF(ROUNDUP((Client_Margin($C30)*Alloted(J$3,J$2,J$5)/Get_Margin(J$3,J$2,J$5,J$1)),0)*Get_Margin(J$3,J$2,J$5,J$1)&gt;((Client_Margin($C30)*Alloted(J$3,J$2,J$5)/Get_Margin(J$3,J$2,J$5,J$1))*Get_Margin(J$3,J$2,J$5,J$1))*$D$3,ROUNDDOWN((Client_Margin($C30)*Alloted(J$3,J$2,J$5)/Get_Margin(J$3,J$2,J$5,J$1)),0),ROUNDUP((Client_Margin($C30)*Alloted(J$3,J$2,J$5)/Get_Margin(J$3,J$2,J$5,J$1)),0)),"-")</f>
        <v>1</v>
      </c>
      <c r="K30" s="14" cm="1">
        <f t="array" ref="K30">IFERROR(IF(ROUNDUP((Client_Margin($C30)*Alloted(K$3,K$2,K$5)/Get_Margin(K$3,K$2,K$5,K$1)),0)*Get_Margin(K$3,K$2,K$5,K$1)&gt;((Client_Margin($C30)*Alloted(K$3,K$2,K$5)/Get_Margin(K$3,K$2,K$5,K$1))*Get_Margin(K$3,K$2,K$5,K$1))*$D$3,ROUNDDOWN((Client_Margin($C30)*Alloted(K$3,K$2,K$5)/Get_Margin(K$3,K$2,K$5,K$1)),0),ROUNDUP((Client_Margin($C30)*Alloted(K$3,K$2,K$5)/Get_Margin(K$3,K$2,K$5,K$1)),0)),"-")</f>
        <v>3</v>
      </c>
      <c r="L30" s="14" cm="1">
        <f t="array" ref="L30">IFERROR(IF(ROUNDUP((Client_Margin($C30)*Alloted(L$3,L$2,L$5)/Get_Margin(L$3,L$2,L$5,L$1)),0)*Get_Margin(L$3,L$2,L$5,L$1)&gt;((Client_Margin($C30)*Alloted(L$3,L$2,L$5)/Get_Margin(L$3,L$2,L$5,L$1))*Get_Margin(L$3,L$2,L$5,L$1))*$D$3,ROUNDDOWN((Client_Margin($C30)*Alloted(L$3,L$2,L$5)/Get_Margin(L$3,L$2,L$5,L$1)),0),ROUNDUP((Client_Margin($C30)*Alloted(L$3,L$2,L$5)/Get_Margin(L$3,L$2,L$5,L$1)),0)),"-")</f>
        <v>14</v>
      </c>
      <c r="M30" s="14" cm="1">
        <f t="array" ref="M30">IFERROR(IF(ROUNDUP((Client_Margin($C30)*Alloted(M$3,M$2,M$5)/Get_Margin(M$3,M$2,M$5,M$1)),0)*Get_Margin(M$3,M$2,M$5,M$1)&gt;((Client_Margin($C30)*Alloted(M$3,M$2,M$5)/Get_Margin(M$3,M$2,M$5,M$1))*Get_Margin(M$3,M$2,M$5,M$1))*$D$3,ROUNDDOWN((Client_Margin($C30)*Alloted(M$3,M$2,M$5)/Get_Margin(M$3,M$2,M$5,M$1)),0),ROUNDUP((Client_Margin($C30)*Alloted(M$3,M$2,M$5)/Get_Margin(M$3,M$2,M$5,M$1)),0)),"-")</f>
        <v>0</v>
      </c>
      <c r="N30" s="14" cm="1">
        <f t="array" ref="N30">IFERROR(IF(ROUNDUP((Client_Margin($C30)*Alloted(N$3,N$2,N$5)/Get_Margin(N$3,N$2,N$5,N$1)),0)*Get_Margin(N$3,N$2,N$5,N$1)&gt;((Client_Margin($C30)*Alloted(N$3,N$2,N$5)/Get_Margin(N$3,N$2,N$5,N$1))*Get_Margin(N$3,N$2,N$5,N$1))*$D$3,ROUNDDOWN((Client_Margin($C30)*Alloted(N$3,N$2,N$5)/Get_Margin(N$3,N$2,N$5,N$1)),0),ROUNDUP((Client_Margin($C30)*Alloted(N$3,N$2,N$5)/Get_Margin(N$3,N$2,N$5,N$1)),0)),"-")</f>
        <v>0</v>
      </c>
      <c r="O30" s="41">
        <v>0</v>
      </c>
      <c r="P30" s="14" cm="1">
        <f t="array" ref="P30">IFERROR(IF(ROUNDUP((Client_Margin($C30)*Alloted(P$3,P$2,P$5)/Get_Margin(P$3,P$2,P$5,P$1)),0)*Get_Margin(P$3,P$2,P$5,P$1)&gt;((Client_Margin($C30)*Alloted(P$3,P$2,P$5)/Get_Margin(P$3,P$2,P$5,P$1))*Get_Margin(P$3,P$2,P$5,P$1))*$D$3,ROUNDDOWN((Client_Margin($C30)*Alloted(P$3,P$2,P$5)/Get_Margin(P$3,P$2,P$5,P$1)),0),ROUNDUP((Client_Margin($C30)*Alloted(P$3,P$2,P$5)/Get_Margin(P$3,P$2,P$5,P$1)),0)),"-")</f>
        <v>0</v>
      </c>
      <c r="Q30" s="14" cm="1">
        <f t="array" ref="Q30">IFERROR(IF(ROUNDUP((Client_Margin($C30)*Alloted(Q$3,Q$2,Q$5)/Get_Margin(Q$3,Q$2,Q$5,Q$1)),0)*Get_Margin(Q$3,Q$2,Q$5,Q$1)&gt;((Client_Margin($C30)*Alloted(Q$3,Q$2,Q$5)/Get_Margin(Q$3,Q$2,Q$5,Q$1))*Get_Margin(Q$3,Q$2,Q$5,Q$1))*$D$3,ROUNDDOWN((Client_Margin($C30)*Alloted(Q$3,Q$2,Q$5)/Get_Margin(Q$3,Q$2,Q$5,Q$1)),0),ROUNDUP((Client_Margin($C30)*Alloted(Q$3,Q$2,Q$5)/Get_Margin(Q$3,Q$2,Q$5,Q$1)),0)),"-")</f>
        <v>0</v>
      </c>
    </row>
    <row r="31" spans="1:17" hidden="1" x14ac:dyDescent="0.25">
      <c r="A31">
        <f>_xlfn.XLOOKUP(C31,'OI QTY'!$O$5:$O$21,'OI QTY'!$N$5:$N$21,"")</f>
        <v>0</v>
      </c>
      <c r="B31">
        <f t="shared" si="3"/>
        <v>0</v>
      </c>
      <c r="C31" s="14"/>
      <c r="D31" s="14"/>
      <c r="E31" s="15">
        <f>SUM(F31:Q31)</f>
        <v>0.81054054054054059</v>
      </c>
      <c r="F31" s="15" t="str" cm="1">
        <f t="array" ref="F31">IFERROR((_xlfn._xlws.FILTER(INDEX(Margin[],0,MATCH(F$1&amp;"_"&amp;F$3,Margin[#Headers],0)),(Margin[Index]=F$2)*(Margin[Strategy]=F$5))*F30)/Client_Margin($C30),"-")</f>
        <v>-</v>
      </c>
      <c r="G31" s="15" t="str" cm="1">
        <f t="array" ref="G31">IFERROR((_xlfn._xlws.FILTER(INDEX(Margin[],0,MATCH(G$1&amp;"_"&amp;G$3,Margin[#Headers],0)),(Margin[Index]=G$2)*(Margin[Strategy]=G$5))*G30)/Client_Margin($C30),"-")</f>
        <v>-</v>
      </c>
      <c r="H31" s="15" cm="1">
        <f t="array" ref="H31">IFERROR((_xlfn._xlws.FILTER(INDEX(Margin[],0,MATCH(H$1&amp;"_"&amp;H$3,Margin[#Headers],0)),(Margin[Index]=H$2)*(Margin[Strategy]=H$5))*H30)/Client_Margin($C30),"-")</f>
        <v>0.11286486486486487</v>
      </c>
      <c r="I31" s="15" cm="1">
        <f t="array" ref="I31">IFERROR((_xlfn._xlws.FILTER(INDEX(Margin[],0,MATCH(I$1&amp;"_"&amp;I$3,Margin[#Headers],0)),(Margin[Index]=I$2)*(Margin[Strategy]=I$5))*I30)/Client_Margin($C30),"-")</f>
        <v>0.10118918918918919</v>
      </c>
      <c r="J31" s="15" cm="1">
        <f t="array" ref="J31">IFERROR((_xlfn._xlws.FILTER(INDEX(Margin[],0,MATCH(J$1&amp;"_"&amp;J$3,Margin[#Headers],0)),(Margin[Index]=J$2)*(Margin[Strategy]=J$5))*J30)/Client_Margin($C30),"-")</f>
        <v>8.6486486486486491E-2</v>
      </c>
      <c r="K31" s="15" cm="1">
        <f t="array" ref="K31">IFERROR((_xlfn._xlws.FILTER(INDEX(Margin[],0,MATCH(K$1&amp;"_"&amp;K$3,Margin[#Headers],0)),(Margin[Index]=K$2)*(Margin[Strategy]=K$5))*K30)/Client_Margin($C30),"-")</f>
        <v>0.09</v>
      </c>
      <c r="L31" s="15" cm="1">
        <f t="array" ref="L31">IFERROR((_xlfn._xlws.FILTER(INDEX(Margin[],0,MATCH(L$1&amp;"_"&amp;L$3,Margin[#Headers],0)),(Margin[Index]=L$2)*(Margin[Strategy]=L$5))*L30)/Client_Margin($C30),"-")</f>
        <v>0.42</v>
      </c>
      <c r="M31" s="15" cm="1">
        <f t="array" ref="M31">IFERROR((_xlfn._xlws.FILTER(INDEX(Margin[],0,MATCH(M$1&amp;"_"&amp;M$3,Margin[#Headers],0)),(Margin[Index]=M$2)*(Margin[Strategy]=M$5))*M30)/Client_Margin($C30),"-")</f>
        <v>0</v>
      </c>
      <c r="N31" s="15" cm="1">
        <f t="array" ref="N31">IFERROR((_xlfn._xlws.FILTER(INDEX(Margin[],0,MATCH(N$1&amp;"_"&amp;N$3,Margin[#Headers],0)),(Margin[Index]=N$2)*(Margin[Strategy]=N$5))*N30)/Client_Margin($C30),"-")</f>
        <v>0</v>
      </c>
      <c r="O31" s="15" cm="1">
        <f t="array" ref="O31">IFERROR((_xlfn._xlws.FILTER(INDEX(Margin[],0,MATCH(O$1&amp;"_"&amp;O$3,Margin[#Headers],0)),(Margin[Index]=O$2)*(Margin[Strategy]=O$5))*O30)/Client_Margin($C30),"-")</f>
        <v>0</v>
      </c>
      <c r="P31" s="15" cm="1">
        <f t="array" ref="P31">IFERROR((_xlfn._xlws.FILTER(INDEX(Margin[],0,MATCH(P$1&amp;"_"&amp;P$3,Margin[#Headers],0)),(Margin[Index]=P$2)*(Margin[Strategy]=P$5))*P30)/Client_Margin($C30),"-")</f>
        <v>0</v>
      </c>
      <c r="Q31" s="15" cm="1">
        <f t="array" ref="Q31">IFERROR((_xlfn._xlws.FILTER(INDEX(Margin[],0,MATCH(Q$1&amp;"_"&amp;Q$3,Margin[#Headers],0)),(Margin[Index]=Q$2)*(Margin[Strategy]=Q$5))*Q30)/Client_Margin($C30),"-")</f>
        <v>0</v>
      </c>
    </row>
    <row r="32" spans="1:17" x14ac:dyDescent="0.25">
      <c r="A32" t="str">
        <f>_xlfn.XLOOKUP(C32,'OI QTY'!$O$5:$O$21,'OI QTY'!$N$5:$N$21,"")</f>
        <v>K</v>
      </c>
      <c r="B32">
        <f t="shared" ref="B32:B43" si="4">IF(C32="",0,1)</f>
        <v>1</v>
      </c>
      <c r="C32" s="14" t="s">
        <v>130</v>
      </c>
      <c r="D32" s="14" cm="1">
        <f t="array" ref="D32">(_xlfn._xlws.FILTER(Fund[Margin],Fund[Client Id]=C32))/10000000</f>
        <v>1.8</v>
      </c>
      <c r="E32" s="17"/>
      <c r="F32" s="14" t="str" cm="1">
        <f t="array" ref="F32">IFERROR(IF(ROUNDUP((Client_Margin($C32)*Alloted(F$3,F$2,F$5)/Get_Margin(F$3,F$2,F$5,F$1)),0)*Get_Margin(F$3,F$2,F$5,F$1)&gt;((Client_Margin($C32)*Alloted(F$3,F$2,F$5)/Get_Margin(F$3,F$2,F$5,F$1))*Get_Margin(F$3,F$2,F$5,F$1))*$D$3,ROUNDDOWN((Client_Margin($C32)*Alloted(F$3,F$2,F$5)/Get_Margin(F$3,F$2,F$5,F$1)),0),ROUNDUP((Client_Margin($C32)*Alloted(F$3,F$2,F$5)/Get_Margin(F$3,F$2,F$5,F$1)),0)),"-")</f>
        <v>-</v>
      </c>
      <c r="G32" s="14" t="str" cm="1">
        <f t="array" ref="G32">IFERROR(IF(ROUNDUP((Client_Margin($C32)*Alloted(G$3,G$2,G$5)/Get_Margin(G$3,G$2,G$5,G$1)),0)*Get_Margin(G$3,G$2,G$5,G$1)&gt;((Client_Margin($C32)*Alloted(G$3,G$2,G$5)/Get_Margin(G$3,G$2,G$5,G$1))*Get_Margin(G$3,G$2,G$5,G$1))*$D$3,ROUNDDOWN((Client_Margin($C32)*Alloted(G$3,G$2,G$5)/Get_Margin(G$3,G$2,G$5,G$1)),0),ROUNDUP((Client_Margin($C32)*Alloted(G$3,G$2,G$5)/Get_Margin(G$3,G$2,G$5,G$1)),0)),"-")</f>
        <v>-</v>
      </c>
      <c r="H32" s="14" cm="1">
        <f t="array" ref="H32">IFERROR(IF(ROUNDUP((Client_Margin($C32)*Alloted(H$3,H$2,H$5)/Get_Margin(H$3,H$2,H$5,H$1)),0)*Get_Margin(H$3,H$2,H$5,H$1)&gt;((Client_Margin($C32)*Alloted(H$3,H$2,H$5)/Get_Margin(H$3,H$2,H$5,H$1))*Get_Margin(H$3,H$2,H$5,H$1))*$D$3,ROUNDDOWN((Client_Margin($C32)*Alloted(H$3,H$2,H$5)/Get_Margin(H$3,H$2,H$5,H$1)),0),ROUNDUP((Client_Margin($C32)*Alloted(H$3,H$2,H$5)/Get_Margin(H$3,H$2,H$5,H$1)),0)),"-")</f>
        <v>2</v>
      </c>
      <c r="I32" s="14" cm="1">
        <f t="array" ref="I32">IFERROR(IF(ROUNDUP((Client_Margin($C32)*Alloted(I$3,I$2,I$5)/Get_Margin(I$3,I$2,I$5,I$1)),0)*Get_Margin(I$3,I$2,I$5,I$1)&gt;((Client_Margin($C32)*Alloted(I$3,I$2,I$5)/Get_Margin(I$3,I$2,I$5,I$1))*Get_Margin(I$3,I$2,I$5,I$1))*$D$3,ROUNDDOWN((Client_Margin($C32)*Alloted(I$3,I$2,I$5)/Get_Margin(I$3,I$2,I$5,I$1)),0),ROUNDUP((Client_Margin($C32)*Alloted(I$3,I$2,I$5)/Get_Margin(I$3,I$2,I$5,I$1)),0)),"-")</f>
        <v>1</v>
      </c>
      <c r="J32" s="14" cm="1">
        <f t="array" ref="J32">IFERROR(IF(ROUNDUP((Client_Margin($C32)*Alloted(J$3,J$2,J$5)/Get_Margin(J$3,J$2,J$5,J$1)),0)*Get_Margin(J$3,J$2,J$5,J$1)&gt;((Client_Margin($C32)*Alloted(J$3,J$2,J$5)/Get_Margin(J$3,J$2,J$5,J$1))*Get_Margin(J$3,J$2,J$5,J$1))*$D$3,ROUNDDOWN((Client_Margin($C32)*Alloted(J$3,J$2,J$5)/Get_Margin(J$3,J$2,J$5,J$1)),0),ROUNDUP((Client_Margin($C32)*Alloted(J$3,J$2,J$5)/Get_Margin(J$3,J$2,J$5,J$1)),0)),"-")</f>
        <v>1</v>
      </c>
      <c r="K32" s="14" cm="1">
        <f t="array" ref="K32">IFERROR(IF(ROUNDUP((Client_Margin($C32)*Alloted(K$3,K$2,K$5)/Get_Margin(K$3,K$2,K$5,K$1)),0)*Get_Margin(K$3,K$2,K$5,K$1)&gt;((Client_Margin($C32)*Alloted(K$3,K$2,K$5)/Get_Margin(K$3,K$2,K$5,K$1))*Get_Margin(K$3,K$2,K$5,K$1))*$D$3,ROUNDDOWN((Client_Margin($C32)*Alloted(K$3,K$2,K$5)/Get_Margin(K$3,K$2,K$5,K$1)),0),ROUNDUP((Client_Margin($C32)*Alloted(K$3,K$2,K$5)/Get_Margin(K$3,K$2,K$5,K$1)),0)),"-")</f>
        <v>3</v>
      </c>
      <c r="L32" s="14" cm="1">
        <f t="array" ref="L32">IFERROR(IF(ROUNDUP((Client_Margin($C32)*Alloted(L$3,L$2,L$5)/Get_Margin(L$3,L$2,L$5,L$1)),0)*Get_Margin(L$3,L$2,L$5,L$1)&gt;((Client_Margin($C32)*Alloted(L$3,L$2,L$5)/Get_Margin(L$3,L$2,L$5,L$1))*Get_Margin(L$3,L$2,L$5,L$1))*$D$3,ROUNDDOWN((Client_Margin($C32)*Alloted(L$3,L$2,L$5)/Get_Margin(L$3,L$2,L$5,L$1)),0),ROUNDUP((Client_Margin($C32)*Alloted(L$3,L$2,L$5)/Get_Margin(L$3,L$2,L$5,L$1)),0)),"-")</f>
        <v>13</v>
      </c>
      <c r="M32" s="14" cm="1">
        <f t="array" ref="M32">IFERROR(IF(ROUNDUP((Client_Margin($C32)*Alloted(M$3,M$2,M$5)/Get_Margin(M$3,M$2,M$5,M$1)),0)*Get_Margin(M$3,M$2,M$5,M$1)&gt;((Client_Margin($C32)*Alloted(M$3,M$2,M$5)/Get_Margin(M$3,M$2,M$5,M$1))*Get_Margin(M$3,M$2,M$5,M$1))*$D$3,ROUNDDOWN((Client_Margin($C32)*Alloted(M$3,M$2,M$5)/Get_Margin(M$3,M$2,M$5,M$1)),0),ROUNDUP((Client_Margin($C32)*Alloted(M$3,M$2,M$5)/Get_Margin(M$3,M$2,M$5,M$1)),0)),"-")</f>
        <v>0</v>
      </c>
      <c r="N32" s="14" cm="1">
        <f t="array" ref="N32">IFERROR(IF(ROUNDUP((Client_Margin($C32)*Alloted(N$3,N$2,N$5)/Get_Margin(N$3,N$2,N$5,N$1)),0)*Get_Margin(N$3,N$2,N$5,N$1)&gt;((Client_Margin($C32)*Alloted(N$3,N$2,N$5)/Get_Margin(N$3,N$2,N$5,N$1))*Get_Margin(N$3,N$2,N$5,N$1))*$D$3,ROUNDDOWN((Client_Margin($C32)*Alloted(N$3,N$2,N$5)/Get_Margin(N$3,N$2,N$5,N$1)),0),ROUNDUP((Client_Margin($C32)*Alloted(N$3,N$2,N$5)/Get_Margin(N$3,N$2,N$5,N$1)),0)),"-")</f>
        <v>0</v>
      </c>
      <c r="O32" s="41">
        <v>0</v>
      </c>
      <c r="P32" s="14" cm="1">
        <f t="array" ref="P32">IFERROR(IF(ROUNDUP((Client_Margin($C32)*Alloted(P$3,P$2,P$5)/Get_Margin(P$3,P$2,P$5,P$1)),0)*Get_Margin(P$3,P$2,P$5,P$1)&gt;((Client_Margin($C32)*Alloted(P$3,P$2,P$5)/Get_Margin(P$3,P$2,P$5,P$1))*Get_Margin(P$3,P$2,P$5,P$1))*$D$3,ROUNDDOWN((Client_Margin($C32)*Alloted(P$3,P$2,P$5)/Get_Margin(P$3,P$2,P$5,P$1)),0),ROUNDUP((Client_Margin($C32)*Alloted(P$3,P$2,P$5)/Get_Margin(P$3,P$2,P$5,P$1)),0)),"-")</f>
        <v>0</v>
      </c>
      <c r="Q32" s="14" cm="1">
        <f t="array" ref="Q32">IFERROR(IF(ROUNDUP((Client_Margin($C32)*Alloted(Q$3,Q$2,Q$5)/Get_Margin(Q$3,Q$2,Q$5,Q$1)),0)*Get_Margin(Q$3,Q$2,Q$5,Q$1)&gt;((Client_Margin($C32)*Alloted(Q$3,Q$2,Q$5)/Get_Margin(Q$3,Q$2,Q$5,Q$1))*Get_Margin(Q$3,Q$2,Q$5,Q$1))*$D$3,ROUNDDOWN((Client_Margin($C32)*Alloted(Q$3,Q$2,Q$5)/Get_Margin(Q$3,Q$2,Q$5,Q$1)),0),ROUNDUP((Client_Margin($C32)*Alloted(Q$3,Q$2,Q$5)/Get_Margin(Q$3,Q$2,Q$5,Q$1)),0)),"-")</f>
        <v>0</v>
      </c>
    </row>
    <row r="33" spans="1:17" hidden="1" x14ac:dyDescent="0.25">
      <c r="A33">
        <f>_xlfn.XLOOKUP(C33,'OI QTY'!$O$5:$O$21,'OI QTY'!$N$5:$N$21,"")</f>
        <v>0</v>
      </c>
      <c r="B33">
        <f t="shared" si="4"/>
        <v>0</v>
      </c>
      <c r="C33" s="14"/>
      <c r="D33" s="14"/>
      <c r="E33" s="15">
        <f>SUM(F33:Q33)</f>
        <v>0.76355555555555554</v>
      </c>
      <c r="F33" s="15" t="str" cm="1">
        <f t="array" ref="F33">IFERROR((_xlfn._xlws.FILTER(INDEX(Margin[],0,MATCH(F$1&amp;"_"&amp;F$3,Margin[#Headers],0)),(Margin[Index]=F$2)*(Margin[Strategy]=F$5))*F32)/Client_Margin($C32),"-")</f>
        <v>-</v>
      </c>
      <c r="G33" s="15" t="str" cm="1">
        <f t="array" ref="G33">IFERROR((_xlfn._xlws.FILTER(INDEX(Margin[],0,MATCH(G$1&amp;"_"&amp;G$3,Margin[#Headers],0)),(Margin[Index]=G$2)*(Margin[Strategy]=G$5))*G32)/Client_Margin($C32),"-")</f>
        <v>-</v>
      </c>
      <c r="H33" s="15" cm="1">
        <f t="array" ref="H33">IFERROR((_xlfn._xlws.FILTER(INDEX(Margin[],0,MATCH(H$1&amp;"_"&amp;H$3,Margin[#Headers],0)),(Margin[Index]=H$2)*(Margin[Strategy]=H$5))*H32)/Client_Margin($C32),"-")</f>
        <v>7.7333333333333337E-2</v>
      </c>
      <c r="I33" s="15" cm="1">
        <f t="array" ref="I33">IFERROR((_xlfn._xlws.FILTER(INDEX(Margin[],0,MATCH(I$1&amp;"_"&amp;I$3,Margin[#Headers],0)),(Margin[Index]=I$2)*(Margin[Strategy]=I$5))*I32)/Client_Margin($C32),"-")</f>
        <v>0.104</v>
      </c>
      <c r="J33" s="15" cm="1">
        <f t="array" ref="J33">IFERROR((_xlfn._xlws.FILTER(INDEX(Margin[],0,MATCH(J$1&amp;"_"&amp;J$3,Margin[#Headers],0)),(Margin[Index]=J$2)*(Margin[Strategy]=J$5))*J32)/Client_Margin($C32),"-")</f>
        <v>8.8888888888888892E-2</v>
      </c>
      <c r="K33" s="15" cm="1">
        <f t="array" ref="K33">IFERROR((_xlfn._xlws.FILTER(INDEX(Margin[],0,MATCH(K$1&amp;"_"&amp;K$3,Margin[#Headers],0)),(Margin[Index]=K$2)*(Margin[Strategy]=K$5))*K32)/Client_Margin($C32),"-")</f>
        <v>9.2499999999999999E-2</v>
      </c>
      <c r="L33" s="15" cm="1">
        <f t="array" ref="L33">IFERROR((_xlfn._xlws.FILTER(INDEX(Margin[],0,MATCH(L$1&amp;"_"&amp;L$3,Margin[#Headers],0)),(Margin[Index]=L$2)*(Margin[Strategy]=L$5))*L32)/Client_Margin($C32),"-")</f>
        <v>0.40083333333333332</v>
      </c>
      <c r="M33" s="15" cm="1">
        <f t="array" ref="M33">IFERROR((_xlfn._xlws.FILTER(INDEX(Margin[],0,MATCH(M$1&amp;"_"&amp;M$3,Margin[#Headers],0)),(Margin[Index]=M$2)*(Margin[Strategy]=M$5))*M32)/Client_Margin($C32),"-")</f>
        <v>0</v>
      </c>
      <c r="N33" s="15" cm="1">
        <f t="array" ref="N33">IFERROR((_xlfn._xlws.FILTER(INDEX(Margin[],0,MATCH(N$1&amp;"_"&amp;N$3,Margin[#Headers],0)),(Margin[Index]=N$2)*(Margin[Strategy]=N$5))*N32)/Client_Margin($C32),"-")</f>
        <v>0</v>
      </c>
      <c r="O33" s="15" cm="1">
        <f t="array" ref="O33">IFERROR((_xlfn._xlws.FILTER(INDEX(Margin[],0,MATCH(O$1&amp;"_"&amp;O$3,Margin[#Headers],0)),(Margin[Index]=O$2)*(Margin[Strategy]=O$5))*O32)/Client_Margin($C32),"-")</f>
        <v>0</v>
      </c>
      <c r="P33" s="15" cm="1">
        <f t="array" ref="P33">IFERROR((_xlfn._xlws.FILTER(INDEX(Margin[],0,MATCH(P$1&amp;"_"&amp;P$3,Margin[#Headers],0)),(Margin[Index]=P$2)*(Margin[Strategy]=P$5))*P32)/Client_Margin($C32),"-")</f>
        <v>0</v>
      </c>
      <c r="Q33" s="15" cm="1">
        <f t="array" ref="Q33">IFERROR((_xlfn._xlws.FILTER(INDEX(Margin[],0,MATCH(Q$1&amp;"_"&amp;Q$3,Margin[#Headers],0)),(Margin[Index]=Q$2)*(Margin[Strategy]=Q$5))*Q32)/Client_Margin($C32),"-")</f>
        <v>0</v>
      </c>
    </row>
    <row r="34" spans="1:17" x14ac:dyDescent="0.25">
      <c r="A34" t="str">
        <f>_xlfn.XLOOKUP(C34,'OI QTY'!$O$5:$O$21,'OI QTY'!$N$5:$N$21,"")</f>
        <v>K</v>
      </c>
      <c r="B34">
        <f t="shared" si="4"/>
        <v>1</v>
      </c>
      <c r="C34" s="14" t="s">
        <v>113</v>
      </c>
      <c r="D34" s="14" cm="1">
        <f t="array" ref="D34">(_xlfn._xlws.FILTER(Fund[Margin],Fund[Client Id]=C34))/10000000</f>
        <v>1.3</v>
      </c>
      <c r="E34" s="17"/>
      <c r="F34" s="14" t="str" cm="1">
        <f t="array" ref="F34">IFERROR(IF(ROUNDUP((Client_Margin($C34)*Alloted(F$3,F$2,F$5)/Get_Margin(F$3,F$2,F$5,F$1)),0)*Get_Margin(F$3,F$2,F$5,F$1)&gt;((Client_Margin($C34)*Alloted(F$3,F$2,F$5)/Get_Margin(F$3,F$2,F$5,F$1))*Get_Margin(F$3,F$2,F$5,F$1))*$D$3,ROUNDDOWN((Client_Margin($C34)*Alloted(F$3,F$2,F$5)/Get_Margin(F$3,F$2,F$5,F$1)),0),ROUNDUP((Client_Margin($C34)*Alloted(F$3,F$2,F$5)/Get_Margin(F$3,F$2,F$5,F$1)),0)),"-")</f>
        <v>-</v>
      </c>
      <c r="G34" s="14" t="str" cm="1">
        <f t="array" ref="G34">IFERROR(IF(ROUNDUP((Client_Margin($C34)*Alloted(G$3,G$2,G$5)/Get_Margin(G$3,G$2,G$5,G$1)),0)*Get_Margin(G$3,G$2,G$5,G$1)&gt;((Client_Margin($C34)*Alloted(G$3,G$2,G$5)/Get_Margin(G$3,G$2,G$5,G$1))*Get_Margin(G$3,G$2,G$5,G$1))*$D$3,ROUNDDOWN((Client_Margin($C34)*Alloted(G$3,G$2,G$5)/Get_Margin(G$3,G$2,G$5,G$1)),0),ROUNDUP((Client_Margin($C34)*Alloted(G$3,G$2,G$5)/Get_Margin(G$3,G$2,G$5,G$1)),0)),"-")</f>
        <v>-</v>
      </c>
      <c r="H34" s="14" cm="1">
        <f t="array" ref="H34">IFERROR(IF(ROUNDUP((Client_Margin($C34)*Alloted(H$3,H$2,H$5)/Get_Margin(H$3,H$2,H$5,H$1)),0)*Get_Margin(H$3,H$2,H$5,H$1)&gt;((Client_Margin($C34)*Alloted(H$3,H$2,H$5)/Get_Margin(H$3,H$2,H$5,H$1))*Get_Margin(H$3,H$2,H$5,H$1))*$D$3,ROUNDDOWN((Client_Margin($C34)*Alloted(H$3,H$2,H$5)/Get_Margin(H$3,H$2,H$5,H$1)),0),ROUNDUP((Client_Margin($C34)*Alloted(H$3,H$2,H$5)/Get_Margin(H$3,H$2,H$5,H$1)),0)),"-")</f>
        <v>2</v>
      </c>
      <c r="I34" s="41">
        <v>1</v>
      </c>
      <c r="J34" s="14" cm="1">
        <f t="array" ref="J34">IFERROR(IF(ROUNDUP((Client_Margin($C34)*Alloted(J$3,J$2,J$5)/Get_Margin(J$3,J$2,J$5,J$1)),0)*Get_Margin(J$3,J$2,J$5,J$1)&gt;((Client_Margin($C34)*Alloted(J$3,J$2,J$5)/Get_Margin(J$3,J$2,J$5,J$1))*Get_Margin(J$3,J$2,J$5,J$1))*$D$3,ROUNDDOWN((Client_Margin($C34)*Alloted(J$3,J$2,J$5)/Get_Margin(J$3,J$2,J$5,J$1)),0),ROUNDUP((Client_Margin($C34)*Alloted(J$3,J$2,J$5)/Get_Margin(J$3,J$2,J$5,J$1)),0)),"-")</f>
        <v>0</v>
      </c>
      <c r="K34" s="14" cm="1">
        <f t="array" ref="K34">IFERROR(IF(ROUNDUP((Client_Margin($C34)*Alloted(K$3,K$2,K$5)/Get_Margin(K$3,K$2,K$5,K$1)),0)*Get_Margin(K$3,K$2,K$5,K$1)&gt;((Client_Margin($C34)*Alloted(K$3,K$2,K$5)/Get_Margin(K$3,K$2,K$5,K$1))*Get_Margin(K$3,K$2,K$5,K$1))*$D$3,ROUNDDOWN((Client_Margin($C34)*Alloted(K$3,K$2,K$5)/Get_Margin(K$3,K$2,K$5,K$1)),0),ROUNDUP((Client_Margin($C34)*Alloted(K$3,K$2,K$5)/Get_Margin(K$3,K$2,K$5,K$1)),0)),"-")</f>
        <v>2</v>
      </c>
      <c r="L34" s="14" cm="1">
        <f t="array" ref="L34">IFERROR(IF(ROUNDUP((Client_Margin($C34)*Alloted(L$3,L$2,L$5)/Get_Margin(L$3,L$2,L$5,L$1)),0)*Get_Margin(L$3,L$2,L$5,L$1)&gt;((Client_Margin($C34)*Alloted(L$3,L$2,L$5)/Get_Margin(L$3,L$2,L$5,L$1))*Get_Margin(L$3,L$2,L$5,L$1))*$D$3,ROUNDDOWN((Client_Margin($C34)*Alloted(L$3,L$2,L$5)/Get_Margin(L$3,L$2,L$5,L$1)),0),ROUNDUP((Client_Margin($C34)*Alloted(L$3,L$2,L$5)/Get_Margin(L$3,L$2,L$5,L$1)),0)),"-")</f>
        <v>10</v>
      </c>
      <c r="M34" s="14" cm="1">
        <f t="array" ref="M34">IFERROR(IF(ROUNDUP((Client_Margin($C34)*Alloted(M$3,M$2,M$5)/Get_Margin(M$3,M$2,M$5,M$1)),0)*Get_Margin(M$3,M$2,M$5,M$1)&gt;((Client_Margin($C34)*Alloted(M$3,M$2,M$5)/Get_Margin(M$3,M$2,M$5,M$1))*Get_Margin(M$3,M$2,M$5,M$1))*$D$3,ROUNDDOWN((Client_Margin($C34)*Alloted(M$3,M$2,M$5)/Get_Margin(M$3,M$2,M$5,M$1)),0),ROUNDUP((Client_Margin($C34)*Alloted(M$3,M$2,M$5)/Get_Margin(M$3,M$2,M$5,M$1)),0)),"-")</f>
        <v>0</v>
      </c>
      <c r="N34" s="14" cm="1">
        <f t="array" ref="N34">IFERROR(IF(ROUNDUP((Client_Margin($C34)*Alloted(N$3,N$2,N$5)/Get_Margin(N$3,N$2,N$5,N$1)),0)*Get_Margin(N$3,N$2,N$5,N$1)&gt;((Client_Margin($C34)*Alloted(N$3,N$2,N$5)/Get_Margin(N$3,N$2,N$5,N$1))*Get_Margin(N$3,N$2,N$5,N$1))*$D$3,ROUNDDOWN((Client_Margin($C34)*Alloted(N$3,N$2,N$5)/Get_Margin(N$3,N$2,N$5,N$1)),0),ROUNDUP((Client_Margin($C34)*Alloted(N$3,N$2,N$5)/Get_Margin(N$3,N$2,N$5,N$1)),0)),"-")</f>
        <v>0</v>
      </c>
      <c r="O34" s="41">
        <v>0</v>
      </c>
      <c r="P34" s="14" cm="1">
        <f t="array" ref="P34">IFERROR(IF(ROUNDUP((Client_Margin($C34)*Alloted(P$3,P$2,P$5)/Get_Margin(P$3,P$2,P$5,P$1)),0)*Get_Margin(P$3,P$2,P$5,P$1)&gt;((Client_Margin($C34)*Alloted(P$3,P$2,P$5)/Get_Margin(P$3,P$2,P$5,P$1))*Get_Margin(P$3,P$2,P$5,P$1))*$D$3,ROUNDDOWN((Client_Margin($C34)*Alloted(P$3,P$2,P$5)/Get_Margin(P$3,P$2,P$5,P$1)),0),ROUNDUP((Client_Margin($C34)*Alloted(P$3,P$2,P$5)/Get_Margin(P$3,P$2,P$5,P$1)),0)),"-")</f>
        <v>0</v>
      </c>
      <c r="Q34" s="14" cm="1">
        <f t="array" ref="Q34">IFERROR(IF(ROUNDUP((Client_Margin($C34)*Alloted(Q$3,Q$2,Q$5)/Get_Margin(Q$3,Q$2,Q$5,Q$1)),0)*Get_Margin(Q$3,Q$2,Q$5,Q$1)&gt;((Client_Margin($C34)*Alloted(Q$3,Q$2,Q$5)/Get_Margin(Q$3,Q$2,Q$5,Q$1))*Get_Margin(Q$3,Q$2,Q$5,Q$1))*$D$3,ROUNDDOWN((Client_Margin($C34)*Alloted(Q$3,Q$2,Q$5)/Get_Margin(Q$3,Q$2,Q$5,Q$1)),0),ROUNDUP((Client_Margin($C34)*Alloted(Q$3,Q$2,Q$5)/Get_Margin(Q$3,Q$2,Q$5,Q$1)),0)),"-")</f>
        <v>0</v>
      </c>
    </row>
    <row r="35" spans="1:17" hidden="1" x14ac:dyDescent="0.25">
      <c r="A35">
        <f>_xlfn.XLOOKUP(C35,'OI QTY'!$O$5:$O$21,'OI QTY'!$N$5:$N$21,"")</f>
        <v>0</v>
      </c>
      <c r="B35">
        <f t="shared" si="4"/>
        <v>0</v>
      </c>
      <c r="C35" s="14"/>
      <c r="D35" s="14"/>
      <c r="E35" s="15">
        <f>SUM(F35:Q35)</f>
        <v>0.76338461538461533</v>
      </c>
      <c r="F35" s="15" t="str" cm="1">
        <f t="array" ref="F35">IFERROR((_xlfn._xlws.FILTER(INDEX(Margin[],0,MATCH(F$1&amp;"_"&amp;F$3,Margin[#Headers],0)),(Margin[Index]=F$2)*(Margin[Strategy]=F$5))*F34)/Client_Margin($C34),"-")</f>
        <v>-</v>
      </c>
      <c r="G35" s="15" t="str" cm="1">
        <f t="array" ref="G35">IFERROR((_xlfn._xlws.FILTER(INDEX(Margin[],0,MATCH(G$1&amp;"_"&amp;G$3,Margin[#Headers],0)),(Margin[Index]=G$2)*(Margin[Strategy]=G$5))*G34)/Client_Margin($C34),"-")</f>
        <v>-</v>
      </c>
      <c r="H35" s="15" cm="1">
        <f t="array" ref="H35">IFERROR((_xlfn._xlws.FILTER(INDEX(Margin[],0,MATCH(H$1&amp;"_"&amp;H$3,Margin[#Headers],0)),(Margin[Index]=H$2)*(Margin[Strategy]=H$5))*H34)/Client_Margin($C34),"-")</f>
        <v>0.10707692307692308</v>
      </c>
      <c r="I35" s="15" cm="1">
        <f t="array" ref="I35">IFERROR((_xlfn._xlws.FILTER(INDEX(Margin[],0,MATCH(I$1&amp;"_"&amp;I$3,Margin[#Headers],0)),(Margin[Index]=I$2)*(Margin[Strategy]=I$5))*I34)/Client_Margin($C34),"-")</f>
        <v>0.14399999999999999</v>
      </c>
      <c r="J35" s="15" cm="1">
        <f t="array" ref="J35">IFERROR((_xlfn._xlws.FILTER(INDEX(Margin[],0,MATCH(J$1&amp;"_"&amp;J$3,Margin[#Headers],0)),(Margin[Index]=J$2)*(Margin[Strategy]=J$5))*J34)/Client_Margin($C34),"-")</f>
        <v>0</v>
      </c>
      <c r="K35" s="15" cm="1">
        <f t="array" ref="K35">IFERROR((_xlfn._xlws.FILTER(INDEX(Margin[],0,MATCH(K$1&amp;"_"&amp;K$3,Margin[#Headers],0)),(Margin[Index]=K$2)*(Margin[Strategy]=K$5))*K34)/Client_Margin($C34),"-")</f>
        <v>8.5384615384615378E-2</v>
      </c>
      <c r="L35" s="15" cm="1">
        <f t="array" ref="L35">IFERROR((_xlfn._xlws.FILTER(INDEX(Margin[],0,MATCH(L$1&amp;"_"&amp;L$3,Margin[#Headers],0)),(Margin[Index]=L$2)*(Margin[Strategy]=L$5))*L34)/Client_Margin($C34),"-")</f>
        <v>0.42692307692307691</v>
      </c>
      <c r="M35" s="15" cm="1">
        <f t="array" ref="M35">IFERROR((_xlfn._xlws.FILTER(INDEX(Margin[],0,MATCH(M$1&amp;"_"&amp;M$3,Margin[#Headers],0)),(Margin[Index]=M$2)*(Margin[Strategy]=M$5))*M34)/Client_Margin($C34),"-")</f>
        <v>0</v>
      </c>
      <c r="N35" s="15" cm="1">
        <f t="array" ref="N35">IFERROR((_xlfn._xlws.FILTER(INDEX(Margin[],0,MATCH(N$1&amp;"_"&amp;N$3,Margin[#Headers],0)),(Margin[Index]=N$2)*(Margin[Strategy]=N$5))*N34)/Client_Margin($C34),"-")</f>
        <v>0</v>
      </c>
      <c r="O35" s="15" cm="1">
        <f t="array" ref="O35">IFERROR((_xlfn._xlws.FILTER(INDEX(Margin[],0,MATCH(O$1&amp;"_"&amp;O$3,Margin[#Headers],0)),(Margin[Index]=O$2)*(Margin[Strategy]=O$5))*O34)/Client_Margin($C34),"-")</f>
        <v>0</v>
      </c>
      <c r="P35" s="15" cm="1">
        <f t="array" ref="P35">IFERROR((_xlfn._xlws.FILTER(INDEX(Margin[],0,MATCH(P$1&amp;"_"&amp;P$3,Margin[#Headers],0)),(Margin[Index]=P$2)*(Margin[Strategy]=P$5))*P34)/Client_Margin($C34),"-")</f>
        <v>0</v>
      </c>
      <c r="Q35" s="15" cm="1">
        <f t="array" ref="Q35">IFERROR((_xlfn._xlws.FILTER(INDEX(Margin[],0,MATCH(Q$1&amp;"_"&amp;Q$3,Margin[#Headers],0)),(Margin[Index]=Q$2)*(Margin[Strategy]=Q$5))*Q34)/Client_Margin($C34),"-")</f>
        <v>0</v>
      </c>
    </row>
    <row r="36" spans="1:17" hidden="1" x14ac:dyDescent="0.25">
      <c r="A36" t="str">
        <f>_xlfn.XLOOKUP(C36,'OI QTY'!$O$5:$O$21,'OI QTY'!$N$5:$N$21,"")</f>
        <v/>
      </c>
      <c r="B36">
        <f t="shared" si="4"/>
        <v>1</v>
      </c>
      <c r="C36" s="14" t="s">
        <v>38</v>
      </c>
      <c r="D36" s="14" cm="1">
        <f t="array" ref="D36">(_xlfn._xlws.FILTER(Fund[Margin],Fund[Client Id]=C36))/10000000</f>
        <v>1.5</v>
      </c>
      <c r="E36" s="17"/>
      <c r="F36" s="14" t="str" cm="1">
        <f t="array" ref="F36">IFERROR(IF(ROUNDUP((Client_Margin($C36)*Alloted(F$3,F$2,F$5)/Get_Margin(F$3,F$2,F$5,F$1)),0)*Get_Margin(F$3,F$2,F$5,F$1)&gt;((Client_Margin($C36)*Alloted(F$3,F$2,F$5)/Get_Margin(F$3,F$2,F$5,F$1))*Get_Margin(F$3,F$2,F$5,F$1))*$D$3,ROUNDDOWN((Client_Margin($C36)*Alloted(F$3,F$2,F$5)/Get_Margin(F$3,F$2,F$5,F$1)),0),ROUNDUP((Client_Margin($C36)*Alloted(F$3,F$2,F$5)/Get_Margin(F$3,F$2,F$5,F$1)),0)),"-")</f>
        <v>-</v>
      </c>
      <c r="G36" s="14" t="str" cm="1">
        <f t="array" ref="G36">IFERROR(IF(ROUNDUP((Client_Margin($C36)*Alloted(G$3,G$2,G$5)/Get_Margin(G$3,G$2,G$5,G$1)),0)*Get_Margin(G$3,G$2,G$5,G$1)&gt;((Client_Margin($C36)*Alloted(G$3,G$2,G$5)/Get_Margin(G$3,G$2,G$5,G$1))*Get_Margin(G$3,G$2,G$5,G$1))*$D$3,ROUNDDOWN((Client_Margin($C36)*Alloted(G$3,G$2,G$5)/Get_Margin(G$3,G$2,G$5,G$1)),0),ROUNDUP((Client_Margin($C36)*Alloted(G$3,G$2,G$5)/Get_Margin(G$3,G$2,G$5,G$1)),0)),"-")</f>
        <v>-</v>
      </c>
      <c r="H36" s="14" cm="1">
        <f t="array" ref="H36">IFERROR(IF(ROUNDUP((Client_Margin($C36)*Alloted(H$3,H$2,H$5)/Get_Margin(H$3,H$2,H$5,H$1)),0)*Get_Margin(H$3,H$2,H$5,H$1)&gt;((Client_Margin($C36)*Alloted(H$3,H$2,H$5)/Get_Margin(H$3,H$2,H$5,H$1))*Get_Margin(H$3,H$2,H$5,H$1))*$D$3,ROUNDDOWN((Client_Margin($C36)*Alloted(H$3,H$2,H$5)/Get_Margin(H$3,H$2,H$5,H$1)),0),ROUNDUP((Client_Margin($C36)*Alloted(H$3,H$2,H$5)/Get_Margin(H$3,H$2,H$5,H$1)),0)),"-")</f>
        <v>2</v>
      </c>
      <c r="I36" s="41">
        <v>1</v>
      </c>
      <c r="J36" s="14" cm="1">
        <f t="array" ref="J36">IFERROR(IF(ROUNDUP((Client_Margin($C36)*Alloted(J$3,J$2,J$5)/Get_Margin(J$3,J$2,J$5,J$1)),0)*Get_Margin(J$3,J$2,J$5,J$1)&gt;((Client_Margin($C36)*Alloted(J$3,J$2,J$5)/Get_Margin(J$3,J$2,J$5,J$1))*Get_Margin(J$3,J$2,J$5,J$1))*$D$3,ROUNDDOWN((Client_Margin($C36)*Alloted(J$3,J$2,J$5)/Get_Margin(J$3,J$2,J$5,J$1)),0),ROUNDUP((Client_Margin($C36)*Alloted(J$3,J$2,J$5)/Get_Margin(J$3,J$2,J$5,J$1)),0)),"-")</f>
        <v>1</v>
      </c>
      <c r="K36" s="14" cm="1">
        <f t="array" ref="K36">IFERROR(IF(ROUNDUP((Client_Margin($C36)*Alloted(K$3,K$2,K$5)/Get_Margin(K$3,K$2,K$5,K$1)),0)*Get_Margin(K$3,K$2,K$5,K$1)&gt;((Client_Margin($C36)*Alloted(K$3,K$2,K$5)/Get_Margin(K$3,K$2,K$5,K$1))*Get_Margin(K$3,K$2,K$5,K$1))*$D$3,ROUNDDOWN((Client_Margin($C36)*Alloted(K$3,K$2,K$5)/Get_Margin(K$3,K$2,K$5,K$1)),0),ROUNDUP((Client_Margin($C36)*Alloted(K$3,K$2,K$5)/Get_Margin(K$3,K$2,K$5,K$1)),0)),"-")</f>
        <v>3</v>
      </c>
      <c r="L36" s="14" cm="1">
        <f t="array" ref="L36">IFERROR(IF(ROUNDUP((Client_Margin($C36)*Alloted(L$3,L$2,L$5)/Get_Margin(L$3,L$2,L$5,L$1)),0)*Get_Margin(L$3,L$2,L$5,L$1)&gt;((Client_Margin($C36)*Alloted(L$3,L$2,L$5)/Get_Margin(L$3,L$2,L$5,L$1))*Get_Margin(L$3,L$2,L$5,L$1))*$D$3,ROUNDDOWN((Client_Margin($C36)*Alloted(L$3,L$2,L$5)/Get_Margin(L$3,L$2,L$5,L$1)),0),ROUNDUP((Client_Margin($C36)*Alloted(L$3,L$2,L$5)/Get_Margin(L$3,L$2,L$5,L$1)),0)),"-")</f>
        <v>11</v>
      </c>
      <c r="M36" s="14" cm="1">
        <f t="array" ref="M36">IFERROR(IF(ROUNDUP((Client_Margin($C36)*Alloted(M$3,M$2,M$5)/Get_Margin(M$3,M$2,M$5,M$1)),0)*Get_Margin(M$3,M$2,M$5,M$1)&gt;((Client_Margin($C36)*Alloted(M$3,M$2,M$5)/Get_Margin(M$3,M$2,M$5,M$1))*Get_Margin(M$3,M$2,M$5,M$1))*$D$3,ROUNDDOWN((Client_Margin($C36)*Alloted(M$3,M$2,M$5)/Get_Margin(M$3,M$2,M$5,M$1)),0),ROUNDUP((Client_Margin($C36)*Alloted(M$3,M$2,M$5)/Get_Margin(M$3,M$2,M$5,M$1)),0)),"-")</f>
        <v>0</v>
      </c>
      <c r="N36" s="14" cm="1">
        <f t="array" ref="N36">IFERROR(IF(ROUNDUP((Client_Margin($C36)*Alloted(N$3,N$2,N$5)/Get_Margin(N$3,N$2,N$5,N$1)),0)*Get_Margin(N$3,N$2,N$5,N$1)&gt;((Client_Margin($C36)*Alloted(N$3,N$2,N$5)/Get_Margin(N$3,N$2,N$5,N$1))*Get_Margin(N$3,N$2,N$5,N$1))*$D$3,ROUNDDOWN((Client_Margin($C36)*Alloted(N$3,N$2,N$5)/Get_Margin(N$3,N$2,N$5,N$1)),0),ROUNDUP((Client_Margin($C36)*Alloted(N$3,N$2,N$5)/Get_Margin(N$3,N$2,N$5,N$1)),0)),"-")</f>
        <v>0</v>
      </c>
      <c r="O36" s="41">
        <v>0</v>
      </c>
      <c r="P36" s="14" cm="1">
        <f t="array" ref="P36">IFERROR(IF(ROUNDUP((Client_Margin($C36)*Alloted(P$3,P$2,P$5)/Get_Margin(P$3,P$2,P$5,P$1)),0)*Get_Margin(P$3,P$2,P$5,P$1)&gt;((Client_Margin($C36)*Alloted(P$3,P$2,P$5)/Get_Margin(P$3,P$2,P$5,P$1))*Get_Margin(P$3,P$2,P$5,P$1))*$D$3,ROUNDDOWN((Client_Margin($C36)*Alloted(P$3,P$2,P$5)/Get_Margin(P$3,P$2,P$5,P$1)),0),ROUNDUP((Client_Margin($C36)*Alloted(P$3,P$2,P$5)/Get_Margin(P$3,P$2,P$5,P$1)),0)),"-")</f>
        <v>0</v>
      </c>
      <c r="Q36" s="14" cm="1">
        <f t="array" ref="Q36">IFERROR(IF(ROUNDUP((Client_Margin($C36)*Alloted(Q$3,Q$2,Q$5)/Get_Margin(Q$3,Q$2,Q$5,Q$1)),0)*Get_Margin(Q$3,Q$2,Q$5,Q$1)&gt;((Client_Margin($C36)*Alloted(Q$3,Q$2,Q$5)/Get_Margin(Q$3,Q$2,Q$5,Q$1))*Get_Margin(Q$3,Q$2,Q$5,Q$1))*$D$3,ROUNDDOWN((Client_Margin($C36)*Alloted(Q$3,Q$2,Q$5)/Get_Margin(Q$3,Q$2,Q$5,Q$1)),0),ROUNDUP((Client_Margin($C36)*Alloted(Q$3,Q$2,Q$5)/Get_Margin(Q$3,Q$2,Q$5,Q$1)),0)),"-")</f>
        <v>0</v>
      </c>
    </row>
    <row r="37" spans="1:17" hidden="1" x14ac:dyDescent="0.25">
      <c r="A37">
        <f>_xlfn.XLOOKUP(C37,'OI QTY'!$O$5:$O$21,'OI QTY'!$N$5:$N$21,"")</f>
        <v>0</v>
      </c>
      <c r="B37">
        <f t="shared" si="4"/>
        <v>0</v>
      </c>
      <c r="C37" s="14"/>
      <c r="D37" s="14"/>
      <c r="E37" s="15">
        <f>SUM(F37:Q37)</f>
        <v>0.84226666666666661</v>
      </c>
      <c r="F37" s="15" t="str" cm="1">
        <f t="array" ref="F37">IFERROR((_xlfn._xlws.FILTER(INDEX(Margin[],0,MATCH(F$1&amp;"_"&amp;F$3,Margin[#Headers],0)),(Margin[Index]=F$2)*(Margin[Strategy]=F$5))*F36)/Client_Margin($C36),"-")</f>
        <v>-</v>
      </c>
      <c r="G37" s="15" t="str" cm="1">
        <f t="array" ref="G37">IFERROR((_xlfn._xlws.FILTER(INDEX(Margin[],0,MATCH(G$1&amp;"_"&amp;G$3,Margin[#Headers],0)),(Margin[Index]=G$2)*(Margin[Strategy]=G$5))*G36)/Client_Margin($C36),"-")</f>
        <v>-</v>
      </c>
      <c r="H37" s="15" cm="1">
        <f t="array" ref="H37">IFERROR((_xlfn._xlws.FILTER(INDEX(Margin[],0,MATCH(H$1&amp;"_"&amp;H$3,Margin[#Headers],0)),(Margin[Index]=H$2)*(Margin[Strategy]=H$5))*H36)/Client_Margin($C36),"-")</f>
        <v>9.2799999999999994E-2</v>
      </c>
      <c r="I37" s="15" cm="1">
        <f t="array" ref="I37">IFERROR((_xlfn._xlws.FILTER(INDEX(Margin[],0,MATCH(I$1&amp;"_"&amp;I$3,Margin[#Headers],0)),(Margin[Index]=I$2)*(Margin[Strategy]=I$5))*I36)/Client_Margin($C36),"-")</f>
        <v>0.12479999999999999</v>
      </c>
      <c r="J37" s="15" cm="1">
        <f t="array" ref="J37">IFERROR((_xlfn._xlws.FILTER(INDEX(Margin[],0,MATCH(J$1&amp;"_"&amp;J$3,Margin[#Headers],0)),(Margin[Index]=J$2)*(Margin[Strategy]=J$5))*J36)/Client_Margin($C36),"-")</f>
        <v>0.10666666666666667</v>
      </c>
      <c r="K37" s="15" cm="1">
        <f t="array" ref="K37">IFERROR((_xlfn._xlws.FILTER(INDEX(Margin[],0,MATCH(K$1&amp;"_"&amp;K$3,Margin[#Headers],0)),(Margin[Index]=K$2)*(Margin[Strategy]=K$5))*K36)/Client_Margin($C36),"-")</f>
        <v>0.111</v>
      </c>
      <c r="L37" s="15" cm="1">
        <f t="array" ref="L37">IFERROR((_xlfn._xlws.FILTER(INDEX(Margin[],0,MATCH(L$1&amp;"_"&amp;L$3,Margin[#Headers],0)),(Margin[Index]=L$2)*(Margin[Strategy]=L$5))*L36)/Client_Margin($C36),"-")</f>
        <v>0.40699999999999997</v>
      </c>
      <c r="M37" s="15" cm="1">
        <f t="array" ref="M37">IFERROR((_xlfn._xlws.FILTER(INDEX(Margin[],0,MATCH(M$1&amp;"_"&amp;M$3,Margin[#Headers],0)),(Margin[Index]=M$2)*(Margin[Strategy]=M$5))*M36)/Client_Margin($C36),"-")</f>
        <v>0</v>
      </c>
      <c r="N37" s="15" cm="1">
        <f t="array" ref="N37">IFERROR((_xlfn._xlws.FILTER(INDEX(Margin[],0,MATCH(N$1&amp;"_"&amp;N$3,Margin[#Headers],0)),(Margin[Index]=N$2)*(Margin[Strategy]=N$5))*N36)/Client_Margin($C36),"-")</f>
        <v>0</v>
      </c>
      <c r="O37" s="15" cm="1">
        <f t="array" ref="O37">IFERROR((_xlfn._xlws.FILTER(INDEX(Margin[],0,MATCH(O$1&amp;"_"&amp;O$3,Margin[#Headers],0)),(Margin[Index]=O$2)*(Margin[Strategy]=O$5))*O36)/Client_Margin($C36),"-")</f>
        <v>0</v>
      </c>
      <c r="P37" s="15" cm="1">
        <f t="array" ref="P37">IFERROR((_xlfn._xlws.FILTER(INDEX(Margin[],0,MATCH(P$1&amp;"_"&amp;P$3,Margin[#Headers],0)),(Margin[Index]=P$2)*(Margin[Strategy]=P$5))*P36)/Client_Margin($C36),"-")</f>
        <v>0</v>
      </c>
      <c r="Q37" s="15" cm="1">
        <f t="array" ref="Q37">IFERROR((_xlfn._xlws.FILTER(INDEX(Margin[],0,MATCH(Q$1&amp;"_"&amp;Q$3,Margin[#Headers],0)),(Margin[Index]=Q$2)*(Margin[Strategy]=Q$5))*Q36)/Client_Margin($C36),"-")</f>
        <v>0</v>
      </c>
    </row>
    <row r="38" spans="1:17" x14ac:dyDescent="0.25">
      <c r="A38" t="str">
        <f>_xlfn.XLOOKUP(C38,'OI QTY'!$O$5:$O$21,'OI QTY'!$N$5:$N$21,"")</f>
        <v>K</v>
      </c>
      <c r="B38">
        <f t="shared" si="4"/>
        <v>1</v>
      </c>
      <c r="C38" s="14" t="s">
        <v>121</v>
      </c>
      <c r="D38" s="14" cm="1">
        <f t="array" ref="D38">(_xlfn._xlws.FILTER(Fund[Margin],Fund[Client Id]=C38))/10000000</f>
        <v>1.6</v>
      </c>
      <c r="E38" s="17"/>
      <c r="F38" s="14" t="str" cm="1">
        <f t="array" ref="F38">IFERROR(IF(ROUNDUP((Client_Margin($C38)*Alloted(F$3,F$2,F$5)/Get_Margin(F$3,F$2,F$5,F$1)),0)*Get_Margin(F$3,F$2,F$5,F$1)&gt;((Client_Margin($C38)*Alloted(F$3,F$2,F$5)/Get_Margin(F$3,F$2,F$5,F$1))*Get_Margin(F$3,F$2,F$5,F$1))*$D$3,ROUNDDOWN((Client_Margin($C38)*Alloted(F$3,F$2,F$5)/Get_Margin(F$3,F$2,F$5,F$1)),0),ROUNDUP((Client_Margin($C38)*Alloted(F$3,F$2,F$5)/Get_Margin(F$3,F$2,F$5,F$1)),0)),"-")</f>
        <v>-</v>
      </c>
      <c r="G38" s="14" t="str" cm="1">
        <f t="array" ref="G38">IFERROR(IF(ROUNDUP((Client_Margin($C38)*Alloted(G$3,G$2,G$5)/Get_Margin(G$3,G$2,G$5,G$1)),0)*Get_Margin(G$3,G$2,G$5,G$1)&gt;((Client_Margin($C38)*Alloted(G$3,G$2,G$5)/Get_Margin(G$3,G$2,G$5,G$1))*Get_Margin(G$3,G$2,G$5,G$1))*$D$3,ROUNDDOWN((Client_Margin($C38)*Alloted(G$3,G$2,G$5)/Get_Margin(G$3,G$2,G$5,G$1)),0),ROUNDUP((Client_Margin($C38)*Alloted(G$3,G$2,G$5)/Get_Margin(G$3,G$2,G$5,G$1)),0)),"-")</f>
        <v>-</v>
      </c>
      <c r="H38" s="14" cm="1">
        <f t="array" ref="H38">IFERROR(IF(ROUNDUP((Client_Margin($C38)*Alloted(H$3,H$2,H$5)/Get_Margin(H$3,H$2,H$5,H$1)),0)*Get_Margin(H$3,H$2,H$5,H$1)&gt;((Client_Margin($C38)*Alloted(H$3,H$2,H$5)/Get_Margin(H$3,H$2,H$5,H$1))*Get_Margin(H$3,H$2,H$5,H$1))*$D$3,ROUNDDOWN((Client_Margin($C38)*Alloted(H$3,H$2,H$5)/Get_Margin(H$3,H$2,H$5,H$1)),0),ROUNDUP((Client_Margin($C38)*Alloted(H$3,H$2,H$5)/Get_Margin(H$3,H$2,H$5,H$1)),0)),"-")</f>
        <v>2</v>
      </c>
      <c r="I38" s="41">
        <v>1</v>
      </c>
      <c r="J38" s="14" cm="1">
        <f t="array" ref="J38">IFERROR(IF(ROUNDUP((Client_Margin($C38)*Alloted(J$3,J$2,J$5)/Get_Margin(J$3,J$2,J$5,J$1)),0)*Get_Margin(J$3,J$2,J$5,J$1)&gt;((Client_Margin($C38)*Alloted(J$3,J$2,J$5)/Get_Margin(J$3,J$2,J$5,J$1))*Get_Margin(J$3,J$2,J$5,J$1))*$D$3,ROUNDDOWN((Client_Margin($C38)*Alloted(J$3,J$2,J$5)/Get_Margin(J$3,J$2,J$5,J$1)),0),ROUNDUP((Client_Margin($C38)*Alloted(J$3,J$2,J$5)/Get_Margin(J$3,J$2,J$5,J$1)),0)),"-")</f>
        <v>1</v>
      </c>
      <c r="K38" s="14" cm="1">
        <f t="array" ref="K38">IFERROR(IF(ROUNDUP((Client_Margin($C38)*Alloted(K$3,K$2,K$5)/Get_Margin(K$3,K$2,K$5,K$1)),0)*Get_Margin(K$3,K$2,K$5,K$1)&gt;((Client_Margin($C38)*Alloted(K$3,K$2,K$5)/Get_Margin(K$3,K$2,K$5,K$1))*Get_Margin(K$3,K$2,K$5,K$1))*$D$3,ROUNDDOWN((Client_Margin($C38)*Alloted(K$3,K$2,K$5)/Get_Margin(K$3,K$2,K$5,K$1)),0),ROUNDUP((Client_Margin($C38)*Alloted(K$3,K$2,K$5)/Get_Margin(K$3,K$2,K$5,K$1)),0)),"-")</f>
        <v>3</v>
      </c>
      <c r="L38" s="14" cm="1">
        <f t="array" ref="L38">IFERROR(IF(ROUNDUP((Client_Margin($C38)*Alloted(L$3,L$2,L$5)/Get_Margin(L$3,L$2,L$5,L$1)),0)*Get_Margin(L$3,L$2,L$5,L$1)&gt;((Client_Margin($C38)*Alloted(L$3,L$2,L$5)/Get_Margin(L$3,L$2,L$5,L$1))*Get_Margin(L$3,L$2,L$5,L$1))*$D$3,ROUNDDOWN((Client_Margin($C38)*Alloted(L$3,L$2,L$5)/Get_Margin(L$3,L$2,L$5,L$1)),0),ROUNDUP((Client_Margin($C38)*Alloted(L$3,L$2,L$5)/Get_Margin(L$3,L$2,L$5,L$1)),0)),"-")</f>
        <v>12</v>
      </c>
      <c r="M38" s="14" cm="1">
        <f t="array" ref="M38">IFERROR(IF(ROUNDUP((Client_Margin($C38)*Alloted(M$3,M$2,M$5)/Get_Margin(M$3,M$2,M$5,M$1)),0)*Get_Margin(M$3,M$2,M$5,M$1)&gt;((Client_Margin($C38)*Alloted(M$3,M$2,M$5)/Get_Margin(M$3,M$2,M$5,M$1))*Get_Margin(M$3,M$2,M$5,M$1))*$D$3,ROUNDDOWN((Client_Margin($C38)*Alloted(M$3,M$2,M$5)/Get_Margin(M$3,M$2,M$5,M$1)),0),ROUNDUP((Client_Margin($C38)*Alloted(M$3,M$2,M$5)/Get_Margin(M$3,M$2,M$5,M$1)),0)),"-")</f>
        <v>0</v>
      </c>
      <c r="N38" s="14" cm="1">
        <f t="array" ref="N38">IFERROR(IF(ROUNDUP((Client_Margin($C38)*Alloted(N$3,N$2,N$5)/Get_Margin(N$3,N$2,N$5,N$1)),0)*Get_Margin(N$3,N$2,N$5,N$1)&gt;((Client_Margin($C38)*Alloted(N$3,N$2,N$5)/Get_Margin(N$3,N$2,N$5,N$1))*Get_Margin(N$3,N$2,N$5,N$1))*$D$3,ROUNDDOWN((Client_Margin($C38)*Alloted(N$3,N$2,N$5)/Get_Margin(N$3,N$2,N$5,N$1)),0),ROUNDUP((Client_Margin($C38)*Alloted(N$3,N$2,N$5)/Get_Margin(N$3,N$2,N$5,N$1)),0)),"-")</f>
        <v>0</v>
      </c>
      <c r="O38" s="41">
        <v>0</v>
      </c>
      <c r="P38" s="14" cm="1">
        <f t="array" ref="P38">IFERROR(IF(ROUNDUP((Client_Margin($C38)*Alloted(P$3,P$2,P$5)/Get_Margin(P$3,P$2,P$5,P$1)),0)*Get_Margin(P$3,P$2,P$5,P$1)&gt;((Client_Margin($C38)*Alloted(P$3,P$2,P$5)/Get_Margin(P$3,P$2,P$5,P$1))*Get_Margin(P$3,P$2,P$5,P$1))*$D$3,ROUNDDOWN((Client_Margin($C38)*Alloted(P$3,P$2,P$5)/Get_Margin(P$3,P$2,P$5,P$1)),0),ROUNDUP((Client_Margin($C38)*Alloted(P$3,P$2,P$5)/Get_Margin(P$3,P$2,P$5,P$1)),0)),"-")</f>
        <v>0</v>
      </c>
      <c r="Q38" s="14" cm="1">
        <f t="array" ref="Q38">IFERROR(IF(ROUNDUP((Client_Margin($C38)*Alloted(Q$3,Q$2,Q$5)/Get_Margin(Q$3,Q$2,Q$5,Q$1)),0)*Get_Margin(Q$3,Q$2,Q$5,Q$1)&gt;((Client_Margin($C38)*Alloted(Q$3,Q$2,Q$5)/Get_Margin(Q$3,Q$2,Q$5,Q$1))*Get_Margin(Q$3,Q$2,Q$5,Q$1))*$D$3,ROUNDDOWN((Client_Margin($C38)*Alloted(Q$3,Q$2,Q$5)/Get_Margin(Q$3,Q$2,Q$5,Q$1)),0),ROUNDUP((Client_Margin($C38)*Alloted(Q$3,Q$2,Q$5)/Get_Margin(Q$3,Q$2,Q$5,Q$1)),0)),"-")</f>
        <v>0</v>
      </c>
    </row>
    <row r="39" spans="1:17" hidden="1" x14ac:dyDescent="0.25">
      <c r="A39">
        <f>_xlfn.XLOOKUP(C39,'OI QTY'!$O$5:$O$21,'OI QTY'!$N$5:$N$21,"")</f>
        <v>0</v>
      </c>
      <c r="B39">
        <f t="shared" si="4"/>
        <v>0</v>
      </c>
      <c r="C39" s="14"/>
      <c r="D39" s="14"/>
      <c r="E39" s="15">
        <f>SUM(F39:Q39)</f>
        <v>0.8243125</v>
      </c>
      <c r="F39" s="15" t="str" cm="1">
        <f t="array" ref="F39">IFERROR((_xlfn._xlws.FILTER(INDEX(Margin[],0,MATCH(F$1&amp;"_"&amp;F$3,Margin[#Headers],0)),(Margin[Index]=F$2)*(Margin[Strategy]=F$5))*F38)/Client_Margin($C38),"-")</f>
        <v>-</v>
      </c>
      <c r="G39" s="15" t="str" cm="1">
        <f t="array" ref="G39">IFERROR((_xlfn._xlws.FILTER(INDEX(Margin[],0,MATCH(G$1&amp;"_"&amp;G$3,Margin[#Headers],0)),(Margin[Index]=G$2)*(Margin[Strategy]=G$5))*G38)/Client_Margin($C38),"-")</f>
        <v>-</v>
      </c>
      <c r="H39" s="15" cm="1">
        <f t="array" ref="H39">IFERROR((_xlfn._xlws.FILTER(INDEX(Margin[],0,MATCH(H$1&amp;"_"&amp;H$3,Margin[#Headers],0)),(Margin[Index]=H$2)*(Margin[Strategy]=H$5))*H38)/Client_Margin($C38),"-")</f>
        <v>8.6999999999999994E-2</v>
      </c>
      <c r="I39" s="15" cm="1">
        <f t="array" ref="I39">IFERROR((_xlfn._xlws.FILTER(INDEX(Margin[],0,MATCH(I$1&amp;"_"&amp;I$3,Margin[#Headers],0)),(Margin[Index]=I$2)*(Margin[Strategy]=I$5))*I38)/Client_Margin($C38),"-")</f>
        <v>0.11700000000000001</v>
      </c>
      <c r="J39" s="15" cm="1">
        <f t="array" ref="J39">IFERROR((_xlfn._xlws.FILTER(INDEX(Margin[],0,MATCH(J$1&amp;"_"&amp;J$3,Margin[#Headers],0)),(Margin[Index]=J$2)*(Margin[Strategy]=J$5))*J38)/Client_Margin($C38),"-")</f>
        <v>0.1</v>
      </c>
      <c r="K39" s="15" cm="1">
        <f t="array" ref="K39">IFERROR((_xlfn._xlws.FILTER(INDEX(Margin[],0,MATCH(K$1&amp;"_"&amp;K$3,Margin[#Headers],0)),(Margin[Index]=K$2)*(Margin[Strategy]=K$5))*K38)/Client_Margin($C38),"-")</f>
        <v>0.1040625</v>
      </c>
      <c r="L39" s="15" cm="1">
        <f t="array" ref="L39">IFERROR((_xlfn._xlws.FILTER(INDEX(Margin[],0,MATCH(L$1&amp;"_"&amp;L$3,Margin[#Headers],0)),(Margin[Index]=L$2)*(Margin[Strategy]=L$5))*L38)/Client_Margin($C38),"-")</f>
        <v>0.41625000000000001</v>
      </c>
      <c r="M39" s="15" cm="1">
        <f t="array" ref="M39">IFERROR((_xlfn._xlws.FILTER(INDEX(Margin[],0,MATCH(M$1&amp;"_"&amp;M$3,Margin[#Headers],0)),(Margin[Index]=M$2)*(Margin[Strategy]=M$5))*M38)/Client_Margin($C38),"-")</f>
        <v>0</v>
      </c>
      <c r="N39" s="15" cm="1">
        <f t="array" ref="N39">IFERROR((_xlfn._xlws.FILTER(INDEX(Margin[],0,MATCH(N$1&amp;"_"&amp;N$3,Margin[#Headers],0)),(Margin[Index]=N$2)*(Margin[Strategy]=N$5))*N38)/Client_Margin($C38),"-")</f>
        <v>0</v>
      </c>
      <c r="O39" s="15" cm="1">
        <f t="array" ref="O39">IFERROR((_xlfn._xlws.FILTER(INDEX(Margin[],0,MATCH(O$1&amp;"_"&amp;O$3,Margin[#Headers],0)),(Margin[Index]=O$2)*(Margin[Strategy]=O$5))*O38)/Client_Margin($C38),"-")</f>
        <v>0</v>
      </c>
      <c r="P39" s="15" cm="1">
        <f t="array" ref="P39">IFERROR((_xlfn._xlws.FILTER(INDEX(Margin[],0,MATCH(P$1&amp;"_"&amp;P$3,Margin[#Headers],0)),(Margin[Index]=P$2)*(Margin[Strategy]=P$5))*P38)/Client_Margin($C38),"-")</f>
        <v>0</v>
      </c>
      <c r="Q39" s="15" cm="1">
        <f t="array" ref="Q39">IFERROR((_xlfn._xlws.FILTER(INDEX(Margin[],0,MATCH(Q$1&amp;"_"&amp;Q$3,Margin[#Headers],0)),(Margin[Index]=Q$2)*(Margin[Strategy]=Q$5))*Q38)/Client_Margin($C38),"-")</f>
        <v>0</v>
      </c>
    </row>
    <row r="40" spans="1:17" hidden="1" x14ac:dyDescent="0.25">
      <c r="A40" t="str">
        <f>_xlfn.XLOOKUP(C40,'OI QTY'!$O$5:$O$21,'OI QTY'!$N$5:$N$21,"")</f>
        <v/>
      </c>
      <c r="B40">
        <v>1</v>
      </c>
      <c r="C40" s="14" t="s">
        <v>115</v>
      </c>
      <c r="D40" s="14" cm="1">
        <f t="array" ref="D40">(_xlfn._xlws.FILTER(Fund[Margin],Fund[Client Id]=C40))/10000000</f>
        <v>1.45</v>
      </c>
      <c r="E40" s="17"/>
      <c r="F40" s="14" t="str" cm="1">
        <f t="array" ref="F40">IFERROR(IF(ROUNDUP((Client_Margin($C40)*Alloted(F$3,F$2,F$5)/Get_Margin(F$3,F$2,F$5,F$1)),0)*Get_Margin(F$3,F$2,F$5,F$1)&gt;((Client_Margin($C40)*Alloted(F$3,F$2,F$5)/Get_Margin(F$3,F$2,F$5,F$1))*Get_Margin(F$3,F$2,F$5,F$1))*$D$3,ROUNDDOWN((Client_Margin($C40)*Alloted(F$3,F$2,F$5)/Get_Margin(F$3,F$2,F$5,F$1)),0),ROUNDUP((Client_Margin($C40)*Alloted(F$3,F$2,F$5)/Get_Margin(F$3,F$2,F$5,F$1)),0)),"-")</f>
        <v>-</v>
      </c>
      <c r="G40" s="14" t="str" cm="1">
        <f t="array" ref="G40">IFERROR(IF(ROUNDUP((Client_Margin($C40)*Alloted(G$3,G$2,G$5)/Get_Margin(G$3,G$2,G$5,G$1)),0)*Get_Margin(G$3,G$2,G$5,G$1)&gt;((Client_Margin($C40)*Alloted(G$3,G$2,G$5)/Get_Margin(G$3,G$2,G$5,G$1))*Get_Margin(G$3,G$2,G$5,G$1))*$D$3,ROUNDDOWN((Client_Margin($C40)*Alloted(G$3,G$2,G$5)/Get_Margin(G$3,G$2,G$5,G$1)),0),ROUNDUP((Client_Margin($C40)*Alloted(G$3,G$2,G$5)/Get_Margin(G$3,G$2,G$5,G$1)),0)),"-")</f>
        <v>-</v>
      </c>
      <c r="H40" s="14" cm="1">
        <f t="array" ref="H40">IFERROR(IF(ROUNDUP((Client_Margin($C40)*Alloted(H$3,H$2,H$5)/Get_Margin(H$3,H$2,H$5,H$1)),0)*Get_Margin(H$3,H$2,H$5,H$1)&gt;((Client_Margin($C40)*Alloted(H$3,H$2,H$5)/Get_Margin(H$3,H$2,H$5,H$1))*Get_Margin(H$3,H$2,H$5,H$1))*$D$3,ROUNDDOWN((Client_Margin($C40)*Alloted(H$3,H$2,H$5)/Get_Margin(H$3,H$2,H$5,H$1)),0),ROUNDUP((Client_Margin($C40)*Alloted(H$3,H$2,H$5)/Get_Margin(H$3,H$2,H$5,H$1)),0)),"-")</f>
        <v>2</v>
      </c>
      <c r="I40" s="41">
        <v>1</v>
      </c>
      <c r="J40" s="14" cm="1">
        <f t="array" ref="J40">IFERROR(IF(ROUNDUP((Client_Margin($C40)*Alloted(J$3,J$2,J$5)/Get_Margin(J$3,J$2,J$5,J$1)),0)*Get_Margin(J$3,J$2,J$5,J$1)&gt;((Client_Margin($C40)*Alloted(J$3,J$2,J$5)/Get_Margin(J$3,J$2,J$5,J$1))*Get_Margin(J$3,J$2,J$5,J$1))*$D$3,ROUNDDOWN((Client_Margin($C40)*Alloted(J$3,J$2,J$5)/Get_Margin(J$3,J$2,J$5,J$1)),0),ROUNDUP((Client_Margin($C40)*Alloted(J$3,J$2,J$5)/Get_Margin(J$3,J$2,J$5,J$1)),0)),"-")</f>
        <v>1</v>
      </c>
      <c r="K40" s="14" cm="1">
        <f t="array" ref="K40">IFERROR(IF(ROUNDUP((Client_Margin($C40)*Alloted(K$3,K$2,K$5)/Get_Margin(K$3,K$2,K$5,K$1)),0)*Get_Margin(K$3,K$2,K$5,K$1)&gt;((Client_Margin($C40)*Alloted(K$3,K$2,K$5)/Get_Margin(K$3,K$2,K$5,K$1))*Get_Margin(K$3,K$2,K$5,K$1))*$D$3,ROUNDDOWN((Client_Margin($C40)*Alloted(K$3,K$2,K$5)/Get_Margin(K$3,K$2,K$5,K$1)),0),ROUNDUP((Client_Margin($C40)*Alloted(K$3,K$2,K$5)/Get_Margin(K$3,K$2,K$5,K$1)),0)),"-")</f>
        <v>3</v>
      </c>
      <c r="L40" s="14" cm="1">
        <f t="array" ref="L40">IFERROR(IF(ROUNDUP((Client_Margin($C40)*Alloted(L$3,L$2,L$5)/Get_Margin(L$3,L$2,L$5,L$1)),0)*Get_Margin(L$3,L$2,L$5,L$1)&gt;((Client_Margin($C40)*Alloted(L$3,L$2,L$5)/Get_Margin(L$3,L$2,L$5,L$1))*Get_Margin(L$3,L$2,L$5,L$1))*$D$3,ROUNDDOWN((Client_Margin($C40)*Alloted(L$3,L$2,L$5)/Get_Margin(L$3,L$2,L$5,L$1)),0),ROUNDUP((Client_Margin($C40)*Alloted(L$3,L$2,L$5)/Get_Margin(L$3,L$2,L$5,L$1)),0)),"-")</f>
        <v>11</v>
      </c>
      <c r="M40" s="14" cm="1">
        <f t="array" ref="M40">IFERROR(IF(ROUNDUP((Client_Margin($C40)*Alloted(M$3,M$2,M$5)/Get_Margin(M$3,M$2,M$5,M$1)),0)*Get_Margin(M$3,M$2,M$5,M$1)&gt;((Client_Margin($C40)*Alloted(M$3,M$2,M$5)/Get_Margin(M$3,M$2,M$5,M$1))*Get_Margin(M$3,M$2,M$5,M$1))*$D$3,ROUNDDOWN((Client_Margin($C40)*Alloted(M$3,M$2,M$5)/Get_Margin(M$3,M$2,M$5,M$1)),0),ROUNDUP((Client_Margin($C40)*Alloted(M$3,M$2,M$5)/Get_Margin(M$3,M$2,M$5,M$1)),0)),"-")</f>
        <v>0</v>
      </c>
      <c r="N40" s="14" cm="1">
        <f t="array" ref="N40">IFERROR(IF(ROUNDUP((Client_Margin($C40)*Alloted(N$3,N$2,N$5)/Get_Margin(N$3,N$2,N$5,N$1)),0)*Get_Margin(N$3,N$2,N$5,N$1)&gt;((Client_Margin($C40)*Alloted(N$3,N$2,N$5)/Get_Margin(N$3,N$2,N$5,N$1))*Get_Margin(N$3,N$2,N$5,N$1))*$D$3,ROUNDDOWN((Client_Margin($C40)*Alloted(N$3,N$2,N$5)/Get_Margin(N$3,N$2,N$5,N$1)),0),ROUNDUP((Client_Margin($C40)*Alloted(N$3,N$2,N$5)/Get_Margin(N$3,N$2,N$5,N$1)),0)),"-")</f>
        <v>0</v>
      </c>
      <c r="O40" s="41">
        <v>0</v>
      </c>
      <c r="P40" s="14" cm="1">
        <f t="array" ref="P40">IFERROR(IF(ROUNDUP((Client_Margin($C40)*Alloted(P$3,P$2,P$5)/Get_Margin(P$3,P$2,P$5,P$1)),0)*Get_Margin(P$3,P$2,P$5,P$1)&gt;((Client_Margin($C40)*Alloted(P$3,P$2,P$5)/Get_Margin(P$3,P$2,P$5,P$1))*Get_Margin(P$3,P$2,P$5,P$1))*$D$3,ROUNDDOWN((Client_Margin($C40)*Alloted(P$3,P$2,P$5)/Get_Margin(P$3,P$2,P$5,P$1)),0),ROUNDUP((Client_Margin($C40)*Alloted(P$3,P$2,P$5)/Get_Margin(P$3,P$2,P$5,P$1)),0)),"-")</f>
        <v>0</v>
      </c>
      <c r="Q40" s="14" cm="1">
        <f t="array" ref="Q40">IFERROR(IF(ROUNDUP((Client_Margin($C40)*Alloted(Q$3,Q$2,Q$5)/Get_Margin(Q$3,Q$2,Q$5,Q$1)),0)*Get_Margin(Q$3,Q$2,Q$5,Q$1)&gt;((Client_Margin($C40)*Alloted(Q$3,Q$2,Q$5)/Get_Margin(Q$3,Q$2,Q$5,Q$1))*Get_Margin(Q$3,Q$2,Q$5,Q$1))*$D$3,ROUNDDOWN((Client_Margin($C40)*Alloted(Q$3,Q$2,Q$5)/Get_Margin(Q$3,Q$2,Q$5,Q$1)),0),ROUNDUP((Client_Margin($C40)*Alloted(Q$3,Q$2,Q$5)/Get_Margin(Q$3,Q$2,Q$5,Q$1)),0)),"-")</f>
        <v>0</v>
      </c>
    </row>
    <row r="41" spans="1:17" hidden="1" x14ac:dyDescent="0.25">
      <c r="A41">
        <f>_xlfn.XLOOKUP(C41,'OI QTY'!$O$5:$O$21,'OI QTY'!$N$5:$N$21,"")</f>
        <v>0</v>
      </c>
      <c r="B41">
        <v>0</v>
      </c>
      <c r="C41" s="14"/>
      <c r="D41" s="14"/>
      <c r="E41" s="15">
        <f>SUM(F41:Q41)</f>
        <v>0.87131034482758618</v>
      </c>
      <c r="F41" s="15" t="str" cm="1">
        <f t="array" ref="F41">IFERROR((_xlfn._xlws.FILTER(INDEX(Margin[],0,MATCH(F$1&amp;"_"&amp;F$3,Margin[#Headers],0)),(Margin[Index]=F$2)*(Margin[Strategy]=F$5))*F40)/Client_Margin($C40),"-")</f>
        <v>-</v>
      </c>
      <c r="G41" s="15" t="str" cm="1">
        <f t="array" ref="G41">IFERROR((_xlfn._xlws.FILTER(INDEX(Margin[],0,MATCH(G$1&amp;"_"&amp;G$3,Margin[#Headers],0)),(Margin[Index]=G$2)*(Margin[Strategy]=G$5))*G40)/Client_Margin($C40),"-")</f>
        <v>-</v>
      </c>
      <c r="H41" s="15" cm="1">
        <f t="array" ref="H41">IFERROR((_xlfn._xlws.FILTER(INDEX(Margin[],0,MATCH(H$1&amp;"_"&amp;H$3,Margin[#Headers],0)),(Margin[Index]=H$2)*(Margin[Strategy]=H$5))*H40)/Client_Margin($C40),"-")</f>
        <v>9.6000000000000002E-2</v>
      </c>
      <c r="I41" s="15" cm="1">
        <f t="array" ref="I41">IFERROR((_xlfn._xlws.FILTER(INDEX(Margin[],0,MATCH(I$1&amp;"_"&amp;I$3,Margin[#Headers],0)),(Margin[Index]=I$2)*(Margin[Strategy]=I$5))*I40)/Client_Margin($C40),"-")</f>
        <v>0.12910344827586206</v>
      </c>
      <c r="J41" s="15" cm="1">
        <f t="array" ref="J41">IFERROR((_xlfn._xlws.FILTER(INDEX(Margin[],0,MATCH(J$1&amp;"_"&amp;J$3,Margin[#Headers],0)),(Margin[Index]=J$2)*(Margin[Strategy]=J$5))*J40)/Client_Margin($C40),"-")</f>
        <v>0.1103448275862069</v>
      </c>
      <c r="K41" s="15" cm="1">
        <f t="array" ref="K41">IFERROR((_xlfn._xlws.FILTER(INDEX(Margin[],0,MATCH(K$1&amp;"_"&amp;K$3,Margin[#Headers],0)),(Margin[Index]=K$2)*(Margin[Strategy]=K$5))*K40)/Client_Margin($C40),"-")</f>
        <v>0.11482758620689655</v>
      </c>
      <c r="L41" s="15" cm="1">
        <f t="array" ref="L41">IFERROR((_xlfn._xlws.FILTER(INDEX(Margin[],0,MATCH(L$1&amp;"_"&amp;L$3,Margin[#Headers],0)),(Margin[Index]=L$2)*(Margin[Strategy]=L$5))*L40)/Client_Margin($C40),"-")</f>
        <v>0.42103448275862071</v>
      </c>
      <c r="M41" s="15" cm="1">
        <f t="array" ref="M41">IFERROR((_xlfn._xlws.FILTER(INDEX(Margin[],0,MATCH(M$1&amp;"_"&amp;M$3,Margin[#Headers],0)),(Margin[Index]=M$2)*(Margin[Strategy]=M$5))*M40)/Client_Margin($C40),"-")</f>
        <v>0</v>
      </c>
      <c r="N41" s="15" cm="1">
        <f t="array" ref="N41">IFERROR((_xlfn._xlws.FILTER(INDEX(Margin[],0,MATCH(N$1&amp;"_"&amp;N$3,Margin[#Headers],0)),(Margin[Index]=N$2)*(Margin[Strategy]=N$5))*N40)/Client_Margin($C40),"-")</f>
        <v>0</v>
      </c>
      <c r="O41" s="15" cm="1">
        <f t="array" ref="O41">IFERROR((_xlfn._xlws.FILTER(INDEX(Margin[],0,MATCH(O$1&amp;"_"&amp;O$3,Margin[#Headers],0)),(Margin[Index]=O$2)*(Margin[Strategy]=O$5))*O40)/Client_Margin($C40),"-")</f>
        <v>0</v>
      </c>
      <c r="P41" s="15" cm="1">
        <f t="array" ref="P41">IFERROR((_xlfn._xlws.FILTER(INDEX(Margin[],0,MATCH(P$1&amp;"_"&amp;P$3,Margin[#Headers],0)),(Margin[Index]=P$2)*(Margin[Strategy]=P$5))*P40)/Client_Margin($C40),"-")</f>
        <v>0</v>
      </c>
      <c r="Q41" s="15" cm="1">
        <f t="array" ref="Q41">IFERROR((_xlfn._xlws.FILTER(INDEX(Margin[],0,MATCH(Q$1&amp;"_"&amp;Q$3,Margin[#Headers],0)),(Margin[Index]=Q$2)*(Margin[Strategy]=Q$5))*Q40)/Client_Margin($C40),"-")</f>
        <v>0</v>
      </c>
    </row>
    <row r="42" spans="1:17" hidden="1" x14ac:dyDescent="0.25">
      <c r="A42" t="str">
        <f>_xlfn.XLOOKUP(C42,'OI QTY'!$O$5:$O$21,'OI QTY'!$N$5:$N$21,"")</f>
        <v/>
      </c>
      <c r="B42">
        <f t="shared" si="4"/>
        <v>1</v>
      </c>
      <c r="C42" s="14" t="s">
        <v>40</v>
      </c>
      <c r="D42" s="14" cm="1">
        <f t="array" ref="D42">(_xlfn._xlws.FILTER(Fund[Margin],Fund[Client Id]=C42))/10000000</f>
        <v>1.3</v>
      </c>
      <c r="E42" s="17"/>
      <c r="F42" s="14" t="str" cm="1">
        <f t="array" ref="F42">IFERROR(IF(ROUNDUP((Client_Margin($C42)*Alloted(F$3,F$2,F$5)/Get_Margin(F$3,F$2,F$5,F$1)),0)*Get_Margin(F$3,F$2,F$5,F$1)&gt;((Client_Margin($C42)*Alloted(F$3,F$2,F$5)/Get_Margin(F$3,F$2,F$5,F$1))*Get_Margin(F$3,F$2,F$5,F$1))*$D$3,ROUNDDOWN((Client_Margin($C42)*Alloted(F$3,F$2,F$5)/Get_Margin(F$3,F$2,F$5,F$1)),0),ROUNDUP((Client_Margin($C42)*Alloted(F$3,F$2,F$5)/Get_Margin(F$3,F$2,F$5,F$1)),0)),"-")</f>
        <v>-</v>
      </c>
      <c r="G42" s="14" t="str" cm="1">
        <f t="array" ref="G42">IFERROR(IF(ROUNDUP((Client_Margin($C42)*Alloted(G$3,G$2,G$5)/Get_Margin(G$3,G$2,G$5,G$1)),0)*Get_Margin(G$3,G$2,G$5,G$1)&gt;((Client_Margin($C42)*Alloted(G$3,G$2,G$5)/Get_Margin(G$3,G$2,G$5,G$1))*Get_Margin(G$3,G$2,G$5,G$1))*$D$3,ROUNDDOWN((Client_Margin($C42)*Alloted(G$3,G$2,G$5)/Get_Margin(G$3,G$2,G$5,G$1)),0),ROUNDUP((Client_Margin($C42)*Alloted(G$3,G$2,G$5)/Get_Margin(G$3,G$2,G$5,G$1)),0)),"-")</f>
        <v>-</v>
      </c>
      <c r="H42" s="14" cm="1">
        <f t="array" ref="H42">IFERROR(IF(ROUNDUP((Client_Margin($C42)*Alloted(H$3,H$2,H$5)/Get_Margin(H$3,H$2,H$5,H$1)),0)*Get_Margin(H$3,H$2,H$5,H$1)&gt;((Client_Margin($C42)*Alloted(H$3,H$2,H$5)/Get_Margin(H$3,H$2,H$5,H$1))*Get_Margin(H$3,H$2,H$5,H$1))*$D$3,ROUNDDOWN((Client_Margin($C42)*Alloted(H$3,H$2,H$5)/Get_Margin(H$3,H$2,H$5,H$1)),0),ROUNDUP((Client_Margin($C42)*Alloted(H$3,H$2,H$5)/Get_Margin(H$3,H$2,H$5,H$1)),0)),"-")</f>
        <v>2</v>
      </c>
      <c r="I42" s="41">
        <v>1</v>
      </c>
      <c r="J42" s="41">
        <v>1</v>
      </c>
      <c r="K42" s="14" cm="1">
        <f t="array" ref="K42">IFERROR(IF(ROUNDUP((Client_Margin($C42)*Alloted(K$3,K$2,K$5)/Get_Margin(K$3,K$2,K$5,K$1)),0)*Get_Margin(K$3,K$2,K$5,K$1)&gt;((Client_Margin($C42)*Alloted(K$3,K$2,K$5)/Get_Margin(K$3,K$2,K$5,K$1))*Get_Margin(K$3,K$2,K$5,K$1))*$D$3,ROUNDDOWN((Client_Margin($C42)*Alloted(K$3,K$2,K$5)/Get_Margin(K$3,K$2,K$5,K$1)),0),ROUNDUP((Client_Margin($C42)*Alloted(K$3,K$2,K$5)/Get_Margin(K$3,K$2,K$5,K$1)),0)),"-")</f>
        <v>2</v>
      </c>
      <c r="L42" s="14" cm="1">
        <f t="array" ref="L42">IFERROR(IF(ROUNDUP((Client_Margin($C42)*Alloted(L$3,L$2,L$5)/Get_Margin(L$3,L$2,L$5,L$1)),0)*Get_Margin(L$3,L$2,L$5,L$1)&gt;((Client_Margin($C42)*Alloted(L$3,L$2,L$5)/Get_Margin(L$3,L$2,L$5,L$1))*Get_Margin(L$3,L$2,L$5,L$1))*$D$3,ROUNDDOWN((Client_Margin($C42)*Alloted(L$3,L$2,L$5)/Get_Margin(L$3,L$2,L$5,L$1)),0),ROUNDUP((Client_Margin($C42)*Alloted(L$3,L$2,L$5)/Get_Margin(L$3,L$2,L$5,L$1)),0)),"-")</f>
        <v>10</v>
      </c>
      <c r="M42" s="14" cm="1">
        <f t="array" ref="M42">IFERROR(IF(ROUNDUP((Client_Margin($C42)*Alloted(M$3,M$2,M$5)/Get_Margin(M$3,M$2,M$5,M$1)),0)*Get_Margin(M$3,M$2,M$5,M$1)&gt;((Client_Margin($C42)*Alloted(M$3,M$2,M$5)/Get_Margin(M$3,M$2,M$5,M$1))*Get_Margin(M$3,M$2,M$5,M$1))*$D$3,ROUNDDOWN((Client_Margin($C42)*Alloted(M$3,M$2,M$5)/Get_Margin(M$3,M$2,M$5,M$1)),0),ROUNDUP((Client_Margin($C42)*Alloted(M$3,M$2,M$5)/Get_Margin(M$3,M$2,M$5,M$1)),0)),"-")</f>
        <v>0</v>
      </c>
      <c r="N42" s="14" cm="1">
        <f t="array" ref="N42">IFERROR(IF(ROUNDUP((Client_Margin($C42)*Alloted(N$3,N$2,N$5)/Get_Margin(N$3,N$2,N$5,N$1)),0)*Get_Margin(N$3,N$2,N$5,N$1)&gt;((Client_Margin($C42)*Alloted(N$3,N$2,N$5)/Get_Margin(N$3,N$2,N$5,N$1))*Get_Margin(N$3,N$2,N$5,N$1))*$D$3,ROUNDDOWN((Client_Margin($C42)*Alloted(N$3,N$2,N$5)/Get_Margin(N$3,N$2,N$5,N$1)),0),ROUNDUP((Client_Margin($C42)*Alloted(N$3,N$2,N$5)/Get_Margin(N$3,N$2,N$5,N$1)),0)),"-")</f>
        <v>0</v>
      </c>
      <c r="O42" s="41">
        <v>0</v>
      </c>
      <c r="P42" s="14" cm="1">
        <f t="array" ref="P42">IFERROR(IF(ROUNDUP((Client_Margin($C42)*Alloted(P$3,P$2,P$5)/Get_Margin(P$3,P$2,P$5,P$1)),0)*Get_Margin(P$3,P$2,P$5,P$1)&gt;((Client_Margin($C42)*Alloted(P$3,P$2,P$5)/Get_Margin(P$3,P$2,P$5,P$1))*Get_Margin(P$3,P$2,P$5,P$1))*$D$3,ROUNDDOWN((Client_Margin($C42)*Alloted(P$3,P$2,P$5)/Get_Margin(P$3,P$2,P$5,P$1)),0),ROUNDUP((Client_Margin($C42)*Alloted(P$3,P$2,P$5)/Get_Margin(P$3,P$2,P$5,P$1)),0)),"-")</f>
        <v>0</v>
      </c>
      <c r="Q42" s="14" cm="1">
        <f t="array" ref="Q42">IFERROR(IF(ROUNDUP((Client_Margin($C42)*Alloted(Q$3,Q$2,Q$5)/Get_Margin(Q$3,Q$2,Q$5,Q$1)),0)*Get_Margin(Q$3,Q$2,Q$5,Q$1)&gt;((Client_Margin($C42)*Alloted(Q$3,Q$2,Q$5)/Get_Margin(Q$3,Q$2,Q$5,Q$1))*Get_Margin(Q$3,Q$2,Q$5,Q$1))*$D$3,ROUNDDOWN((Client_Margin($C42)*Alloted(Q$3,Q$2,Q$5)/Get_Margin(Q$3,Q$2,Q$5,Q$1)),0),ROUNDUP((Client_Margin($C42)*Alloted(Q$3,Q$2,Q$5)/Get_Margin(Q$3,Q$2,Q$5,Q$1)),0)),"-")</f>
        <v>0</v>
      </c>
    </row>
    <row r="43" spans="1:17" hidden="1" x14ac:dyDescent="0.25">
      <c r="A43">
        <f>_xlfn.XLOOKUP(C43,'OI QTY'!$O$5:$O$21,'OI QTY'!$N$5:$N$21,"")</f>
        <v>0</v>
      </c>
      <c r="B43">
        <f t="shared" si="4"/>
        <v>0</v>
      </c>
      <c r="C43" s="14"/>
      <c r="D43" s="14"/>
      <c r="E43" s="15">
        <f>SUM(F43:Q43)</f>
        <v>0.88646153846153841</v>
      </c>
      <c r="F43" s="15" t="str" cm="1">
        <f t="array" ref="F43">IFERROR((_xlfn._xlws.FILTER(INDEX(Margin[],0,MATCH(F$1&amp;"_"&amp;F$3,Margin[#Headers],0)),(Margin[Index]=F$2)*(Margin[Strategy]=F$5))*F42)/Client_Margin($C42),"-")</f>
        <v>-</v>
      </c>
      <c r="G43" s="15" t="str" cm="1">
        <f t="array" ref="G43">IFERROR((_xlfn._xlws.FILTER(INDEX(Margin[],0,MATCH(G$1&amp;"_"&amp;G$3,Margin[#Headers],0)),(Margin[Index]=G$2)*(Margin[Strategy]=G$5))*G42)/Client_Margin($C42),"-")</f>
        <v>-</v>
      </c>
      <c r="H43" s="15" cm="1">
        <f t="array" ref="H43">IFERROR((_xlfn._xlws.FILTER(INDEX(Margin[],0,MATCH(H$1&amp;"_"&amp;H$3,Margin[#Headers],0)),(Margin[Index]=H$2)*(Margin[Strategy]=H$5))*H42)/Client_Margin($C42),"-")</f>
        <v>0.10707692307692308</v>
      </c>
      <c r="I43" s="15" cm="1">
        <f t="array" ref="I43">IFERROR((_xlfn._xlws.FILTER(INDEX(Margin[],0,MATCH(I$1&amp;"_"&amp;I$3,Margin[#Headers],0)),(Margin[Index]=I$2)*(Margin[Strategy]=I$5))*I42)/Client_Margin($C42),"-")</f>
        <v>0.14399999999999999</v>
      </c>
      <c r="J43" s="15" cm="1">
        <f t="array" ref="J43">IFERROR((_xlfn._xlws.FILTER(INDEX(Margin[],0,MATCH(J$1&amp;"_"&amp;J$3,Margin[#Headers],0)),(Margin[Index]=J$2)*(Margin[Strategy]=J$5))*J42)/Client_Margin($C42),"-")</f>
        <v>0.12307692307692308</v>
      </c>
      <c r="K43" s="15" cm="1">
        <f t="array" ref="K43">IFERROR((_xlfn._xlws.FILTER(INDEX(Margin[],0,MATCH(K$1&amp;"_"&amp;K$3,Margin[#Headers],0)),(Margin[Index]=K$2)*(Margin[Strategy]=K$5))*K42)/Client_Margin($C42),"-")</f>
        <v>8.5384615384615378E-2</v>
      </c>
      <c r="L43" s="15" cm="1">
        <f t="array" ref="L43">IFERROR((_xlfn._xlws.FILTER(INDEX(Margin[],0,MATCH(L$1&amp;"_"&amp;L$3,Margin[#Headers],0)),(Margin[Index]=L$2)*(Margin[Strategy]=L$5))*L42)/Client_Margin($C42),"-")</f>
        <v>0.42692307692307691</v>
      </c>
      <c r="M43" s="15" cm="1">
        <f t="array" ref="M43">IFERROR((_xlfn._xlws.FILTER(INDEX(Margin[],0,MATCH(M$1&amp;"_"&amp;M$3,Margin[#Headers],0)),(Margin[Index]=M$2)*(Margin[Strategy]=M$5))*M42)/Client_Margin($C42),"-")</f>
        <v>0</v>
      </c>
      <c r="N43" s="15" cm="1">
        <f t="array" ref="N43">IFERROR((_xlfn._xlws.FILTER(INDEX(Margin[],0,MATCH(N$1&amp;"_"&amp;N$3,Margin[#Headers],0)),(Margin[Index]=N$2)*(Margin[Strategy]=N$5))*N42)/Client_Margin($C42),"-")</f>
        <v>0</v>
      </c>
      <c r="O43" s="15" cm="1">
        <f t="array" ref="O43">IFERROR((_xlfn._xlws.FILTER(INDEX(Margin[],0,MATCH(O$1&amp;"_"&amp;O$3,Margin[#Headers],0)),(Margin[Index]=O$2)*(Margin[Strategy]=O$5))*O42)/Client_Margin($C42),"-")</f>
        <v>0</v>
      </c>
      <c r="P43" s="15" cm="1">
        <f t="array" ref="P43">IFERROR((_xlfn._xlws.FILTER(INDEX(Margin[],0,MATCH(P$1&amp;"_"&amp;P$3,Margin[#Headers],0)),(Margin[Index]=P$2)*(Margin[Strategy]=P$5))*P42)/Client_Margin($C42),"-")</f>
        <v>0</v>
      </c>
      <c r="Q43" s="15" cm="1">
        <f t="array" ref="Q43">IFERROR((_xlfn._xlws.FILTER(INDEX(Margin[],0,MATCH(Q$1&amp;"_"&amp;Q$3,Margin[#Headers],0)),(Margin[Index]=Q$2)*(Margin[Strategy]=Q$5))*Q42)/Client_Margin($C42),"-")</f>
        <v>0</v>
      </c>
    </row>
  </sheetData>
  <autoFilter ref="A5:Q43" xr:uid="{6FD604D1-78FC-4726-95C3-1EFEC021F94F}">
    <filterColumn colId="0">
      <filters>
        <filter val="K"/>
        <filter val="M"/>
      </filters>
    </filterColumn>
  </autoFilter>
  <conditionalFormatting sqref="E7:Q7">
    <cfRule type="expression" dxfId="29" priority="48">
      <formula>E7&gt;E$4</formula>
    </cfRule>
  </conditionalFormatting>
  <conditionalFormatting sqref="E9:Q9">
    <cfRule type="expression" dxfId="28" priority="16">
      <formula>E9&gt;E$4</formula>
    </cfRule>
  </conditionalFormatting>
  <conditionalFormatting sqref="E11:Q11">
    <cfRule type="expression" dxfId="27" priority="15">
      <formula>E11&gt;E$4</formula>
    </cfRule>
  </conditionalFormatting>
  <conditionalFormatting sqref="E13:Q13 E15:Q15">
    <cfRule type="expression" dxfId="26" priority="14">
      <formula>E13&gt;E$4</formula>
    </cfRule>
  </conditionalFormatting>
  <conditionalFormatting sqref="E17:Q17">
    <cfRule type="expression" dxfId="25" priority="12">
      <formula>E17&gt;E$4</formula>
    </cfRule>
  </conditionalFormatting>
  <conditionalFormatting sqref="E19:Q19 E21:Q21">
    <cfRule type="expression" dxfId="24" priority="11">
      <formula>E19&gt;E$4</formula>
    </cfRule>
  </conditionalFormatting>
  <conditionalFormatting sqref="E23:Q23">
    <cfRule type="expression" dxfId="23" priority="10">
      <formula>E23&gt;E$4</formula>
    </cfRule>
  </conditionalFormatting>
  <conditionalFormatting sqref="E25:Q25">
    <cfRule type="expression" dxfId="22" priority="9">
      <formula>E25&gt;E$4</formula>
    </cfRule>
  </conditionalFormatting>
  <conditionalFormatting sqref="E27:Q27">
    <cfRule type="expression" dxfId="21" priority="8">
      <formula>E27&gt;E$4</formula>
    </cfRule>
  </conditionalFormatting>
  <conditionalFormatting sqref="E29:Q29">
    <cfRule type="expression" dxfId="20" priority="7">
      <formula>E29&gt;E$4</formula>
    </cfRule>
  </conditionalFormatting>
  <conditionalFormatting sqref="E31:Q31">
    <cfRule type="expression" dxfId="19" priority="6">
      <formula>E31&gt;E$4</formula>
    </cfRule>
  </conditionalFormatting>
  <conditionalFormatting sqref="E33:Q33">
    <cfRule type="expression" dxfId="18" priority="4">
      <formula>E33&gt;E$4</formula>
    </cfRule>
  </conditionalFormatting>
  <conditionalFormatting sqref="E35:Q35">
    <cfRule type="expression" dxfId="17" priority="3">
      <formula>E35&gt;E$4</formula>
    </cfRule>
  </conditionalFormatting>
  <conditionalFormatting sqref="E37:Q37 E39:Q39 E41:Q41">
    <cfRule type="expression" dxfId="16" priority="2">
      <formula>E37&gt;E$4</formula>
    </cfRule>
  </conditionalFormatting>
  <conditionalFormatting sqref="E43:Q43">
    <cfRule type="expression" dxfId="15" priority="1">
      <formula>E43&gt;E$4</formula>
    </cfRule>
  </conditionalFormatting>
  <dataValidations count="2">
    <dataValidation type="list" allowBlank="1" showInputMessage="1" showErrorMessage="1" sqref="F3:Q3" xr:uid="{851346B1-9BB8-4547-AF60-809053597C5D}">
      <formula1>"W.O.H,W.H"</formula1>
    </dataValidation>
    <dataValidation type="list" allowBlank="1" showInputMessage="1" showErrorMessage="1" sqref="F1:Q1" xr:uid="{E11ECCE0-A424-4C0A-908F-46713AD91E64}">
      <formula1>"Expiry,N.Expiry"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61AD-15B3-4414-91F3-122CD9890A23}">
  <dimension ref="A2:L33"/>
  <sheetViews>
    <sheetView workbookViewId="0">
      <selection activeCell="I23" sqref="I23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5.42578125" bestFit="1" customWidth="1"/>
    <col min="4" max="4" width="4.5703125" bestFit="1" customWidth="1"/>
    <col min="5" max="5" width="6.140625" bestFit="1" customWidth="1"/>
    <col min="6" max="6" width="7.5703125" bestFit="1" customWidth="1"/>
    <col min="7" max="9" width="12.28515625" bestFit="1" customWidth="1"/>
    <col min="10" max="10" width="7.5703125" bestFit="1" customWidth="1"/>
  </cols>
  <sheetData>
    <row r="2" spans="1:12" x14ac:dyDescent="0.25">
      <c r="B2" s="4"/>
      <c r="C2" s="4"/>
      <c r="E2" s="4" t="s">
        <v>104</v>
      </c>
      <c r="F2" s="4" t="s">
        <v>104</v>
      </c>
      <c r="G2" s="4" t="s">
        <v>105</v>
      </c>
      <c r="H2" s="4" t="s">
        <v>105</v>
      </c>
      <c r="I2" s="4" t="s">
        <v>105</v>
      </c>
      <c r="J2" s="4" t="s">
        <v>104</v>
      </c>
    </row>
    <row r="3" spans="1:12" x14ac:dyDescent="0.25">
      <c r="E3" s="4" t="s">
        <v>14</v>
      </c>
      <c r="F3" s="4" t="s">
        <v>15</v>
      </c>
      <c r="G3" s="4" t="s">
        <v>15</v>
      </c>
      <c r="H3" s="4" t="s">
        <v>81</v>
      </c>
      <c r="I3" s="4" t="s">
        <v>14</v>
      </c>
      <c r="J3" s="4" t="s">
        <v>15</v>
      </c>
    </row>
    <row r="4" spans="1:12" x14ac:dyDescent="0.25">
      <c r="C4">
        <v>1.1499999999999999</v>
      </c>
      <c r="E4" s="4" t="s">
        <v>103</v>
      </c>
      <c r="F4" s="4" t="s">
        <v>103</v>
      </c>
      <c r="G4" s="4" t="s">
        <v>103</v>
      </c>
      <c r="H4" s="4" t="s">
        <v>102</v>
      </c>
      <c r="I4" s="4" t="s">
        <v>103</v>
      </c>
      <c r="J4" s="4" t="s">
        <v>103</v>
      </c>
    </row>
    <row r="5" spans="1:12" x14ac:dyDescent="0.25">
      <c r="B5" s="4"/>
      <c r="C5" s="4"/>
      <c r="D5" s="37">
        <v>0.8</v>
      </c>
      <c r="E5" s="38">
        <v>0</v>
      </c>
      <c r="F5" s="38">
        <v>0</v>
      </c>
      <c r="G5" s="38">
        <v>0.1</v>
      </c>
      <c r="H5" s="38">
        <v>0.1</v>
      </c>
      <c r="I5" s="38">
        <v>0.1</v>
      </c>
      <c r="J5" s="38">
        <v>0.4</v>
      </c>
    </row>
    <row r="6" spans="1:12" x14ac:dyDescent="0.25">
      <c r="B6" s="16" t="s">
        <v>50</v>
      </c>
      <c r="C6" s="16" t="s">
        <v>51</v>
      </c>
      <c r="D6" s="16" t="s">
        <v>52</v>
      </c>
      <c r="E6" s="16" t="s">
        <v>67</v>
      </c>
      <c r="F6" s="16" t="s">
        <v>66</v>
      </c>
      <c r="G6" s="16" t="s">
        <v>70</v>
      </c>
      <c r="H6" s="16" t="s">
        <v>70</v>
      </c>
      <c r="I6" s="16" t="s">
        <v>70</v>
      </c>
      <c r="J6" s="16" t="s">
        <v>1</v>
      </c>
      <c r="L6" s="16" t="s">
        <v>1</v>
      </c>
    </row>
    <row r="7" spans="1:12" x14ac:dyDescent="0.25">
      <c r="A7" t="s">
        <v>132</v>
      </c>
      <c r="B7" s="14" t="s">
        <v>127</v>
      </c>
      <c r="C7" s="14">
        <v>4.5999999999999996</v>
      </c>
      <c r="D7" s="17"/>
      <c r="E7" s="14" t="s">
        <v>101</v>
      </c>
      <c r="F7" s="14" t="s">
        <v>101</v>
      </c>
      <c r="G7" s="14">
        <v>7</v>
      </c>
      <c r="H7" s="14">
        <v>2</v>
      </c>
      <c r="I7" s="14">
        <v>3</v>
      </c>
      <c r="J7" s="14">
        <v>17</v>
      </c>
      <c r="L7" s="14">
        <v>34</v>
      </c>
    </row>
    <row r="8" spans="1:12" x14ac:dyDescent="0.25">
      <c r="A8" t="s">
        <v>133</v>
      </c>
      <c r="B8" s="14" t="s">
        <v>112</v>
      </c>
      <c r="C8" s="14">
        <v>7</v>
      </c>
      <c r="D8" s="17"/>
      <c r="E8" s="14" t="s">
        <v>101</v>
      </c>
      <c r="F8" s="14" t="s">
        <v>101</v>
      </c>
      <c r="G8" s="14">
        <v>11</v>
      </c>
      <c r="H8" s="14">
        <v>4</v>
      </c>
      <c r="I8" s="14">
        <v>5</v>
      </c>
      <c r="J8" s="14">
        <v>25</v>
      </c>
      <c r="L8" s="14">
        <v>51</v>
      </c>
    </row>
    <row r="9" spans="1:12" x14ac:dyDescent="0.25">
      <c r="A9" s="65" t="s">
        <v>134</v>
      </c>
      <c r="B9" s="14" t="s">
        <v>123</v>
      </c>
      <c r="C9" s="14">
        <v>4</v>
      </c>
      <c r="D9" s="17"/>
      <c r="E9" s="14" t="s">
        <v>101</v>
      </c>
      <c r="F9" s="14" t="s">
        <v>101</v>
      </c>
      <c r="G9" s="14">
        <v>1</v>
      </c>
      <c r="H9" s="14">
        <v>1</v>
      </c>
      <c r="I9" s="14">
        <v>1</v>
      </c>
      <c r="J9" s="14">
        <v>8</v>
      </c>
      <c r="L9" s="14">
        <v>29</v>
      </c>
    </row>
    <row r="10" spans="1:12" x14ac:dyDescent="0.25">
      <c r="A10" t="s">
        <v>23</v>
      </c>
      <c r="B10" s="14" t="s">
        <v>128</v>
      </c>
      <c r="C10" s="14">
        <v>2</v>
      </c>
      <c r="D10" s="17"/>
      <c r="E10" s="14" t="s">
        <v>101</v>
      </c>
      <c r="F10" s="14" t="s">
        <v>101</v>
      </c>
      <c r="G10" s="14">
        <v>3</v>
      </c>
      <c r="H10" s="14">
        <v>1</v>
      </c>
      <c r="I10" s="14">
        <v>1</v>
      </c>
      <c r="J10" s="14">
        <v>15</v>
      </c>
      <c r="L10" s="14">
        <v>15</v>
      </c>
    </row>
    <row r="11" spans="1:12" x14ac:dyDescent="0.25">
      <c r="A11" t="s">
        <v>49</v>
      </c>
      <c r="B11" s="14" t="s">
        <v>122</v>
      </c>
      <c r="C11" s="14">
        <v>2.65</v>
      </c>
      <c r="D11" s="17"/>
      <c r="E11" s="14" t="s">
        <v>101</v>
      </c>
      <c r="F11" s="14" t="s">
        <v>101</v>
      </c>
      <c r="G11" s="14">
        <v>4</v>
      </c>
      <c r="H11" s="14">
        <v>1</v>
      </c>
      <c r="I11" s="14">
        <v>1</v>
      </c>
      <c r="J11" s="14">
        <v>10</v>
      </c>
      <c r="L11" s="14">
        <v>20</v>
      </c>
    </row>
    <row r="12" spans="1:12" x14ac:dyDescent="0.25">
      <c r="A12" t="s">
        <v>45</v>
      </c>
      <c r="B12" s="14" t="s">
        <v>129</v>
      </c>
      <c r="C12" s="14">
        <v>2.4</v>
      </c>
      <c r="D12" s="17"/>
      <c r="E12" s="14" t="s">
        <v>101</v>
      </c>
      <c r="F12" s="14" t="s">
        <v>101</v>
      </c>
      <c r="G12" s="14">
        <v>3</v>
      </c>
      <c r="H12" s="14">
        <v>1</v>
      </c>
      <c r="I12" s="14">
        <v>1</v>
      </c>
      <c r="J12" s="14">
        <v>9</v>
      </c>
      <c r="L12" s="14">
        <v>18</v>
      </c>
    </row>
    <row r="13" spans="1:12" x14ac:dyDescent="0.25">
      <c r="A13" t="s">
        <v>135</v>
      </c>
      <c r="B13" s="14" t="s">
        <v>114</v>
      </c>
      <c r="C13" s="14">
        <v>1.85</v>
      </c>
      <c r="D13" s="17"/>
      <c r="E13" s="14" t="s">
        <v>101</v>
      </c>
      <c r="F13" s="14" t="s">
        <v>101</v>
      </c>
      <c r="G13" s="14">
        <v>3</v>
      </c>
      <c r="H13" s="14">
        <v>1</v>
      </c>
      <c r="I13" s="14">
        <v>1</v>
      </c>
      <c r="J13" s="14">
        <v>7</v>
      </c>
      <c r="L13" s="14">
        <v>14</v>
      </c>
    </row>
    <row r="14" spans="1:12" x14ac:dyDescent="0.25">
      <c r="A14" s="65" t="s">
        <v>136</v>
      </c>
      <c r="B14" s="14" t="s">
        <v>130</v>
      </c>
      <c r="C14" s="14">
        <v>1.8</v>
      </c>
      <c r="D14" s="17"/>
      <c r="E14" s="14" t="s">
        <v>101</v>
      </c>
      <c r="F14" s="14" t="s">
        <v>101</v>
      </c>
      <c r="G14" s="14">
        <v>1</v>
      </c>
      <c r="H14" s="14">
        <v>1</v>
      </c>
      <c r="I14" s="14">
        <v>1</v>
      </c>
      <c r="J14" s="14">
        <v>3</v>
      </c>
      <c r="L14" s="14">
        <v>13</v>
      </c>
    </row>
    <row r="15" spans="1:12" x14ac:dyDescent="0.25">
      <c r="A15" s="65" t="s">
        <v>137</v>
      </c>
      <c r="B15" s="14" t="s">
        <v>121</v>
      </c>
      <c r="C15" s="14">
        <v>1.6</v>
      </c>
      <c r="D15" s="17"/>
      <c r="E15" s="14" t="s">
        <v>101</v>
      </c>
      <c r="F15" s="14" t="s">
        <v>101</v>
      </c>
      <c r="G15" s="14">
        <v>2</v>
      </c>
      <c r="H15" s="41">
        <v>1</v>
      </c>
      <c r="I15" s="14">
        <v>1</v>
      </c>
      <c r="J15" s="14">
        <v>3</v>
      </c>
      <c r="L15" s="14">
        <v>12</v>
      </c>
    </row>
    <row r="19" spans="2:11" x14ac:dyDescent="0.25">
      <c r="B19" s="4"/>
      <c r="C19" s="4"/>
      <c r="E19" s="4" t="s">
        <v>104</v>
      </c>
      <c r="F19" s="4" t="s">
        <v>104</v>
      </c>
      <c r="G19" s="4" t="s">
        <v>105</v>
      </c>
      <c r="H19" s="4" t="s">
        <v>105</v>
      </c>
      <c r="I19" s="4" t="s">
        <v>105</v>
      </c>
      <c r="J19" s="4"/>
      <c r="K19" s="4" t="s">
        <v>104</v>
      </c>
    </row>
    <row r="20" spans="2:11" x14ac:dyDescent="0.25">
      <c r="E20" s="4" t="s">
        <v>14</v>
      </c>
      <c r="F20" s="4" t="s">
        <v>15</v>
      </c>
      <c r="G20" s="4" t="s">
        <v>15</v>
      </c>
      <c r="H20" s="4" t="s">
        <v>81</v>
      </c>
      <c r="I20" s="4" t="s">
        <v>14</v>
      </c>
      <c r="J20" s="4"/>
      <c r="K20" s="4" t="s">
        <v>15</v>
      </c>
    </row>
    <row r="21" spans="2:11" x14ac:dyDescent="0.25">
      <c r="C21">
        <v>1.1499999999999999</v>
      </c>
      <c r="E21" s="4" t="s">
        <v>103</v>
      </c>
      <c r="F21" s="4" t="s">
        <v>103</v>
      </c>
      <c r="G21" s="4" t="s">
        <v>103</v>
      </c>
      <c r="H21" s="4" t="s">
        <v>102</v>
      </c>
      <c r="I21" s="4" t="s">
        <v>103</v>
      </c>
      <c r="J21" s="4"/>
      <c r="K21" s="4" t="s">
        <v>103</v>
      </c>
    </row>
    <row r="22" spans="2:11" x14ac:dyDescent="0.25">
      <c r="B22" s="4"/>
      <c r="C22" s="4"/>
      <c r="D22" s="37">
        <v>0.8</v>
      </c>
      <c r="E22" s="38">
        <v>0</v>
      </c>
      <c r="F22" s="38">
        <v>0</v>
      </c>
      <c r="G22" s="38">
        <v>0.1</v>
      </c>
      <c r="H22" s="38">
        <v>0.1</v>
      </c>
      <c r="I22" s="38">
        <v>0.1</v>
      </c>
      <c r="J22" s="38"/>
      <c r="K22" s="38">
        <v>0.4</v>
      </c>
    </row>
    <row r="23" spans="2:11" x14ac:dyDescent="0.25">
      <c r="B23" s="16" t="s">
        <v>50</v>
      </c>
      <c r="C23" s="16" t="s">
        <v>51</v>
      </c>
      <c r="D23" s="16" t="s">
        <v>52</v>
      </c>
      <c r="E23" s="16" t="s">
        <v>67</v>
      </c>
      <c r="F23" s="16" t="s">
        <v>66</v>
      </c>
      <c r="G23" s="16" t="s">
        <v>70</v>
      </c>
      <c r="H23" s="16" t="s">
        <v>70</v>
      </c>
      <c r="I23" s="16" t="s">
        <v>70</v>
      </c>
      <c r="J23" s="16"/>
    </row>
    <row r="24" spans="2:11" x14ac:dyDescent="0.25">
      <c r="B24" s="14" t="s">
        <v>127</v>
      </c>
      <c r="C24" s="14">
        <v>4.5999999999999996</v>
      </c>
      <c r="D24" s="17"/>
      <c r="E24" s="14" t="s">
        <v>101</v>
      </c>
      <c r="F24" s="14" t="s">
        <v>101</v>
      </c>
      <c r="G24" s="14">
        <v>7</v>
      </c>
      <c r="H24" s="14">
        <v>2</v>
      </c>
      <c r="I24" s="14">
        <v>3</v>
      </c>
      <c r="J24" s="14"/>
    </row>
    <row r="25" spans="2:11" x14ac:dyDescent="0.25">
      <c r="B25" s="14" t="s">
        <v>112</v>
      </c>
      <c r="C25" s="14">
        <v>7</v>
      </c>
      <c r="D25" s="17"/>
      <c r="E25" s="14" t="s">
        <v>101</v>
      </c>
      <c r="F25" s="14" t="s">
        <v>101</v>
      </c>
      <c r="G25" s="14">
        <v>11</v>
      </c>
      <c r="H25" s="14">
        <v>4</v>
      </c>
      <c r="I25" s="14">
        <v>5</v>
      </c>
      <c r="J25" s="14"/>
    </row>
    <row r="26" spans="2:11" x14ac:dyDescent="0.25">
      <c r="B26" s="14" t="s">
        <v>123</v>
      </c>
      <c r="C26" s="14">
        <v>4</v>
      </c>
      <c r="D26" s="17"/>
      <c r="E26" s="14" t="s">
        <v>101</v>
      </c>
      <c r="F26" s="14" t="s">
        <v>101</v>
      </c>
      <c r="G26" s="14">
        <v>6</v>
      </c>
      <c r="H26" s="14">
        <v>2</v>
      </c>
      <c r="I26" s="14">
        <v>2</v>
      </c>
      <c r="J26" s="14"/>
    </row>
    <row r="27" spans="2:11" x14ac:dyDescent="0.25">
      <c r="B27" s="14" t="s">
        <v>128</v>
      </c>
      <c r="C27" s="14">
        <v>2</v>
      </c>
      <c r="D27" s="17"/>
      <c r="E27" s="14" t="s">
        <v>101</v>
      </c>
      <c r="F27" s="14" t="s">
        <v>101</v>
      </c>
      <c r="G27" s="14">
        <v>3</v>
      </c>
      <c r="H27" s="14">
        <v>1</v>
      </c>
      <c r="I27" s="14">
        <v>1</v>
      </c>
      <c r="J27" s="14"/>
    </row>
    <row r="28" spans="2:11" x14ac:dyDescent="0.25">
      <c r="B28" s="14" t="s">
        <v>122</v>
      </c>
      <c r="C28" s="14">
        <v>2.65</v>
      </c>
      <c r="D28" s="17"/>
      <c r="E28" s="14" t="s">
        <v>101</v>
      </c>
      <c r="F28" s="14" t="s">
        <v>101</v>
      </c>
      <c r="G28" s="14">
        <v>4</v>
      </c>
      <c r="H28" s="14">
        <v>1</v>
      </c>
      <c r="I28" s="14">
        <v>1</v>
      </c>
      <c r="J28" s="14"/>
    </row>
    <row r="29" spans="2:11" x14ac:dyDescent="0.25">
      <c r="B29" s="14" t="s">
        <v>129</v>
      </c>
      <c r="C29" s="14">
        <v>2.4</v>
      </c>
      <c r="D29" s="17"/>
      <c r="E29" s="14" t="s">
        <v>101</v>
      </c>
      <c r="F29" s="14" t="s">
        <v>101</v>
      </c>
      <c r="G29" s="14">
        <v>3</v>
      </c>
      <c r="H29" s="14">
        <v>1</v>
      </c>
      <c r="I29" s="14">
        <v>1</v>
      </c>
      <c r="J29" s="14"/>
    </row>
    <row r="30" spans="2:11" x14ac:dyDescent="0.25">
      <c r="B30" s="14" t="s">
        <v>114</v>
      </c>
      <c r="C30" s="14">
        <v>1.85</v>
      </c>
      <c r="D30" s="17"/>
      <c r="E30" s="14" t="s">
        <v>101</v>
      </c>
      <c r="F30" s="14" t="s">
        <v>101</v>
      </c>
      <c r="G30" s="14">
        <v>3</v>
      </c>
      <c r="H30" s="14">
        <v>1</v>
      </c>
      <c r="I30" s="14">
        <v>1</v>
      </c>
      <c r="J30" s="14"/>
    </row>
    <row r="31" spans="2:11" x14ac:dyDescent="0.25">
      <c r="B31" s="14" t="s">
        <v>130</v>
      </c>
      <c r="C31" s="14">
        <v>1.8</v>
      </c>
      <c r="D31" s="17"/>
      <c r="E31" s="14" t="s">
        <v>101</v>
      </c>
      <c r="F31" s="14" t="s">
        <v>101</v>
      </c>
      <c r="G31" s="14">
        <v>2</v>
      </c>
      <c r="H31" s="14">
        <v>1</v>
      </c>
      <c r="I31" s="14">
        <v>1</v>
      </c>
      <c r="J31" s="14"/>
    </row>
    <row r="32" spans="2:11" x14ac:dyDescent="0.25">
      <c r="B32" s="14" t="s">
        <v>113</v>
      </c>
      <c r="C32" s="14">
        <v>1.3</v>
      </c>
      <c r="D32" s="17"/>
      <c r="E32" s="14" t="s">
        <v>101</v>
      </c>
      <c r="F32" s="14" t="s">
        <v>101</v>
      </c>
      <c r="G32" s="14">
        <v>2</v>
      </c>
      <c r="H32" s="41">
        <v>1</v>
      </c>
      <c r="I32" s="14">
        <v>0</v>
      </c>
      <c r="J32" s="14"/>
    </row>
    <row r="33" spans="2:10" x14ac:dyDescent="0.25">
      <c r="B33" s="14" t="s">
        <v>121</v>
      </c>
      <c r="C33" s="14">
        <v>1.6</v>
      </c>
      <c r="D33" s="17"/>
      <c r="E33" s="14" t="s">
        <v>101</v>
      </c>
      <c r="F33" s="14" t="s">
        <v>101</v>
      </c>
      <c r="G33" s="14">
        <v>2</v>
      </c>
      <c r="H33" s="41">
        <v>1</v>
      </c>
      <c r="I33" s="14">
        <v>1</v>
      </c>
      <c r="J3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ACC6-E21B-4AE1-86E3-36114C251762}">
  <sheetPr codeName="Sheet6" filterMode="1"/>
  <dimension ref="A1:U43"/>
  <sheetViews>
    <sheetView zoomScale="90" zoomScaleNormal="90" workbookViewId="0">
      <selection activeCell="E55" sqref="E54:E55"/>
    </sheetView>
  </sheetViews>
  <sheetFormatPr defaultRowHeight="15" x14ac:dyDescent="0.25"/>
  <cols>
    <col min="1" max="1" width="3.7109375" customWidth="1"/>
    <col min="2" max="2" width="2" bestFit="1" customWidth="1"/>
    <col min="3" max="3" width="13.5703125" style="4" bestFit="1" customWidth="1"/>
    <col min="4" max="4" width="10" style="4" bestFit="1" customWidth="1"/>
    <col min="5" max="5" width="7.140625" bestFit="1" customWidth="1"/>
    <col min="6" max="6" width="8.140625" bestFit="1" customWidth="1"/>
    <col min="7" max="7" width="7.5703125" bestFit="1" customWidth="1"/>
    <col min="8" max="10" width="16.85546875" bestFit="1" customWidth="1"/>
    <col min="11" max="11" width="13" bestFit="1" customWidth="1"/>
    <col min="12" max="12" width="12.85546875" bestFit="1" customWidth="1"/>
    <col min="13" max="13" width="13.7109375" bestFit="1" customWidth="1"/>
    <col min="14" max="14" width="15.28515625" bestFit="1" customWidth="1"/>
    <col min="15" max="15" width="15.140625" bestFit="1" customWidth="1"/>
    <col min="17" max="17" width="15.28515625" bestFit="1" customWidth="1"/>
  </cols>
  <sheetData>
    <row r="1" spans="1:21" x14ac:dyDescent="0.25">
      <c r="F1" s="4" t="s">
        <v>105</v>
      </c>
      <c r="G1" s="4" t="s">
        <v>104</v>
      </c>
      <c r="H1" s="4" t="s">
        <v>105</v>
      </c>
      <c r="I1" s="4" t="s">
        <v>105</v>
      </c>
      <c r="J1" s="4" t="s">
        <v>105</v>
      </c>
      <c r="K1" s="4" t="s">
        <v>105</v>
      </c>
      <c r="L1" s="4" t="s">
        <v>105</v>
      </c>
      <c r="M1" s="4" t="s">
        <v>105</v>
      </c>
      <c r="N1" s="4" t="s">
        <v>105</v>
      </c>
      <c r="O1" s="4" t="s">
        <v>105</v>
      </c>
    </row>
    <row r="2" spans="1:21" x14ac:dyDescent="0.25">
      <c r="C2"/>
      <c r="D2"/>
      <c r="F2" s="4" t="s">
        <v>14</v>
      </c>
      <c r="G2" s="4" t="s">
        <v>15</v>
      </c>
      <c r="H2" s="4" t="s">
        <v>15</v>
      </c>
      <c r="I2" s="4" t="s">
        <v>81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  <c r="O2" s="4" t="s">
        <v>14</v>
      </c>
    </row>
    <row r="3" spans="1:21" x14ac:dyDescent="0.25">
      <c r="C3"/>
      <c r="D3">
        <v>1.1499999999999999</v>
      </c>
      <c r="F3" s="4" t="s">
        <v>103</v>
      </c>
      <c r="G3" s="4" t="s">
        <v>103</v>
      </c>
      <c r="H3" s="4" t="s">
        <v>103</v>
      </c>
      <c r="I3" s="4" t="s">
        <v>102</v>
      </c>
      <c r="J3" s="4" t="s">
        <v>103</v>
      </c>
      <c r="K3" s="4" t="s">
        <v>103</v>
      </c>
      <c r="L3" s="4" t="s">
        <v>103</v>
      </c>
      <c r="M3" s="4" t="s">
        <v>103</v>
      </c>
      <c r="N3" s="4" t="s">
        <v>102</v>
      </c>
      <c r="O3" s="4" t="s">
        <v>102</v>
      </c>
      <c r="T3" s="4"/>
      <c r="U3" s="4"/>
    </row>
    <row r="4" spans="1:21" x14ac:dyDescent="0.25">
      <c r="E4" s="37">
        <f>SUM(F4:O4)</f>
        <v>0.30000000000000004</v>
      </c>
      <c r="F4" s="38" cm="1">
        <f t="array" ref="F4">IF(Fri!F3="W.H",_xlfn._xlws.FILTER(Margin[Strategy allotment % with hedge],(Margin[Strategy]=Fri!F$5)*(Margin[Index]=Fri!F$2)),_xlfn._xlws.FILTER(Margin[Strategy allotment % without hedge],(Margin[Strategy]=Fri!F$5)*(Margin[Index]=Fri!F$2)))</f>
        <v>0</v>
      </c>
      <c r="G4" s="38" cm="1">
        <f t="array" ref="G4">IF(Fri!G3="W.H",_xlfn._xlws.FILTER(Margin[Strategy allotment % with hedge],(Margin[Strategy]=Fri!G$5)*(Margin[Index]=Fri!G$2)),_xlfn._xlws.FILTER(Margin[Strategy allotment % without hedge],(Margin[Strategy]=Fri!G$5)*(Margin[Index]=Fri!G$2)))</f>
        <v>0</v>
      </c>
      <c r="H4" s="38" cm="1">
        <f t="array" ref="H4">IF(Fri!H3="W.H",_xlfn._xlws.FILTER(Margin[Strategy allotment % with hedge],(Margin[Strategy]=Fri!H$5)*(Margin[Index]=Fri!H$2)),_xlfn._xlws.FILTER(Margin[Strategy allotment % without hedge],(Margin[Strategy]=Fri!H$5)*(Margin[Index]=Fri!H$2)))</f>
        <v>0.1</v>
      </c>
      <c r="I4" s="38" cm="1">
        <f t="array" ref="I4">IF(Fri!I3="W.H",_xlfn._xlws.FILTER(Margin[Strategy allotment % with hedge],(Margin[Strategy]=Fri!I$5)*(Margin[Index]=Fri!I$2)),_xlfn._xlws.FILTER(Margin[Strategy allotment % without hedge],(Margin[Strategy]=Fri!I$5)*(Margin[Index]=Fri!I$2)))</f>
        <v>0.1</v>
      </c>
      <c r="J4" s="38" cm="1">
        <f t="array" ref="J4">IF(Fri!J3="W.H",_xlfn._xlws.FILTER(Margin[Strategy allotment % with hedge],(Margin[Strategy]=Fri!J$5)*(Margin[Index]=Fri!J$2)),_xlfn._xlws.FILTER(Margin[Strategy allotment % without hedge],(Margin[Strategy]=Fri!J$5)*(Margin[Index]=Fri!J$2)))</f>
        <v>0.1</v>
      </c>
      <c r="K4" s="38" cm="1">
        <f t="array" ref="K4">IF(Fri!K3="W.H",_xlfn._xlws.FILTER(Margin[Strategy allotment % with hedge],(Margin[Strategy]=Fri!K$5)*(Margin[Index]=Fri!K$2)),_xlfn._xlws.FILTER(Margin[Strategy allotment % without hedge],(Margin[Strategy]=Fri!K$5)*(Margin[Index]=Fri!K$2)))</f>
        <v>0</v>
      </c>
      <c r="L4" s="38" cm="1">
        <f t="array" ref="L4">IF(Fri!L3="W.H",_xlfn._xlws.FILTER(Margin[Strategy allotment % with hedge],(Margin[Strategy]=Fri!L$5)*(Margin[Index]=Fri!L$2)),_xlfn._xlws.FILTER(Margin[Strategy allotment % without hedge],(Margin[Strategy]=Fri!L$5)*(Margin[Index]=Fri!L$2)))</f>
        <v>0</v>
      </c>
      <c r="M4" s="38" cm="1">
        <f t="array" ref="M4">IF(Fri!M3="W.H",_xlfn._xlws.FILTER(Margin[Strategy allotment % with hedge],(Margin[Strategy]=Fri!M$5)*(Margin[Index]=Fri!M$2)),_xlfn._xlws.FILTER(Margin[Strategy allotment % without hedge],(Margin[Strategy]=Fri!M$5)*(Margin[Index]=Fri!M$2)))</f>
        <v>0</v>
      </c>
      <c r="N4" s="38" cm="1">
        <f t="array" ref="N4">IF(Fri!N3="W.H",_xlfn._xlws.FILTER(Margin[Strategy allotment % with hedge],(Margin[Strategy]=Fri!N$5)*(Margin[Index]=Fri!N$2)),_xlfn._xlws.FILTER(Margin[Strategy allotment % without hedge],(Margin[Strategy]=Fri!N$5)*(Margin[Index]=Fri!N$2)))</f>
        <v>0</v>
      </c>
      <c r="O4" s="38" cm="1">
        <f t="array" ref="O4">IF(Fri!O3="W.H",_xlfn._xlws.FILTER(Margin[Strategy allotment % with hedge],(Margin[Strategy]=Fri!O$5)*(Margin[Index]=Fri!O$2)),_xlfn._xlws.FILTER(Margin[Strategy allotment % without hedge],(Margin[Strategy]=Fri!O$5)*(Margin[Index]=Fri!O$2)))</f>
        <v>0</v>
      </c>
    </row>
    <row r="5" spans="1:21" x14ac:dyDescent="0.25">
      <c r="C5" s="16" t="s">
        <v>50</v>
      </c>
      <c r="D5" s="16" t="s">
        <v>51</v>
      </c>
      <c r="E5" s="16" t="s">
        <v>52</v>
      </c>
      <c r="F5" s="16" t="s">
        <v>67</v>
      </c>
      <c r="G5" s="16" t="s">
        <v>66</v>
      </c>
      <c r="H5" s="16" t="s">
        <v>70</v>
      </c>
      <c r="I5" s="16" t="s">
        <v>70</v>
      </c>
      <c r="J5" s="16" t="s">
        <v>70</v>
      </c>
      <c r="K5" s="16" t="s">
        <v>2</v>
      </c>
      <c r="L5" s="16" t="s">
        <v>3</v>
      </c>
      <c r="M5" s="16" t="s">
        <v>4</v>
      </c>
      <c r="N5" s="16" t="s">
        <v>5</v>
      </c>
      <c r="O5" s="16" t="s">
        <v>6</v>
      </c>
    </row>
    <row r="6" spans="1:21" hidden="1" x14ac:dyDescent="0.25">
      <c r="A6" t="str">
        <f>_xlfn.XLOOKUP(C6,'OI QTY'!$O$5:$O$21,'OI QTY'!$N$5:$N$21,"")</f>
        <v>H</v>
      </c>
      <c r="B6">
        <f>IF(C6="",0,1)</f>
        <v>1</v>
      </c>
      <c r="C6" s="14" t="s">
        <v>20</v>
      </c>
      <c r="D6" s="14" cm="1">
        <f t="array" ref="D6">(_xlfn._xlws.FILTER(Fund[Margin],Fund[Client Id]=C6))/10000000</f>
        <v>7.5</v>
      </c>
      <c r="E6" s="14"/>
      <c r="F6" s="14" t="str" cm="1">
        <f t="array" ref="F6">IFERROR(IF(ROUNDUP((Client_Margin($C6)*Alloted(F$3,F$2,F$5)/Get_Margin(F$3,F$2,F$5,F$1)),0)*Get_Margin(F$3,F$2,F$5,F$1)&gt;((Client_Margin($C6)*Alloted(F$3,F$2,F$5)/Get_Margin(F$3,F$2,F$5,F$1))*Get_Margin(F$3,F$2,F$5,F$1))*$D$3,ROUNDDOWN((Client_Margin($C6)*Alloted(F$3,F$2,F$5)/Get_Margin(F$3,F$2,F$5,F$1)),0),ROUNDUP((Client_Margin($C6)*Alloted(F$3,F$2,F$5)/Get_Margin(F$3,F$2,F$5,F$1)),0)),"-")</f>
        <v>-</v>
      </c>
      <c r="G6" s="14" t="str" cm="1">
        <f t="array" ref="G6">IFERROR(IF(ROUNDUP((Client_Margin($C6)*Alloted(G$3,G$2,G$5)/Get_Margin(G$3,G$2,G$5,G$1)),0)*Get_Margin(G$3,G$2,G$5,G$1)&gt;((Client_Margin($C6)*Alloted(G$3,G$2,G$5)/Get_Margin(G$3,G$2,G$5,G$1))*Get_Margin(G$3,G$2,G$5,G$1))*$D$3,ROUNDDOWN((Client_Margin($C6)*Alloted(G$3,G$2,G$5)/Get_Margin(G$3,G$2,G$5,G$1)),0),ROUNDUP((Client_Margin($C6)*Alloted(G$3,G$2,G$5)/Get_Margin(G$3,G$2,G$5,G$1)),0)),"-")</f>
        <v>-</v>
      </c>
      <c r="H6" s="14" cm="1">
        <f t="array" ref="H6">IFERROR(IF(ROUNDUP((Client_Margin($C6)*Alloted(H$3,H$2,H$5)/Get_Margin(H$3,H$2,H$5,H$1)),0)*Get_Margin(H$3,H$2,H$5,H$1)&gt;((Client_Margin($C6)*Alloted(H$3,H$2,H$5)/Get_Margin(H$3,H$2,H$5,H$1))*Get_Margin(H$3,H$2,H$5,H$1))*$D$3,ROUNDDOWN((Client_Margin($C6)*Alloted(H$3,H$2,H$5)/Get_Margin(H$3,H$2,H$5,H$1)),0),ROUNDUP((Client_Margin($C6)*Alloted(H$3,H$2,H$5)/Get_Margin(H$3,H$2,H$5,H$1)),0)),"-")</f>
        <v>11</v>
      </c>
      <c r="I6" s="14" cm="1">
        <f t="array" ref="I6">IFERROR(IF(ROUNDUP((Client_Margin($C6)*Alloted(I$3,I$2,I$5)/Get_Margin(I$3,I$2,I$5,I$1)),0)*Get_Margin(I$3,I$2,I$5,I$1)&gt;((Client_Margin($C6)*Alloted(I$3,I$2,I$5)/Get_Margin(I$3,I$2,I$5,I$1))*Get_Margin(I$3,I$2,I$5,I$1))*$D$3,ROUNDDOWN((Client_Margin($C6)*Alloted(I$3,I$2,I$5)/Get_Margin(I$3,I$2,I$5,I$1)),0),ROUNDUP((Client_Margin($C6)*Alloted(I$3,I$2,I$5)/Get_Margin(I$3,I$2,I$5,I$1)),0)),"-")</f>
        <v>4</v>
      </c>
      <c r="J6" s="14" cm="1">
        <f t="array" ref="J6">IFERROR(IF(ROUNDUP((Client_Margin($C6)*Alloted(J$3,J$2,J$5)/Get_Margin(J$3,J$2,J$5,J$1)),0)*Get_Margin(J$3,J$2,J$5,J$1)&gt;((Client_Margin($C6)*Alloted(J$3,J$2,J$5)/Get_Margin(J$3,J$2,J$5,J$1))*Get_Margin(J$3,J$2,J$5,J$1))*$D$3,ROUNDDOWN((Client_Margin($C6)*Alloted(J$3,J$2,J$5)/Get_Margin(J$3,J$2,J$5,J$1)),0),ROUNDUP((Client_Margin($C6)*Alloted(J$3,J$2,J$5)/Get_Margin(J$3,J$2,J$5,J$1)),0)),"-")</f>
        <v>5</v>
      </c>
      <c r="K6" s="14" cm="1">
        <f t="array" ref="K6">IFERROR(IF(ROUNDUP((Client_Margin($C6)*Alloted(K$3,K$2,K$5)/Get_Margin(K$3,K$2,K$5,K$1)),0)*Get_Margin(K$3,K$2,K$5,K$1)&gt;((Client_Margin($C6)*Alloted(K$3,K$2,K$5)/Get_Margin(K$3,K$2,K$5,K$1))*Get_Margin(K$3,K$2,K$5,K$1))*$D$3,ROUNDDOWN((Client_Margin($C6)*Alloted(K$3,K$2,K$5)/Get_Margin(K$3,K$2,K$5,K$1)),0),ROUNDUP((Client_Margin($C6)*Alloted(K$3,K$2,K$5)/Get_Margin(K$3,K$2,K$5,K$1)),0)),"-")</f>
        <v>0</v>
      </c>
      <c r="L6" s="14" cm="1">
        <f t="array" ref="L6">IFERROR(IF(ROUNDUP((Client_Margin($C6)*Alloted(L$3,L$2,L$5)/Get_Margin(L$3,L$2,L$5,L$1)),0)*Get_Margin(L$3,L$2,L$5,L$1)&gt;((Client_Margin($C6)*Alloted(L$3,L$2,L$5)/Get_Margin(L$3,L$2,L$5,L$1))*Get_Margin(L$3,L$2,L$5,L$1))*$D$3,ROUNDDOWN((Client_Margin($C6)*Alloted(L$3,L$2,L$5)/Get_Margin(L$3,L$2,L$5,L$1)),0),ROUNDUP((Client_Margin($C6)*Alloted(L$3,L$2,L$5)/Get_Margin(L$3,L$2,L$5,L$1)),0)),"-")</f>
        <v>0</v>
      </c>
      <c r="M6" s="14" cm="1">
        <f t="array" ref="M6">IFERROR(IF(ROUNDUP((Client_Margin($C6)*Alloted(M$3,M$2,M$5)/Get_Margin(M$3,M$2,M$5,M$1)),0)*Get_Margin(M$3,M$2,M$5,M$1)&gt;((Client_Margin($C6)*Alloted(M$3,M$2,M$5)/Get_Margin(M$3,M$2,M$5,M$1))*Get_Margin(M$3,M$2,M$5,M$1))*$D$3,ROUNDDOWN((Client_Margin($C6)*Alloted(M$3,M$2,M$5)/Get_Margin(M$3,M$2,M$5,M$1)),0),ROUNDUP((Client_Margin($C6)*Alloted(M$3,M$2,M$5)/Get_Margin(M$3,M$2,M$5,M$1)),0)),"-")</f>
        <v>0</v>
      </c>
      <c r="N6" s="14" cm="1">
        <f t="array" ref="N6">IFERROR(IF(ROUNDUP((Client_Margin($C6)*Alloted(N$3,N$2,N$5)/Get_Margin(N$3,N$2,N$5,N$1)),0)*Get_Margin(N$3,N$2,N$5,N$1)&gt;((Client_Margin($C6)*Alloted(N$3,N$2,N$5)/Get_Margin(N$3,N$2,N$5,N$1))*Get_Margin(N$3,N$2,N$5,N$1))*$D$3,ROUNDDOWN((Client_Margin($C6)*Alloted(N$3,N$2,N$5)/Get_Margin(N$3,N$2,N$5,N$1)),0),ROUNDUP((Client_Margin($C6)*Alloted(N$3,N$2,N$5)/Get_Margin(N$3,N$2,N$5,N$1)),0)),"-")</f>
        <v>0</v>
      </c>
      <c r="O6" s="14" cm="1">
        <f t="array" ref="O6">IFERROR(IF(ROUNDUP((Client_Margin($C6)*Alloted(O$3,O$2,O$5)/Get_Margin(O$3,O$2,O$5,O$1)),0)*Get_Margin(O$3,O$2,O$5,O$1)&gt;((Client_Margin($C6)*Alloted(O$3,O$2,O$5)/Get_Margin(O$3,O$2,O$5,O$1))*Get_Margin(O$3,O$2,O$5,O$1))*$D$3,ROUNDDOWN((Client_Margin($C6)*Alloted(O$3,O$2,O$5)/Get_Margin(O$3,O$2,O$5,O$1)),0),ROUNDUP((Client_Margin($C6)*Alloted(O$3,O$2,O$5)/Get_Margin(O$3,O$2,O$5,O$1)),0)),"-")</f>
        <v>0</v>
      </c>
    </row>
    <row r="7" spans="1:21" hidden="1" x14ac:dyDescent="0.25">
      <c r="A7">
        <f>_xlfn.XLOOKUP(C7,'OI QTY'!$O$5:$O$21,'OI QTY'!$N$5:$N$21,"")</f>
        <v>0</v>
      </c>
      <c r="B7">
        <f t="shared" ref="B7:B11" si="0">IF(C7="",0,1)</f>
        <v>0</v>
      </c>
      <c r="C7" s="14"/>
      <c r="D7" s="14"/>
      <c r="E7" s="15">
        <f>SUM(F7:O7)</f>
        <v>0.30858666666666668</v>
      </c>
      <c r="F7" s="15" t="str" cm="1">
        <f t="array" ref="F7">IFERROR((_xlfn._xlws.FILTER(INDEX(Margin[],0,MATCH(F$1&amp;"_"&amp;F$3,Margin[#Headers],0)),(Margin[Index]=F$2)*(Margin[Strategy]=F$5))*F6)/Client_Margin($C6),"-")</f>
        <v>-</v>
      </c>
      <c r="G7" s="15" t="str" cm="1">
        <f t="array" ref="G7">IFERROR((_xlfn._xlws.FILTER(INDEX(Margin[],0,MATCH(G$1&amp;"_"&amp;G$3,Margin[#Headers],0)),(Margin[Index]=G$2)*(Margin[Strategy]=G$5))*G6)/Client_Margin($C6),"-")</f>
        <v>-</v>
      </c>
      <c r="H7" s="15" cm="1">
        <f t="array" ref="H7">IFERROR((_xlfn._xlws.FILTER(INDEX(Margin[],0,MATCH(H$1&amp;"_"&amp;H$3,Margin[#Headers],0)),(Margin[Index]=H$2)*(Margin[Strategy]=H$5))*H6)/Client_Margin($C6),"-")</f>
        <v>0.10208</v>
      </c>
      <c r="I7" s="15" cm="1">
        <f t="array" ref="I7">IFERROR((_xlfn._xlws.FILTER(INDEX(Margin[],0,MATCH(I$1&amp;"_"&amp;I$3,Margin[#Headers],0)),(Margin[Index]=I$2)*(Margin[Strategy]=I$5))*I6)/Client_Margin($C6),"-")</f>
        <v>9.9839999999999998E-2</v>
      </c>
      <c r="J7" s="15" cm="1">
        <f t="array" ref="J7">IFERROR((_xlfn._xlws.FILTER(INDEX(Margin[],0,MATCH(J$1&amp;"_"&amp;J$3,Margin[#Headers],0)),(Margin[Index]=J$2)*(Margin[Strategy]=J$5))*J6)/Client_Margin($C6),"-")</f>
        <v>0.10666666666666667</v>
      </c>
      <c r="K7" s="15" cm="1">
        <f t="array" ref="K7">IFERROR((_xlfn._xlws.FILTER(INDEX(Margin[],0,MATCH(K$1&amp;"_"&amp;K$3,Margin[#Headers],0)),(Margin[Index]=K$2)*(Margin[Strategy]=K$5))*K6)/Client_Margin($C6),"-")</f>
        <v>0</v>
      </c>
      <c r="L7" s="15" cm="1">
        <f t="array" ref="L7">IFERROR((_xlfn._xlws.FILTER(INDEX(Margin[],0,MATCH(L$1&amp;"_"&amp;L$3,Margin[#Headers],0)),(Margin[Index]=L$2)*(Margin[Strategy]=L$5))*L6)/Client_Margin($C6),"-")</f>
        <v>0</v>
      </c>
      <c r="M7" s="15" cm="1">
        <f t="array" ref="M7">IFERROR((_xlfn._xlws.FILTER(INDEX(Margin[],0,MATCH(M$1&amp;"_"&amp;M$3,Margin[#Headers],0)),(Margin[Index]=M$2)*(Margin[Strategy]=M$5))*M6)/Client_Margin($C6),"-")</f>
        <v>0</v>
      </c>
      <c r="N7" s="15" cm="1">
        <f t="array" ref="N7">IFERROR((_xlfn._xlws.FILTER(INDEX(Margin[],0,MATCH(N$1&amp;"_"&amp;N$3,Margin[#Headers],0)),(Margin[Index]=N$2)*(Margin[Strategy]=N$5))*N6)/Client_Margin($C6),"-")</f>
        <v>0</v>
      </c>
      <c r="O7" s="15" cm="1">
        <f t="array" ref="O7">IFERROR((_xlfn._xlws.FILTER(INDEX(Margin[],0,MATCH(O$1&amp;"_"&amp;O$3,Margin[#Headers],0)),(Margin[Index]=O$2)*(Margin[Strategy]=O$5))*O6)/Client_Margin($C6),"-")</f>
        <v>0</v>
      </c>
    </row>
    <row r="8" spans="1:21" hidden="1" x14ac:dyDescent="0.25">
      <c r="A8" t="str">
        <f>_xlfn.XLOOKUP(C8,'OI QTY'!$O$5:$O$21,'OI QTY'!$N$5:$N$21,"")</f>
        <v/>
      </c>
      <c r="B8">
        <f t="shared" si="0"/>
        <v>1</v>
      </c>
      <c r="C8" s="14" t="s">
        <v>46</v>
      </c>
      <c r="D8" s="14" cm="1">
        <f t="array" ref="D8">(_xlfn._xlws.FILTER(Fund[Margin],Fund[Client Id]=C8))/10000000</f>
        <v>6.8</v>
      </c>
      <c r="E8" s="17"/>
      <c r="F8" s="14" t="str" cm="1">
        <f t="array" ref="F8">IFERROR(IF(ROUNDUP((Client_Margin($C8)*Alloted(F$3,F$2,F$5)/Get_Margin(F$3,F$2,F$5,F$1)),0)*Get_Margin(F$3,F$2,F$5,F$1)&gt;((Client_Margin($C8)*Alloted(F$3,F$2,F$5)/Get_Margin(F$3,F$2,F$5,F$1))*Get_Margin(F$3,F$2,F$5,F$1))*$D$3,ROUNDDOWN((Client_Margin($C8)*Alloted(F$3,F$2,F$5)/Get_Margin(F$3,F$2,F$5,F$1)),0),ROUNDUP((Client_Margin($C8)*Alloted(F$3,F$2,F$5)/Get_Margin(F$3,F$2,F$5,F$1)),0)),"-")</f>
        <v>-</v>
      </c>
      <c r="G8" s="14" t="str" cm="1">
        <f t="array" ref="G8">IFERROR(IF(ROUNDUP((Client_Margin($C8)*Alloted(G$3,G$2,G$5)/Get_Margin(G$3,G$2,G$5,G$1)),0)*Get_Margin(G$3,G$2,G$5,G$1)&gt;((Client_Margin($C8)*Alloted(G$3,G$2,G$5)/Get_Margin(G$3,G$2,G$5,G$1))*Get_Margin(G$3,G$2,G$5,G$1))*$D$3,ROUNDDOWN((Client_Margin($C8)*Alloted(G$3,G$2,G$5)/Get_Margin(G$3,G$2,G$5,G$1)),0),ROUNDUP((Client_Margin($C8)*Alloted(G$3,G$2,G$5)/Get_Margin(G$3,G$2,G$5,G$1)),0)),"-")</f>
        <v>-</v>
      </c>
      <c r="H8" s="14" cm="1">
        <f t="array" ref="H8">IFERROR(IF(ROUNDUP((Client_Margin($C8)*Alloted(H$3,H$2,H$5)/Get_Margin(H$3,H$2,H$5,H$1)),0)*Get_Margin(H$3,H$2,H$5,H$1)&gt;((Client_Margin($C8)*Alloted(H$3,H$2,H$5)/Get_Margin(H$3,H$2,H$5,H$1))*Get_Margin(H$3,H$2,H$5,H$1))*$D$3,ROUNDDOWN((Client_Margin($C8)*Alloted(H$3,H$2,H$5)/Get_Margin(H$3,H$2,H$5,H$1)),0),ROUNDUP((Client_Margin($C8)*Alloted(H$3,H$2,H$5)/Get_Margin(H$3,H$2,H$5,H$1)),0)),"-")</f>
        <v>10</v>
      </c>
      <c r="I8" s="14" cm="1">
        <f t="array" ref="I8">IFERROR(IF(ROUNDUP((Client_Margin($C8)*Alloted(I$3,I$2,I$5)/Get_Margin(I$3,I$2,I$5,I$1)),0)*Get_Margin(I$3,I$2,I$5,I$1)&gt;((Client_Margin($C8)*Alloted(I$3,I$2,I$5)/Get_Margin(I$3,I$2,I$5,I$1))*Get_Margin(I$3,I$2,I$5,I$1))*$D$3,ROUNDDOWN((Client_Margin($C8)*Alloted(I$3,I$2,I$5)/Get_Margin(I$3,I$2,I$5,I$1)),0),ROUNDUP((Client_Margin($C8)*Alloted(I$3,I$2,I$5)/Get_Margin(I$3,I$2,I$5,I$1)),0)),"-")</f>
        <v>4</v>
      </c>
      <c r="J8" s="14" cm="1">
        <f t="array" ref="J8">IFERROR(IF(ROUNDUP((Client_Margin($C8)*Alloted(J$3,J$2,J$5)/Get_Margin(J$3,J$2,J$5,J$1)),0)*Get_Margin(J$3,J$2,J$5,J$1)&gt;((Client_Margin($C8)*Alloted(J$3,J$2,J$5)/Get_Margin(J$3,J$2,J$5,J$1))*Get_Margin(J$3,J$2,J$5,J$1))*$D$3,ROUNDDOWN((Client_Margin($C8)*Alloted(J$3,J$2,J$5)/Get_Margin(J$3,J$2,J$5,J$1)),0),ROUNDUP((Client_Margin($C8)*Alloted(J$3,J$2,J$5)/Get_Margin(J$3,J$2,J$5,J$1)),0)),"-")</f>
        <v>4</v>
      </c>
      <c r="K8" s="14" cm="1">
        <f t="array" ref="K8">IFERROR(IF(ROUNDUP((Client_Margin($C8)*Alloted(K$3,K$2,K$5)/Get_Margin(K$3,K$2,K$5,K$1)),0)*Get_Margin(K$3,K$2,K$5,K$1)&gt;((Client_Margin($C8)*Alloted(K$3,K$2,K$5)/Get_Margin(K$3,K$2,K$5,K$1))*Get_Margin(K$3,K$2,K$5,K$1))*$D$3,ROUNDDOWN((Client_Margin($C8)*Alloted(K$3,K$2,K$5)/Get_Margin(K$3,K$2,K$5,K$1)),0),ROUNDUP((Client_Margin($C8)*Alloted(K$3,K$2,K$5)/Get_Margin(K$3,K$2,K$5,K$1)),0)),"-")</f>
        <v>0</v>
      </c>
      <c r="L8" s="14" cm="1">
        <f t="array" ref="L8">IFERROR(IF(ROUNDUP((Client_Margin($C8)*Alloted(L$3,L$2,L$5)/Get_Margin(L$3,L$2,L$5,L$1)),0)*Get_Margin(L$3,L$2,L$5,L$1)&gt;((Client_Margin($C8)*Alloted(L$3,L$2,L$5)/Get_Margin(L$3,L$2,L$5,L$1))*Get_Margin(L$3,L$2,L$5,L$1))*$D$3,ROUNDDOWN((Client_Margin($C8)*Alloted(L$3,L$2,L$5)/Get_Margin(L$3,L$2,L$5,L$1)),0),ROUNDUP((Client_Margin($C8)*Alloted(L$3,L$2,L$5)/Get_Margin(L$3,L$2,L$5,L$1)),0)),"-")</f>
        <v>0</v>
      </c>
      <c r="M8" s="14" cm="1">
        <f t="array" ref="M8">IFERROR(IF(ROUNDUP((Client_Margin($C8)*Alloted(M$3,M$2,M$5)/Get_Margin(M$3,M$2,M$5,M$1)),0)*Get_Margin(M$3,M$2,M$5,M$1)&gt;((Client_Margin($C8)*Alloted(M$3,M$2,M$5)/Get_Margin(M$3,M$2,M$5,M$1))*Get_Margin(M$3,M$2,M$5,M$1))*$D$3,ROUNDDOWN((Client_Margin($C8)*Alloted(M$3,M$2,M$5)/Get_Margin(M$3,M$2,M$5,M$1)),0),ROUNDUP((Client_Margin($C8)*Alloted(M$3,M$2,M$5)/Get_Margin(M$3,M$2,M$5,M$1)),0)),"-")</f>
        <v>0</v>
      </c>
      <c r="N8" s="14" cm="1">
        <f t="array" ref="N8">IFERROR(IF(ROUNDUP((Client_Margin($C8)*Alloted(N$3,N$2,N$5)/Get_Margin(N$3,N$2,N$5,N$1)),0)*Get_Margin(N$3,N$2,N$5,N$1)&gt;((Client_Margin($C8)*Alloted(N$3,N$2,N$5)/Get_Margin(N$3,N$2,N$5,N$1))*Get_Margin(N$3,N$2,N$5,N$1))*$D$3,ROUNDDOWN((Client_Margin($C8)*Alloted(N$3,N$2,N$5)/Get_Margin(N$3,N$2,N$5,N$1)),0),ROUNDUP((Client_Margin($C8)*Alloted(N$3,N$2,N$5)/Get_Margin(N$3,N$2,N$5,N$1)),0)),"-")</f>
        <v>0</v>
      </c>
      <c r="O8" s="14" cm="1">
        <f t="array" ref="O8">IFERROR(IF(ROUNDUP((Client_Margin($C8)*Alloted(O$3,O$2,O$5)/Get_Margin(O$3,O$2,O$5,O$1)),0)*Get_Margin(O$3,O$2,O$5,O$1)&gt;((Client_Margin($C8)*Alloted(O$3,O$2,O$5)/Get_Margin(O$3,O$2,O$5,O$1))*Get_Margin(O$3,O$2,O$5,O$1))*$D$3,ROUNDDOWN((Client_Margin($C8)*Alloted(O$3,O$2,O$5)/Get_Margin(O$3,O$2,O$5,O$1)),0),ROUNDUP((Client_Margin($C8)*Alloted(O$3,O$2,O$5)/Get_Margin(O$3,O$2,O$5,O$1)),0)),"-")</f>
        <v>0</v>
      </c>
    </row>
    <row r="9" spans="1:21" hidden="1" x14ac:dyDescent="0.25">
      <c r="A9">
        <f>_xlfn.XLOOKUP(C9,'OI QTY'!$O$5:$O$21,'OI QTY'!$N$5:$N$21,"")</f>
        <v>0</v>
      </c>
      <c r="B9">
        <f t="shared" si="0"/>
        <v>0</v>
      </c>
      <c r="C9" s="14"/>
      <c r="D9" s="14"/>
      <c r="E9" s="15">
        <f>SUM(F9:O9)</f>
        <v>0.30658823529411766</v>
      </c>
      <c r="F9" s="15" t="str" cm="1">
        <f t="array" ref="F9">IFERROR((_xlfn._xlws.FILTER(INDEX(Margin[],0,MATCH(F$1&amp;"_"&amp;F$3,Margin[#Headers],0)),(Margin[Index]=F$2)*(Margin[Strategy]=F$5))*F8)/Client_Margin($C8),"-")</f>
        <v>-</v>
      </c>
      <c r="G9" s="15" t="str" cm="1">
        <f t="array" ref="G9">IFERROR((_xlfn._xlws.FILTER(INDEX(Margin[],0,MATCH(G$1&amp;"_"&amp;G$3,Margin[#Headers],0)),(Margin[Index]=G$2)*(Margin[Strategy]=G$5))*G8)/Client_Margin($C8),"-")</f>
        <v>-</v>
      </c>
      <c r="H9" s="15" cm="1">
        <f t="array" ref="H9">IFERROR((_xlfn._xlws.FILTER(INDEX(Margin[],0,MATCH(H$1&amp;"_"&amp;H$3,Margin[#Headers],0)),(Margin[Index]=H$2)*(Margin[Strategy]=H$5))*H8)/Client_Margin($C8),"-")</f>
        <v>0.10235294117647059</v>
      </c>
      <c r="I9" s="15" cm="1">
        <f t="array" ref="I9">IFERROR((_xlfn._xlws.FILTER(INDEX(Margin[],0,MATCH(I$1&amp;"_"&amp;I$3,Margin[#Headers],0)),(Margin[Index]=I$2)*(Margin[Strategy]=I$5))*I8)/Client_Margin($C8),"-")</f>
        <v>0.11011764705882353</v>
      </c>
      <c r="J9" s="15" cm="1">
        <f t="array" ref="J9">IFERROR((_xlfn._xlws.FILTER(INDEX(Margin[],0,MATCH(J$1&amp;"_"&amp;J$3,Margin[#Headers],0)),(Margin[Index]=J$2)*(Margin[Strategy]=J$5))*J8)/Client_Margin($C8),"-")</f>
        <v>9.4117647058823528E-2</v>
      </c>
      <c r="K9" s="15" cm="1">
        <f t="array" ref="K9">IFERROR((_xlfn._xlws.FILTER(INDEX(Margin[],0,MATCH(K$1&amp;"_"&amp;K$3,Margin[#Headers],0)),(Margin[Index]=K$2)*(Margin[Strategy]=K$5))*K8)/Client_Margin($C8),"-")</f>
        <v>0</v>
      </c>
      <c r="L9" s="15" cm="1">
        <f t="array" ref="L9">IFERROR((_xlfn._xlws.FILTER(INDEX(Margin[],0,MATCH(L$1&amp;"_"&amp;L$3,Margin[#Headers],0)),(Margin[Index]=L$2)*(Margin[Strategy]=L$5))*L8)/Client_Margin($C8),"-")</f>
        <v>0</v>
      </c>
      <c r="M9" s="15" cm="1">
        <f t="array" ref="M9">IFERROR((_xlfn._xlws.FILTER(INDEX(Margin[],0,MATCH(M$1&amp;"_"&amp;M$3,Margin[#Headers],0)),(Margin[Index]=M$2)*(Margin[Strategy]=M$5))*M8)/Client_Margin($C8),"-")</f>
        <v>0</v>
      </c>
      <c r="N9" s="15" cm="1">
        <f t="array" ref="N9">IFERROR((_xlfn._xlws.FILTER(INDEX(Margin[],0,MATCH(N$1&amp;"_"&amp;N$3,Margin[#Headers],0)),(Margin[Index]=N$2)*(Margin[Strategy]=N$5))*N8)/Client_Margin($C8),"-")</f>
        <v>0</v>
      </c>
      <c r="O9" s="15" cm="1">
        <f t="array" ref="O9">IFERROR((_xlfn._xlws.FILTER(INDEX(Margin[],0,MATCH(O$1&amp;"_"&amp;O$3,Margin[#Headers],0)),(Margin[Index]=O$2)*(Margin[Strategy]=O$5))*O8)/Client_Margin($C8),"-")</f>
        <v>0</v>
      </c>
    </row>
    <row r="10" spans="1:21" x14ac:dyDescent="0.25">
      <c r="A10" t="str">
        <f>_xlfn.XLOOKUP(C10,'OI QTY'!$O$5:$O$21,'OI QTY'!$N$5:$N$21,"")</f>
        <v>M</v>
      </c>
      <c r="B10">
        <f t="shared" si="0"/>
        <v>1</v>
      </c>
      <c r="C10" s="14" t="s">
        <v>127</v>
      </c>
      <c r="D10" s="14" cm="1">
        <f t="array" ref="D10">(_xlfn._xlws.FILTER(Fund[Margin],Fund[Client Id]=C10))/10000000</f>
        <v>4.5999999999999996</v>
      </c>
      <c r="E10" s="17"/>
      <c r="F10" s="14" t="str" cm="1">
        <f t="array" ref="F10">IFERROR(IF(ROUNDUP((Client_Margin($C10)*Alloted(F$3,F$2,F$5)/Get_Margin(F$3,F$2,F$5,F$1)),0)*Get_Margin(F$3,F$2,F$5,F$1)&gt;((Client_Margin($C10)*Alloted(F$3,F$2,F$5)/Get_Margin(F$3,F$2,F$5,F$1))*Get_Margin(F$3,F$2,F$5,F$1))*$D$3,ROUNDDOWN((Client_Margin($C10)*Alloted(F$3,F$2,F$5)/Get_Margin(F$3,F$2,F$5,F$1)),0),ROUNDUP((Client_Margin($C10)*Alloted(F$3,F$2,F$5)/Get_Margin(F$3,F$2,F$5,F$1)),0)),"-")</f>
        <v>-</v>
      </c>
      <c r="G10" s="14" t="str" cm="1">
        <f t="array" ref="G10">IFERROR(IF(ROUNDUP((Client_Margin($C10)*Alloted(G$3,G$2,G$5)/Get_Margin(G$3,G$2,G$5,G$1)),0)*Get_Margin(G$3,G$2,G$5,G$1)&gt;((Client_Margin($C10)*Alloted(G$3,G$2,G$5)/Get_Margin(G$3,G$2,G$5,G$1))*Get_Margin(G$3,G$2,G$5,G$1))*$D$3,ROUNDDOWN((Client_Margin($C10)*Alloted(G$3,G$2,G$5)/Get_Margin(G$3,G$2,G$5,G$1)),0),ROUNDUP((Client_Margin($C10)*Alloted(G$3,G$2,G$5)/Get_Margin(G$3,G$2,G$5,G$1)),0)),"-")</f>
        <v>-</v>
      </c>
      <c r="H10" s="14" cm="1">
        <f t="array" ref="H10">IFERROR(IF(ROUNDUP((Client_Margin($C10)*Alloted(H$3,H$2,H$5)/Get_Margin(H$3,H$2,H$5,H$1)),0)*Get_Margin(H$3,H$2,H$5,H$1)&gt;((Client_Margin($C10)*Alloted(H$3,H$2,H$5)/Get_Margin(H$3,H$2,H$5,H$1))*Get_Margin(H$3,H$2,H$5,H$1))*$D$3,ROUNDDOWN((Client_Margin($C10)*Alloted(H$3,H$2,H$5)/Get_Margin(H$3,H$2,H$5,H$1)),0),ROUNDUP((Client_Margin($C10)*Alloted(H$3,H$2,H$5)/Get_Margin(H$3,H$2,H$5,H$1)),0)),"-")</f>
        <v>7</v>
      </c>
      <c r="I10" s="14" cm="1">
        <f t="array" ref="I10">IFERROR(IF(ROUNDUP((Client_Margin($C10)*Alloted(I$3,I$2,I$5)/Get_Margin(I$3,I$2,I$5,I$1)),0)*Get_Margin(I$3,I$2,I$5,I$1)&gt;((Client_Margin($C10)*Alloted(I$3,I$2,I$5)/Get_Margin(I$3,I$2,I$5,I$1))*Get_Margin(I$3,I$2,I$5,I$1))*$D$3,ROUNDDOWN((Client_Margin($C10)*Alloted(I$3,I$2,I$5)/Get_Margin(I$3,I$2,I$5,I$1)),0),ROUNDUP((Client_Margin($C10)*Alloted(I$3,I$2,I$5)/Get_Margin(I$3,I$2,I$5,I$1)),0)),"-")</f>
        <v>2</v>
      </c>
      <c r="J10" s="14" cm="1">
        <f t="array" ref="J10">IFERROR(IF(ROUNDUP((Client_Margin($C10)*Alloted(J$3,J$2,J$5)/Get_Margin(J$3,J$2,J$5,J$1)),0)*Get_Margin(J$3,J$2,J$5,J$1)&gt;((Client_Margin($C10)*Alloted(J$3,J$2,J$5)/Get_Margin(J$3,J$2,J$5,J$1))*Get_Margin(J$3,J$2,J$5,J$1))*$D$3,ROUNDDOWN((Client_Margin($C10)*Alloted(J$3,J$2,J$5)/Get_Margin(J$3,J$2,J$5,J$1)),0),ROUNDUP((Client_Margin($C10)*Alloted(J$3,J$2,J$5)/Get_Margin(J$3,J$2,J$5,J$1)),0)),"-")</f>
        <v>3</v>
      </c>
      <c r="K10" s="14" cm="1">
        <f t="array" ref="K10">IFERROR(IF(ROUNDUP((Client_Margin($C10)*Alloted(K$3,K$2,K$5)/Get_Margin(K$3,K$2,K$5,K$1)),0)*Get_Margin(K$3,K$2,K$5,K$1)&gt;((Client_Margin($C10)*Alloted(K$3,K$2,K$5)/Get_Margin(K$3,K$2,K$5,K$1))*Get_Margin(K$3,K$2,K$5,K$1))*$D$3,ROUNDDOWN((Client_Margin($C10)*Alloted(K$3,K$2,K$5)/Get_Margin(K$3,K$2,K$5,K$1)),0),ROUNDUP((Client_Margin($C10)*Alloted(K$3,K$2,K$5)/Get_Margin(K$3,K$2,K$5,K$1)),0)),"-")</f>
        <v>0</v>
      </c>
      <c r="L10" s="14" cm="1">
        <f t="array" ref="L10">IFERROR(IF(ROUNDUP((Client_Margin($C10)*Alloted(L$3,L$2,L$5)/Get_Margin(L$3,L$2,L$5,L$1)),0)*Get_Margin(L$3,L$2,L$5,L$1)&gt;((Client_Margin($C10)*Alloted(L$3,L$2,L$5)/Get_Margin(L$3,L$2,L$5,L$1))*Get_Margin(L$3,L$2,L$5,L$1))*$D$3,ROUNDDOWN((Client_Margin($C10)*Alloted(L$3,L$2,L$5)/Get_Margin(L$3,L$2,L$5,L$1)),0),ROUNDUP((Client_Margin($C10)*Alloted(L$3,L$2,L$5)/Get_Margin(L$3,L$2,L$5,L$1)),0)),"-")</f>
        <v>0</v>
      </c>
      <c r="M10" s="14" cm="1">
        <f t="array" ref="M10">IFERROR(IF(ROUNDUP((Client_Margin($C10)*Alloted(M$3,M$2,M$5)/Get_Margin(M$3,M$2,M$5,M$1)),0)*Get_Margin(M$3,M$2,M$5,M$1)&gt;((Client_Margin($C10)*Alloted(M$3,M$2,M$5)/Get_Margin(M$3,M$2,M$5,M$1))*Get_Margin(M$3,M$2,M$5,M$1))*$D$3,ROUNDDOWN((Client_Margin($C10)*Alloted(M$3,M$2,M$5)/Get_Margin(M$3,M$2,M$5,M$1)),0),ROUNDUP((Client_Margin($C10)*Alloted(M$3,M$2,M$5)/Get_Margin(M$3,M$2,M$5,M$1)),0)),"-")</f>
        <v>0</v>
      </c>
      <c r="N10" s="14" cm="1">
        <f t="array" ref="N10">IFERROR(IF(ROUNDUP((Client_Margin($C10)*Alloted(N$3,N$2,N$5)/Get_Margin(N$3,N$2,N$5,N$1)),0)*Get_Margin(N$3,N$2,N$5,N$1)&gt;((Client_Margin($C10)*Alloted(N$3,N$2,N$5)/Get_Margin(N$3,N$2,N$5,N$1))*Get_Margin(N$3,N$2,N$5,N$1))*$D$3,ROUNDDOWN((Client_Margin($C10)*Alloted(N$3,N$2,N$5)/Get_Margin(N$3,N$2,N$5,N$1)),0),ROUNDUP((Client_Margin($C10)*Alloted(N$3,N$2,N$5)/Get_Margin(N$3,N$2,N$5,N$1)),0)),"-")</f>
        <v>0</v>
      </c>
      <c r="O10" s="14" cm="1">
        <f t="array" ref="O10">IFERROR(IF(ROUNDUP((Client_Margin($C10)*Alloted(O$3,O$2,O$5)/Get_Margin(O$3,O$2,O$5,O$1)),0)*Get_Margin(O$3,O$2,O$5,O$1)&gt;((Client_Margin($C10)*Alloted(O$3,O$2,O$5)/Get_Margin(O$3,O$2,O$5,O$1))*Get_Margin(O$3,O$2,O$5,O$1))*$D$3,ROUNDDOWN((Client_Margin($C10)*Alloted(O$3,O$2,O$5)/Get_Margin(O$3,O$2,O$5,O$1)),0),ROUNDUP((Client_Margin($C10)*Alloted(O$3,O$2,O$5)/Get_Margin(O$3,O$2,O$5,O$1)),0)),"-")</f>
        <v>0</v>
      </c>
    </row>
    <row r="11" spans="1:21" hidden="1" x14ac:dyDescent="0.25">
      <c r="A11">
        <f>_xlfn.XLOOKUP(C11,'OI QTY'!$O$5:$O$21,'OI QTY'!$N$5:$N$21,"")</f>
        <v>0</v>
      </c>
      <c r="B11">
        <f t="shared" si="0"/>
        <v>0</v>
      </c>
      <c r="C11" s="14"/>
      <c r="D11" s="14"/>
      <c r="E11" s="15">
        <f>SUM(F11:O11)</f>
        <v>0.29165217391304349</v>
      </c>
      <c r="F11" s="15" t="str" cm="1">
        <f t="array" ref="F11">IFERROR((_xlfn._xlws.FILTER(INDEX(Margin[],0,MATCH(F$1&amp;"_"&amp;F$3,Margin[#Headers],0)),(Margin[Index]=F$2)*(Margin[Strategy]=F$5))*F10)/Client_Margin($C10),"-")</f>
        <v>-</v>
      </c>
      <c r="G11" s="15" t="str" cm="1">
        <f t="array" ref="G11">IFERROR((_xlfn._xlws.FILTER(INDEX(Margin[],0,MATCH(G$1&amp;"_"&amp;G$3,Margin[#Headers],0)),(Margin[Index]=G$2)*(Margin[Strategy]=G$5))*G10)/Client_Margin($C10),"-")</f>
        <v>-</v>
      </c>
      <c r="H11" s="15" cm="1">
        <f t="array" ref="H11">IFERROR((_xlfn._xlws.FILTER(INDEX(Margin[],0,MATCH(H$1&amp;"_"&amp;H$3,Margin[#Headers],0)),(Margin[Index]=H$2)*(Margin[Strategy]=H$5))*H10)/Client_Margin($C10),"-")</f>
        <v>0.10591304347826087</v>
      </c>
      <c r="I11" s="15" cm="1">
        <f t="array" ref="I11">IFERROR((_xlfn._xlws.FILTER(INDEX(Margin[],0,MATCH(I$1&amp;"_"&amp;I$3,Margin[#Headers],0)),(Margin[Index]=I$2)*(Margin[Strategy]=I$5))*I10)/Client_Margin($C10),"-")</f>
        <v>8.1391304347826085E-2</v>
      </c>
      <c r="J11" s="15" cm="1">
        <f t="array" ref="J11">IFERROR((_xlfn._xlws.FILTER(INDEX(Margin[],0,MATCH(J$1&amp;"_"&amp;J$3,Margin[#Headers],0)),(Margin[Index]=J$2)*(Margin[Strategy]=J$5))*J10)/Client_Margin($C10),"-")</f>
        <v>0.10434782608695652</v>
      </c>
      <c r="K11" s="15" cm="1">
        <f t="array" ref="K11">IFERROR((_xlfn._xlws.FILTER(INDEX(Margin[],0,MATCH(K$1&amp;"_"&amp;K$3,Margin[#Headers],0)),(Margin[Index]=K$2)*(Margin[Strategy]=K$5))*K10)/Client_Margin($C10),"-")</f>
        <v>0</v>
      </c>
      <c r="L11" s="15" cm="1">
        <f t="array" ref="L11">IFERROR((_xlfn._xlws.FILTER(INDEX(Margin[],0,MATCH(L$1&amp;"_"&amp;L$3,Margin[#Headers],0)),(Margin[Index]=L$2)*(Margin[Strategy]=L$5))*L10)/Client_Margin($C10),"-")</f>
        <v>0</v>
      </c>
      <c r="M11" s="15" cm="1">
        <f t="array" ref="M11">IFERROR((_xlfn._xlws.FILTER(INDEX(Margin[],0,MATCH(M$1&amp;"_"&amp;M$3,Margin[#Headers],0)),(Margin[Index]=M$2)*(Margin[Strategy]=M$5))*M10)/Client_Margin($C10),"-")</f>
        <v>0</v>
      </c>
      <c r="N11" s="15" cm="1">
        <f t="array" ref="N11">IFERROR((_xlfn._xlws.FILTER(INDEX(Margin[],0,MATCH(N$1&amp;"_"&amp;N$3,Margin[#Headers],0)),(Margin[Index]=N$2)*(Margin[Strategy]=N$5))*N10)/Client_Margin($C10),"-")</f>
        <v>0</v>
      </c>
      <c r="O11" s="15" cm="1">
        <f t="array" ref="O11">IFERROR((_xlfn._xlws.FILTER(INDEX(Margin[],0,MATCH(O$1&amp;"_"&amp;O$3,Margin[#Headers],0)),(Margin[Index]=O$2)*(Margin[Strategy]=O$5))*O10)/Client_Margin($C10),"-")</f>
        <v>0</v>
      </c>
    </row>
    <row r="12" spans="1:21" x14ac:dyDescent="0.25">
      <c r="A12" t="str">
        <f>_xlfn.XLOOKUP(C12,'OI QTY'!$O$5:$O$21,'OI QTY'!$N$5:$N$21,"")</f>
        <v>M</v>
      </c>
      <c r="B12">
        <f>IF(C12="",0,1)</f>
        <v>1</v>
      </c>
      <c r="C12" s="14" t="s">
        <v>112</v>
      </c>
      <c r="D12" s="14" cm="1">
        <f t="array" ref="D12">(_xlfn._xlws.FILTER(Fund[Margin],Fund[Client Id]=C12))/10000000</f>
        <v>7</v>
      </c>
      <c r="E12" s="17"/>
      <c r="F12" s="14" t="str" cm="1">
        <f t="array" ref="F12">IFERROR(IF(ROUNDUP((Client_Margin($C12)*Alloted(F$3,F$2,F$5)/Get_Margin(F$3,F$2,F$5,F$1)),0)*Get_Margin(F$3,F$2,F$5,F$1)&gt;((Client_Margin($C12)*Alloted(F$3,F$2,F$5)/Get_Margin(F$3,F$2,F$5,F$1))*Get_Margin(F$3,F$2,F$5,F$1))*$D$3,ROUNDDOWN((Client_Margin($C12)*Alloted(F$3,F$2,F$5)/Get_Margin(F$3,F$2,F$5,F$1)),0),ROUNDUP((Client_Margin($C12)*Alloted(F$3,F$2,F$5)/Get_Margin(F$3,F$2,F$5,F$1)),0)),"-")</f>
        <v>-</v>
      </c>
      <c r="G12" s="14" t="str" cm="1">
        <f t="array" ref="G12">IFERROR(IF(ROUNDUP((Client_Margin($C12)*Alloted(G$3,G$2,G$5)/Get_Margin(G$3,G$2,G$5,G$1)),0)*Get_Margin(G$3,G$2,G$5,G$1)&gt;((Client_Margin($C12)*Alloted(G$3,G$2,G$5)/Get_Margin(G$3,G$2,G$5,G$1))*Get_Margin(G$3,G$2,G$5,G$1))*$D$3,ROUNDDOWN((Client_Margin($C12)*Alloted(G$3,G$2,G$5)/Get_Margin(G$3,G$2,G$5,G$1)),0),ROUNDUP((Client_Margin($C12)*Alloted(G$3,G$2,G$5)/Get_Margin(G$3,G$2,G$5,G$1)),0)),"-")</f>
        <v>-</v>
      </c>
      <c r="H12" s="14" cm="1">
        <f t="array" ref="H12">IFERROR(IF(ROUNDUP((Client_Margin($C12)*Alloted(H$3,H$2,H$5)/Get_Margin(H$3,H$2,H$5,H$1)),0)*Get_Margin(H$3,H$2,H$5,H$1)&gt;((Client_Margin($C12)*Alloted(H$3,H$2,H$5)/Get_Margin(H$3,H$2,H$5,H$1))*Get_Margin(H$3,H$2,H$5,H$1))*$D$3,ROUNDDOWN((Client_Margin($C12)*Alloted(H$3,H$2,H$5)/Get_Margin(H$3,H$2,H$5,H$1)),0),ROUNDUP((Client_Margin($C12)*Alloted(H$3,H$2,H$5)/Get_Margin(H$3,H$2,H$5,H$1)),0)),"-")</f>
        <v>11</v>
      </c>
      <c r="I12" s="14" cm="1">
        <f t="array" ref="I12">IFERROR(IF(ROUNDUP((Client_Margin($C12)*Alloted(I$3,I$2,I$5)/Get_Margin(I$3,I$2,I$5,I$1)),0)*Get_Margin(I$3,I$2,I$5,I$1)&gt;((Client_Margin($C12)*Alloted(I$3,I$2,I$5)/Get_Margin(I$3,I$2,I$5,I$1))*Get_Margin(I$3,I$2,I$5,I$1))*$D$3,ROUNDDOWN((Client_Margin($C12)*Alloted(I$3,I$2,I$5)/Get_Margin(I$3,I$2,I$5,I$1)),0),ROUNDUP((Client_Margin($C12)*Alloted(I$3,I$2,I$5)/Get_Margin(I$3,I$2,I$5,I$1)),0)),"-")</f>
        <v>4</v>
      </c>
      <c r="J12" s="14" cm="1">
        <f t="array" ref="J12">IFERROR(IF(ROUNDUP((Client_Margin($C12)*Alloted(J$3,J$2,J$5)/Get_Margin(J$3,J$2,J$5,J$1)),0)*Get_Margin(J$3,J$2,J$5,J$1)&gt;((Client_Margin($C12)*Alloted(J$3,J$2,J$5)/Get_Margin(J$3,J$2,J$5,J$1))*Get_Margin(J$3,J$2,J$5,J$1))*$D$3,ROUNDDOWN((Client_Margin($C12)*Alloted(J$3,J$2,J$5)/Get_Margin(J$3,J$2,J$5,J$1)),0),ROUNDUP((Client_Margin($C12)*Alloted(J$3,J$2,J$5)/Get_Margin(J$3,J$2,J$5,J$1)),0)),"-")</f>
        <v>5</v>
      </c>
      <c r="K12" s="14" cm="1">
        <f t="array" ref="K12">IFERROR(IF(ROUNDUP((Client_Margin($C12)*Alloted(K$3,K$2,K$5)/Get_Margin(K$3,K$2,K$5,K$1)),0)*Get_Margin(K$3,K$2,K$5,K$1)&gt;((Client_Margin($C12)*Alloted(K$3,K$2,K$5)/Get_Margin(K$3,K$2,K$5,K$1))*Get_Margin(K$3,K$2,K$5,K$1))*$D$3,ROUNDDOWN((Client_Margin($C12)*Alloted(K$3,K$2,K$5)/Get_Margin(K$3,K$2,K$5,K$1)),0),ROUNDUP((Client_Margin($C12)*Alloted(K$3,K$2,K$5)/Get_Margin(K$3,K$2,K$5,K$1)),0)),"-")</f>
        <v>0</v>
      </c>
      <c r="L12" s="14" cm="1">
        <f t="array" ref="L12">IFERROR(IF(ROUNDUP((Client_Margin($C12)*Alloted(L$3,L$2,L$5)/Get_Margin(L$3,L$2,L$5,L$1)),0)*Get_Margin(L$3,L$2,L$5,L$1)&gt;((Client_Margin($C12)*Alloted(L$3,L$2,L$5)/Get_Margin(L$3,L$2,L$5,L$1))*Get_Margin(L$3,L$2,L$5,L$1))*$D$3,ROUNDDOWN((Client_Margin($C12)*Alloted(L$3,L$2,L$5)/Get_Margin(L$3,L$2,L$5,L$1)),0),ROUNDUP((Client_Margin($C12)*Alloted(L$3,L$2,L$5)/Get_Margin(L$3,L$2,L$5,L$1)),0)),"-")</f>
        <v>0</v>
      </c>
      <c r="M12" s="14" cm="1">
        <f t="array" ref="M12">IFERROR(IF(ROUNDUP((Client_Margin($C12)*Alloted(M$3,M$2,M$5)/Get_Margin(M$3,M$2,M$5,M$1)),0)*Get_Margin(M$3,M$2,M$5,M$1)&gt;((Client_Margin($C12)*Alloted(M$3,M$2,M$5)/Get_Margin(M$3,M$2,M$5,M$1))*Get_Margin(M$3,M$2,M$5,M$1))*$D$3,ROUNDDOWN((Client_Margin($C12)*Alloted(M$3,M$2,M$5)/Get_Margin(M$3,M$2,M$5,M$1)),0),ROUNDUP((Client_Margin($C12)*Alloted(M$3,M$2,M$5)/Get_Margin(M$3,M$2,M$5,M$1)),0)),"-")</f>
        <v>0</v>
      </c>
      <c r="N12" s="14" cm="1">
        <f t="array" ref="N12">IFERROR(IF(ROUNDUP((Client_Margin($C12)*Alloted(N$3,N$2,N$5)/Get_Margin(N$3,N$2,N$5,N$1)),0)*Get_Margin(N$3,N$2,N$5,N$1)&gt;((Client_Margin($C12)*Alloted(N$3,N$2,N$5)/Get_Margin(N$3,N$2,N$5,N$1))*Get_Margin(N$3,N$2,N$5,N$1))*$D$3,ROUNDDOWN((Client_Margin($C12)*Alloted(N$3,N$2,N$5)/Get_Margin(N$3,N$2,N$5,N$1)),0),ROUNDUP((Client_Margin($C12)*Alloted(N$3,N$2,N$5)/Get_Margin(N$3,N$2,N$5,N$1)),0)),"-")</f>
        <v>0</v>
      </c>
      <c r="O12" s="14" cm="1">
        <f t="array" ref="O12">IFERROR(IF(ROUNDUP((Client_Margin($C12)*Alloted(O$3,O$2,O$5)/Get_Margin(O$3,O$2,O$5,O$1)),0)*Get_Margin(O$3,O$2,O$5,O$1)&gt;((Client_Margin($C12)*Alloted(O$3,O$2,O$5)/Get_Margin(O$3,O$2,O$5,O$1))*Get_Margin(O$3,O$2,O$5,O$1))*$D$3,ROUNDDOWN((Client_Margin($C12)*Alloted(O$3,O$2,O$5)/Get_Margin(O$3,O$2,O$5,O$1)),0),ROUNDUP((Client_Margin($C12)*Alloted(O$3,O$2,O$5)/Get_Margin(O$3,O$2,O$5,O$1)),0)),"-")</f>
        <v>0</v>
      </c>
    </row>
    <row r="13" spans="1:21" hidden="1" x14ac:dyDescent="0.25">
      <c r="A13">
        <f>_xlfn.XLOOKUP(C13,'OI QTY'!$O$5:$O$21,'OI QTY'!$N$5:$N$21,"")</f>
        <v>0</v>
      </c>
      <c r="B13">
        <f>IF(C13="",0,1)</f>
        <v>0</v>
      </c>
      <c r="C13" s="14"/>
      <c r="D13" s="14"/>
      <c r="E13" s="15">
        <f>SUM(F13:O13)</f>
        <v>0.33062857142857144</v>
      </c>
      <c r="F13" s="15" t="str" cm="1">
        <f t="array" ref="F13">IFERROR((_xlfn._xlws.FILTER(INDEX(Margin[],0,MATCH(F$1&amp;"_"&amp;F$3,Margin[#Headers],0)),(Margin[Index]=F$2)*(Margin[Strategy]=F$5))*F12)/Client_Margin($C12),"-")</f>
        <v>-</v>
      </c>
      <c r="G13" s="15" t="str" cm="1">
        <f t="array" ref="G13">IFERROR((_xlfn._xlws.FILTER(INDEX(Margin[],0,MATCH(G$1&amp;"_"&amp;G$3,Margin[#Headers],0)),(Margin[Index]=G$2)*(Margin[Strategy]=G$5))*G12)/Client_Margin($C12),"-")</f>
        <v>-</v>
      </c>
      <c r="H13" s="15" cm="1">
        <f t="array" ref="H13">IFERROR((_xlfn._xlws.FILTER(INDEX(Margin[],0,MATCH(H$1&amp;"_"&amp;H$3,Margin[#Headers],0)),(Margin[Index]=H$2)*(Margin[Strategy]=H$5))*H12)/Client_Margin($C12),"-")</f>
        <v>0.10937142857142858</v>
      </c>
      <c r="I13" s="15" cm="1">
        <f t="array" ref="I13">IFERROR((_xlfn._xlws.FILTER(INDEX(Margin[],0,MATCH(I$1&amp;"_"&amp;I$3,Margin[#Headers],0)),(Margin[Index]=I$2)*(Margin[Strategy]=I$5))*I12)/Client_Margin($C12),"-")</f>
        <v>0.10697142857142856</v>
      </c>
      <c r="J13" s="15" cm="1">
        <f t="array" ref="J13">IFERROR((_xlfn._xlws.FILTER(INDEX(Margin[],0,MATCH(J$1&amp;"_"&amp;J$3,Margin[#Headers],0)),(Margin[Index]=J$2)*(Margin[Strategy]=J$5))*J12)/Client_Margin($C12),"-")</f>
        <v>0.11428571428571428</v>
      </c>
      <c r="K13" s="15" cm="1">
        <f t="array" ref="K13">IFERROR((_xlfn._xlws.FILTER(INDEX(Margin[],0,MATCH(K$1&amp;"_"&amp;K$3,Margin[#Headers],0)),(Margin[Index]=K$2)*(Margin[Strategy]=K$5))*K12)/Client_Margin($C12),"-")</f>
        <v>0</v>
      </c>
      <c r="L13" s="15" cm="1">
        <f t="array" ref="L13">IFERROR((_xlfn._xlws.FILTER(INDEX(Margin[],0,MATCH(L$1&amp;"_"&amp;L$3,Margin[#Headers],0)),(Margin[Index]=L$2)*(Margin[Strategy]=L$5))*L12)/Client_Margin($C12),"-")</f>
        <v>0</v>
      </c>
      <c r="M13" s="15" cm="1">
        <f t="array" ref="M13">IFERROR((_xlfn._xlws.FILTER(INDEX(Margin[],0,MATCH(M$1&amp;"_"&amp;M$3,Margin[#Headers],0)),(Margin[Index]=M$2)*(Margin[Strategy]=M$5))*M12)/Client_Margin($C12),"-")</f>
        <v>0</v>
      </c>
      <c r="N13" s="15" cm="1">
        <f t="array" ref="N13">IFERROR((_xlfn._xlws.FILTER(INDEX(Margin[],0,MATCH(N$1&amp;"_"&amp;N$3,Margin[#Headers],0)),(Margin[Index]=N$2)*(Margin[Strategy]=N$5))*N12)/Client_Margin($C12),"-")</f>
        <v>0</v>
      </c>
      <c r="O13" s="15" cm="1">
        <f t="array" ref="O13">IFERROR((_xlfn._xlws.FILTER(INDEX(Margin[],0,MATCH(O$1&amp;"_"&amp;O$3,Margin[#Headers],0)),(Margin[Index]=O$2)*(Margin[Strategy]=O$5))*O12)/Client_Margin($C12),"-")</f>
        <v>0</v>
      </c>
    </row>
    <row r="14" spans="1:21" x14ac:dyDescent="0.25">
      <c r="A14" t="str">
        <f>_xlfn.XLOOKUP(C14,'OI QTY'!$O$5:$O$21,'OI QTY'!$N$5:$N$21,"")</f>
        <v>M</v>
      </c>
      <c r="B14">
        <f t="shared" ref="B14:B15" si="1">IF(C14="",0,1)</f>
        <v>1</v>
      </c>
      <c r="C14" s="14" t="s">
        <v>123</v>
      </c>
      <c r="D14" s="14" cm="1">
        <f t="array" ref="D14">(_xlfn._xlws.FILTER(Fund[Margin],Fund[Client Id]=C14))/10000000</f>
        <v>4</v>
      </c>
      <c r="E14" s="17"/>
      <c r="F14" s="14" t="str" cm="1">
        <f t="array" ref="F14">IFERROR(IF(ROUNDUP((Client_Margin($C14)*Alloted(F$3,F$2,F$5)/Get_Margin(F$3,F$2,F$5,F$1)),0)*Get_Margin(F$3,F$2,F$5,F$1)&gt;((Client_Margin($C14)*Alloted(F$3,F$2,F$5)/Get_Margin(F$3,F$2,F$5,F$1))*Get_Margin(F$3,F$2,F$5,F$1))*$D$3,ROUNDDOWN((Client_Margin($C14)*Alloted(F$3,F$2,F$5)/Get_Margin(F$3,F$2,F$5,F$1)),0),ROUNDUP((Client_Margin($C14)*Alloted(F$3,F$2,F$5)/Get_Margin(F$3,F$2,F$5,F$1)),0)),"-")</f>
        <v>-</v>
      </c>
      <c r="G14" s="14" t="str" cm="1">
        <f t="array" ref="G14">IFERROR(IF(ROUNDUP((Client_Margin($C14)*Alloted(G$3,G$2,G$5)/Get_Margin(G$3,G$2,G$5,G$1)),0)*Get_Margin(G$3,G$2,G$5,G$1)&gt;((Client_Margin($C14)*Alloted(G$3,G$2,G$5)/Get_Margin(G$3,G$2,G$5,G$1))*Get_Margin(G$3,G$2,G$5,G$1))*$D$3,ROUNDDOWN((Client_Margin($C14)*Alloted(G$3,G$2,G$5)/Get_Margin(G$3,G$2,G$5,G$1)),0),ROUNDUP((Client_Margin($C14)*Alloted(G$3,G$2,G$5)/Get_Margin(G$3,G$2,G$5,G$1)),0)),"-")</f>
        <v>-</v>
      </c>
      <c r="H14" s="14" cm="1">
        <f t="array" ref="H14">IFERROR(IF(ROUNDUP((Client_Margin($C14)*Alloted(H$3,H$2,H$5)/Get_Margin(H$3,H$2,H$5,H$1)),0)*Get_Margin(H$3,H$2,H$5,H$1)&gt;((Client_Margin($C14)*Alloted(H$3,H$2,H$5)/Get_Margin(H$3,H$2,H$5,H$1))*Get_Margin(H$3,H$2,H$5,H$1))*$D$3,ROUNDDOWN((Client_Margin($C14)*Alloted(H$3,H$2,H$5)/Get_Margin(H$3,H$2,H$5,H$1)),0),ROUNDUP((Client_Margin($C14)*Alloted(H$3,H$2,H$5)/Get_Margin(H$3,H$2,H$5,H$1)),0)),"-")</f>
        <v>6</v>
      </c>
      <c r="I14" s="14" cm="1">
        <f t="array" ref="I14">IFERROR(IF(ROUNDUP((Client_Margin($C14)*Alloted(I$3,I$2,I$5)/Get_Margin(I$3,I$2,I$5,I$1)),0)*Get_Margin(I$3,I$2,I$5,I$1)&gt;((Client_Margin($C14)*Alloted(I$3,I$2,I$5)/Get_Margin(I$3,I$2,I$5,I$1))*Get_Margin(I$3,I$2,I$5,I$1))*$D$3,ROUNDDOWN((Client_Margin($C14)*Alloted(I$3,I$2,I$5)/Get_Margin(I$3,I$2,I$5,I$1)),0),ROUNDUP((Client_Margin($C14)*Alloted(I$3,I$2,I$5)/Get_Margin(I$3,I$2,I$5,I$1)),0)),"-")</f>
        <v>2</v>
      </c>
      <c r="J14" s="14" cm="1">
        <f t="array" ref="J14">IFERROR(IF(ROUNDUP((Client_Margin($C14)*Alloted(J$3,J$2,J$5)/Get_Margin(J$3,J$2,J$5,J$1)),0)*Get_Margin(J$3,J$2,J$5,J$1)&gt;((Client_Margin($C14)*Alloted(J$3,J$2,J$5)/Get_Margin(J$3,J$2,J$5,J$1))*Get_Margin(J$3,J$2,J$5,J$1))*$D$3,ROUNDDOWN((Client_Margin($C14)*Alloted(J$3,J$2,J$5)/Get_Margin(J$3,J$2,J$5,J$1)),0),ROUNDUP((Client_Margin($C14)*Alloted(J$3,J$2,J$5)/Get_Margin(J$3,J$2,J$5,J$1)),0)),"-")</f>
        <v>2</v>
      </c>
      <c r="K14" s="14" cm="1">
        <f t="array" ref="K14">IFERROR(IF(ROUNDUP((Client_Margin($C14)*Alloted(K$3,K$2,K$5)/Get_Margin(K$3,K$2,K$5,K$1)),0)*Get_Margin(K$3,K$2,K$5,K$1)&gt;((Client_Margin($C14)*Alloted(K$3,K$2,K$5)/Get_Margin(K$3,K$2,K$5,K$1))*Get_Margin(K$3,K$2,K$5,K$1))*$D$3,ROUNDDOWN((Client_Margin($C14)*Alloted(K$3,K$2,K$5)/Get_Margin(K$3,K$2,K$5,K$1)),0),ROUNDUP((Client_Margin($C14)*Alloted(K$3,K$2,K$5)/Get_Margin(K$3,K$2,K$5,K$1)),0)),"-")</f>
        <v>0</v>
      </c>
      <c r="L14" s="14" cm="1">
        <f t="array" ref="L14">IFERROR(IF(ROUNDUP((Client_Margin($C14)*Alloted(L$3,L$2,L$5)/Get_Margin(L$3,L$2,L$5,L$1)),0)*Get_Margin(L$3,L$2,L$5,L$1)&gt;((Client_Margin($C14)*Alloted(L$3,L$2,L$5)/Get_Margin(L$3,L$2,L$5,L$1))*Get_Margin(L$3,L$2,L$5,L$1))*$D$3,ROUNDDOWN((Client_Margin($C14)*Alloted(L$3,L$2,L$5)/Get_Margin(L$3,L$2,L$5,L$1)),0),ROUNDUP((Client_Margin($C14)*Alloted(L$3,L$2,L$5)/Get_Margin(L$3,L$2,L$5,L$1)),0)),"-")</f>
        <v>0</v>
      </c>
      <c r="M14" s="14" cm="1">
        <f t="array" ref="M14">IFERROR(IF(ROUNDUP((Client_Margin($C14)*Alloted(M$3,M$2,M$5)/Get_Margin(M$3,M$2,M$5,M$1)),0)*Get_Margin(M$3,M$2,M$5,M$1)&gt;((Client_Margin($C14)*Alloted(M$3,M$2,M$5)/Get_Margin(M$3,M$2,M$5,M$1))*Get_Margin(M$3,M$2,M$5,M$1))*$D$3,ROUNDDOWN((Client_Margin($C14)*Alloted(M$3,M$2,M$5)/Get_Margin(M$3,M$2,M$5,M$1)),0),ROUNDUP((Client_Margin($C14)*Alloted(M$3,M$2,M$5)/Get_Margin(M$3,M$2,M$5,M$1)),0)),"-")</f>
        <v>0</v>
      </c>
      <c r="N14" s="14" cm="1">
        <f t="array" ref="N14">IFERROR(IF(ROUNDUP((Client_Margin($C14)*Alloted(N$3,N$2,N$5)/Get_Margin(N$3,N$2,N$5,N$1)),0)*Get_Margin(N$3,N$2,N$5,N$1)&gt;((Client_Margin($C14)*Alloted(N$3,N$2,N$5)/Get_Margin(N$3,N$2,N$5,N$1))*Get_Margin(N$3,N$2,N$5,N$1))*$D$3,ROUNDDOWN((Client_Margin($C14)*Alloted(N$3,N$2,N$5)/Get_Margin(N$3,N$2,N$5,N$1)),0),ROUNDUP((Client_Margin($C14)*Alloted(N$3,N$2,N$5)/Get_Margin(N$3,N$2,N$5,N$1)),0)),"-")</f>
        <v>0</v>
      </c>
      <c r="O14" s="14" cm="1">
        <f t="array" ref="O14">IFERROR(IF(ROUNDUP((Client_Margin($C14)*Alloted(O$3,O$2,O$5)/Get_Margin(O$3,O$2,O$5,O$1)),0)*Get_Margin(O$3,O$2,O$5,O$1)&gt;((Client_Margin($C14)*Alloted(O$3,O$2,O$5)/Get_Margin(O$3,O$2,O$5,O$1))*Get_Margin(O$3,O$2,O$5,O$1))*$D$3,ROUNDDOWN((Client_Margin($C14)*Alloted(O$3,O$2,O$5)/Get_Margin(O$3,O$2,O$5,O$1)),0),ROUNDUP((Client_Margin($C14)*Alloted(O$3,O$2,O$5)/Get_Margin(O$3,O$2,O$5,O$1)),0)),"-")</f>
        <v>0</v>
      </c>
    </row>
    <row r="15" spans="1:21" hidden="1" x14ac:dyDescent="0.25">
      <c r="A15">
        <f>_xlfn.XLOOKUP(C15,'OI QTY'!$O$5:$O$21,'OI QTY'!$N$5:$N$21,"")</f>
        <v>0</v>
      </c>
      <c r="B15">
        <f t="shared" si="1"/>
        <v>0</v>
      </c>
      <c r="C15" s="14"/>
      <c r="D15" s="14"/>
      <c r="E15" s="15">
        <f>SUM(F15:O15)</f>
        <v>0.27800000000000002</v>
      </c>
      <c r="F15" s="15" t="str" cm="1">
        <f t="array" ref="F15">IFERROR((_xlfn._xlws.FILTER(INDEX(Margin[],0,MATCH(F$1&amp;"_"&amp;F$3,Margin[#Headers],0)),(Margin[Index]=F$2)*(Margin[Strategy]=F$5))*F14)/Client_Margin($C14),"-")</f>
        <v>-</v>
      </c>
      <c r="G15" s="15" t="str" cm="1">
        <f t="array" ref="G15">IFERROR((_xlfn._xlws.FILTER(INDEX(Margin[],0,MATCH(G$1&amp;"_"&amp;G$3,Margin[#Headers],0)),(Margin[Index]=G$2)*(Margin[Strategy]=G$5))*G14)/Client_Margin($C14),"-")</f>
        <v>-</v>
      </c>
      <c r="H15" s="15" cm="1">
        <f t="array" ref="H15">IFERROR((_xlfn._xlws.FILTER(INDEX(Margin[],0,MATCH(H$1&amp;"_"&amp;H$3,Margin[#Headers],0)),(Margin[Index]=H$2)*(Margin[Strategy]=H$5))*H14)/Client_Margin($C14),"-")</f>
        <v>0.10440000000000001</v>
      </c>
      <c r="I15" s="15" cm="1">
        <f t="array" ref="I15">IFERROR((_xlfn._xlws.FILTER(INDEX(Margin[],0,MATCH(I$1&amp;"_"&amp;I$3,Margin[#Headers],0)),(Margin[Index]=I$2)*(Margin[Strategy]=I$5))*I14)/Client_Margin($C14),"-")</f>
        <v>9.3600000000000003E-2</v>
      </c>
      <c r="J15" s="15" cm="1">
        <f t="array" ref="J15">IFERROR((_xlfn._xlws.FILTER(INDEX(Margin[],0,MATCH(J$1&amp;"_"&amp;J$3,Margin[#Headers],0)),(Margin[Index]=J$2)*(Margin[Strategy]=J$5))*J14)/Client_Margin($C14),"-")</f>
        <v>0.08</v>
      </c>
      <c r="K15" s="15" cm="1">
        <f t="array" ref="K15">IFERROR((_xlfn._xlws.FILTER(INDEX(Margin[],0,MATCH(K$1&amp;"_"&amp;K$3,Margin[#Headers],0)),(Margin[Index]=K$2)*(Margin[Strategy]=K$5))*K14)/Client_Margin($C14),"-")</f>
        <v>0</v>
      </c>
      <c r="L15" s="15" cm="1">
        <f t="array" ref="L15">IFERROR((_xlfn._xlws.FILTER(INDEX(Margin[],0,MATCH(L$1&amp;"_"&amp;L$3,Margin[#Headers],0)),(Margin[Index]=L$2)*(Margin[Strategy]=L$5))*L14)/Client_Margin($C14),"-")</f>
        <v>0</v>
      </c>
      <c r="M15" s="15" cm="1">
        <f t="array" ref="M15">IFERROR((_xlfn._xlws.FILTER(INDEX(Margin[],0,MATCH(M$1&amp;"_"&amp;M$3,Margin[#Headers],0)),(Margin[Index]=M$2)*(Margin[Strategy]=M$5))*M14)/Client_Margin($C14),"-")</f>
        <v>0</v>
      </c>
      <c r="N15" s="15" cm="1">
        <f t="array" ref="N15">IFERROR((_xlfn._xlws.FILTER(INDEX(Margin[],0,MATCH(N$1&amp;"_"&amp;N$3,Margin[#Headers],0)),(Margin[Index]=N$2)*(Margin[Strategy]=N$5))*N14)/Client_Margin($C14),"-")</f>
        <v>0</v>
      </c>
      <c r="O15" s="15" cm="1">
        <f t="array" ref="O15">IFERROR((_xlfn._xlws.FILTER(INDEX(Margin[],0,MATCH(O$1&amp;"_"&amp;O$3,Margin[#Headers],0)),(Margin[Index]=O$2)*(Margin[Strategy]=O$5))*O14)/Client_Margin($C14),"-")</f>
        <v>0</v>
      </c>
    </row>
    <row r="16" spans="1:21" x14ac:dyDescent="0.25">
      <c r="A16" t="str">
        <f>_xlfn.XLOOKUP(C16,'OI QTY'!$O$5:$O$21,'OI QTY'!$N$5:$N$21,"")</f>
        <v>M</v>
      </c>
      <c r="B16">
        <f t="shared" ref="B16:B27" si="2">IF(C16="",0,1)</f>
        <v>1</v>
      </c>
      <c r="C16" s="14" t="s">
        <v>128</v>
      </c>
      <c r="D16" s="14" cm="1">
        <f t="array" ref="D16">(_xlfn._xlws.FILTER(Fund[Margin],Fund[Client Id]=C16))/10000000</f>
        <v>2</v>
      </c>
      <c r="E16" s="17"/>
      <c r="F16" s="14" t="str" cm="1">
        <f t="array" ref="F16">IFERROR(IF(ROUNDUP((Client_Margin($C16)*Alloted(F$3,F$2,F$5)/Get_Margin(F$3,F$2,F$5,F$1)),0)*Get_Margin(F$3,F$2,F$5,F$1)&gt;((Client_Margin($C16)*Alloted(F$3,F$2,F$5)/Get_Margin(F$3,F$2,F$5,F$1))*Get_Margin(F$3,F$2,F$5,F$1))*$D$3,ROUNDDOWN((Client_Margin($C16)*Alloted(F$3,F$2,F$5)/Get_Margin(F$3,F$2,F$5,F$1)),0),ROUNDUP((Client_Margin($C16)*Alloted(F$3,F$2,F$5)/Get_Margin(F$3,F$2,F$5,F$1)),0)),"-")</f>
        <v>-</v>
      </c>
      <c r="G16" s="14" t="str" cm="1">
        <f t="array" ref="G16">IFERROR(IF(ROUNDUP((Client_Margin($C16)*Alloted(G$3,G$2,G$5)/Get_Margin(G$3,G$2,G$5,G$1)),0)*Get_Margin(G$3,G$2,G$5,G$1)&gt;((Client_Margin($C16)*Alloted(G$3,G$2,G$5)/Get_Margin(G$3,G$2,G$5,G$1))*Get_Margin(G$3,G$2,G$5,G$1))*$D$3,ROUNDDOWN((Client_Margin($C16)*Alloted(G$3,G$2,G$5)/Get_Margin(G$3,G$2,G$5,G$1)),0),ROUNDUP((Client_Margin($C16)*Alloted(G$3,G$2,G$5)/Get_Margin(G$3,G$2,G$5,G$1)),0)),"-")</f>
        <v>-</v>
      </c>
      <c r="H16" s="14" cm="1">
        <f t="array" ref="H16">IFERROR(IF(ROUNDUP((Client_Margin($C16)*Alloted(H$3,H$2,H$5)/Get_Margin(H$3,H$2,H$5,H$1)),0)*Get_Margin(H$3,H$2,H$5,H$1)&gt;((Client_Margin($C16)*Alloted(H$3,H$2,H$5)/Get_Margin(H$3,H$2,H$5,H$1))*Get_Margin(H$3,H$2,H$5,H$1))*$D$3,ROUNDDOWN((Client_Margin($C16)*Alloted(H$3,H$2,H$5)/Get_Margin(H$3,H$2,H$5,H$1)),0),ROUNDUP((Client_Margin($C16)*Alloted(H$3,H$2,H$5)/Get_Margin(H$3,H$2,H$5,H$1)),0)),"-")</f>
        <v>3</v>
      </c>
      <c r="I16" s="14" cm="1">
        <f t="array" ref="I16">IFERROR(IF(ROUNDUP((Client_Margin($C16)*Alloted(I$3,I$2,I$5)/Get_Margin(I$3,I$2,I$5,I$1)),0)*Get_Margin(I$3,I$2,I$5,I$1)&gt;((Client_Margin($C16)*Alloted(I$3,I$2,I$5)/Get_Margin(I$3,I$2,I$5,I$1))*Get_Margin(I$3,I$2,I$5,I$1))*$D$3,ROUNDDOWN((Client_Margin($C16)*Alloted(I$3,I$2,I$5)/Get_Margin(I$3,I$2,I$5,I$1)),0),ROUNDUP((Client_Margin($C16)*Alloted(I$3,I$2,I$5)/Get_Margin(I$3,I$2,I$5,I$1)),0)),"-")</f>
        <v>1</v>
      </c>
      <c r="J16" s="14" cm="1">
        <f t="array" ref="J16">IFERROR(IF(ROUNDUP((Client_Margin($C16)*Alloted(J$3,J$2,J$5)/Get_Margin(J$3,J$2,J$5,J$1)),0)*Get_Margin(J$3,J$2,J$5,J$1)&gt;((Client_Margin($C16)*Alloted(J$3,J$2,J$5)/Get_Margin(J$3,J$2,J$5,J$1))*Get_Margin(J$3,J$2,J$5,J$1))*$D$3,ROUNDDOWN((Client_Margin($C16)*Alloted(J$3,J$2,J$5)/Get_Margin(J$3,J$2,J$5,J$1)),0),ROUNDUP((Client_Margin($C16)*Alloted(J$3,J$2,J$5)/Get_Margin(J$3,J$2,J$5,J$1)),0)),"-")</f>
        <v>1</v>
      </c>
      <c r="K16" s="14" cm="1">
        <f t="array" ref="K16">IFERROR(IF(ROUNDUP((Client_Margin($C16)*Alloted(K$3,K$2,K$5)/Get_Margin(K$3,K$2,K$5,K$1)),0)*Get_Margin(K$3,K$2,K$5,K$1)&gt;((Client_Margin($C16)*Alloted(K$3,K$2,K$5)/Get_Margin(K$3,K$2,K$5,K$1))*Get_Margin(K$3,K$2,K$5,K$1))*$D$3,ROUNDDOWN((Client_Margin($C16)*Alloted(K$3,K$2,K$5)/Get_Margin(K$3,K$2,K$5,K$1)),0),ROUNDUP((Client_Margin($C16)*Alloted(K$3,K$2,K$5)/Get_Margin(K$3,K$2,K$5,K$1)),0)),"-")</f>
        <v>0</v>
      </c>
      <c r="L16" s="14" cm="1">
        <f t="array" ref="L16">IFERROR(IF(ROUNDUP((Client_Margin($C16)*Alloted(L$3,L$2,L$5)/Get_Margin(L$3,L$2,L$5,L$1)),0)*Get_Margin(L$3,L$2,L$5,L$1)&gt;((Client_Margin($C16)*Alloted(L$3,L$2,L$5)/Get_Margin(L$3,L$2,L$5,L$1))*Get_Margin(L$3,L$2,L$5,L$1))*$D$3,ROUNDDOWN((Client_Margin($C16)*Alloted(L$3,L$2,L$5)/Get_Margin(L$3,L$2,L$5,L$1)),0),ROUNDUP((Client_Margin($C16)*Alloted(L$3,L$2,L$5)/Get_Margin(L$3,L$2,L$5,L$1)),0)),"-")</f>
        <v>0</v>
      </c>
      <c r="M16" s="14" cm="1">
        <f t="array" ref="M16">IFERROR(IF(ROUNDUP((Client_Margin($C16)*Alloted(M$3,M$2,M$5)/Get_Margin(M$3,M$2,M$5,M$1)),0)*Get_Margin(M$3,M$2,M$5,M$1)&gt;((Client_Margin($C16)*Alloted(M$3,M$2,M$5)/Get_Margin(M$3,M$2,M$5,M$1))*Get_Margin(M$3,M$2,M$5,M$1))*$D$3,ROUNDDOWN((Client_Margin($C16)*Alloted(M$3,M$2,M$5)/Get_Margin(M$3,M$2,M$5,M$1)),0),ROUNDUP((Client_Margin($C16)*Alloted(M$3,M$2,M$5)/Get_Margin(M$3,M$2,M$5,M$1)),0)),"-")</f>
        <v>0</v>
      </c>
      <c r="N16" s="14" cm="1">
        <f t="array" ref="N16">IFERROR(IF(ROUNDUP((Client_Margin($C16)*Alloted(N$3,N$2,N$5)/Get_Margin(N$3,N$2,N$5,N$1)),0)*Get_Margin(N$3,N$2,N$5,N$1)&gt;((Client_Margin($C16)*Alloted(N$3,N$2,N$5)/Get_Margin(N$3,N$2,N$5,N$1))*Get_Margin(N$3,N$2,N$5,N$1))*$D$3,ROUNDDOWN((Client_Margin($C16)*Alloted(N$3,N$2,N$5)/Get_Margin(N$3,N$2,N$5,N$1)),0),ROUNDUP((Client_Margin($C16)*Alloted(N$3,N$2,N$5)/Get_Margin(N$3,N$2,N$5,N$1)),0)),"-")</f>
        <v>0</v>
      </c>
      <c r="O16" s="14" cm="1">
        <f t="array" ref="O16">IFERROR(IF(ROUNDUP((Client_Margin($C16)*Alloted(O$3,O$2,O$5)/Get_Margin(O$3,O$2,O$5,O$1)),0)*Get_Margin(O$3,O$2,O$5,O$1)&gt;((Client_Margin($C16)*Alloted(O$3,O$2,O$5)/Get_Margin(O$3,O$2,O$5,O$1))*Get_Margin(O$3,O$2,O$5,O$1))*$D$3,ROUNDDOWN((Client_Margin($C16)*Alloted(O$3,O$2,O$5)/Get_Margin(O$3,O$2,O$5,O$1)),0),ROUNDUP((Client_Margin($C16)*Alloted(O$3,O$2,O$5)/Get_Margin(O$3,O$2,O$5,O$1)),0)),"-")</f>
        <v>0</v>
      </c>
    </row>
    <row r="17" spans="1:15" hidden="1" x14ac:dyDescent="0.25">
      <c r="A17">
        <f>_xlfn.XLOOKUP(C17,'OI QTY'!$O$5:$O$21,'OI QTY'!$N$5:$N$21,"")</f>
        <v>0</v>
      </c>
      <c r="B17">
        <f t="shared" si="2"/>
        <v>0</v>
      </c>
      <c r="C17" s="14"/>
      <c r="D17" s="14"/>
      <c r="E17" s="15">
        <f>SUM(F17:O17)</f>
        <v>0.27800000000000002</v>
      </c>
      <c r="F17" s="15" t="str" cm="1">
        <f t="array" ref="F17">IFERROR((_xlfn._xlws.FILTER(INDEX(Margin[],0,MATCH(F$1&amp;"_"&amp;F$3,Margin[#Headers],0)),(Margin[Index]=F$2)*(Margin[Strategy]=F$5))*F16)/Client_Margin($C16),"-")</f>
        <v>-</v>
      </c>
      <c r="G17" s="15" t="str" cm="1">
        <f t="array" ref="G17">IFERROR((_xlfn._xlws.FILTER(INDEX(Margin[],0,MATCH(G$1&amp;"_"&amp;G$3,Margin[#Headers],0)),(Margin[Index]=G$2)*(Margin[Strategy]=G$5))*G16)/Client_Margin($C16),"-")</f>
        <v>-</v>
      </c>
      <c r="H17" s="15" cm="1">
        <f t="array" ref="H17">IFERROR((_xlfn._xlws.FILTER(INDEX(Margin[],0,MATCH(H$1&amp;"_"&amp;H$3,Margin[#Headers],0)),(Margin[Index]=H$2)*(Margin[Strategy]=H$5))*H16)/Client_Margin($C16),"-")</f>
        <v>0.10440000000000001</v>
      </c>
      <c r="I17" s="15" cm="1">
        <f t="array" ref="I17">IFERROR((_xlfn._xlws.FILTER(INDEX(Margin[],0,MATCH(I$1&amp;"_"&amp;I$3,Margin[#Headers],0)),(Margin[Index]=I$2)*(Margin[Strategy]=I$5))*I16)/Client_Margin($C16),"-")</f>
        <v>9.3600000000000003E-2</v>
      </c>
      <c r="J17" s="15" cm="1">
        <f t="array" ref="J17">IFERROR((_xlfn._xlws.FILTER(INDEX(Margin[],0,MATCH(J$1&amp;"_"&amp;J$3,Margin[#Headers],0)),(Margin[Index]=J$2)*(Margin[Strategy]=J$5))*J16)/Client_Margin($C16),"-")</f>
        <v>0.08</v>
      </c>
      <c r="K17" s="15" cm="1">
        <f t="array" ref="K17">IFERROR((_xlfn._xlws.FILTER(INDEX(Margin[],0,MATCH(K$1&amp;"_"&amp;K$3,Margin[#Headers],0)),(Margin[Index]=K$2)*(Margin[Strategy]=K$5))*K16)/Client_Margin($C16),"-")</f>
        <v>0</v>
      </c>
      <c r="L17" s="15" cm="1">
        <f t="array" ref="L17">IFERROR((_xlfn._xlws.FILTER(INDEX(Margin[],0,MATCH(L$1&amp;"_"&amp;L$3,Margin[#Headers],0)),(Margin[Index]=L$2)*(Margin[Strategy]=L$5))*L16)/Client_Margin($C16),"-")</f>
        <v>0</v>
      </c>
      <c r="M17" s="15" cm="1">
        <f t="array" ref="M17">IFERROR((_xlfn._xlws.FILTER(INDEX(Margin[],0,MATCH(M$1&amp;"_"&amp;M$3,Margin[#Headers],0)),(Margin[Index]=M$2)*(Margin[Strategy]=M$5))*M16)/Client_Margin($C16),"-")</f>
        <v>0</v>
      </c>
      <c r="N17" s="15" cm="1">
        <f t="array" ref="N17">IFERROR((_xlfn._xlws.FILTER(INDEX(Margin[],0,MATCH(N$1&amp;"_"&amp;N$3,Margin[#Headers],0)),(Margin[Index]=N$2)*(Margin[Strategy]=N$5))*N16)/Client_Margin($C16),"-")</f>
        <v>0</v>
      </c>
      <c r="O17" s="15" cm="1">
        <f t="array" ref="O17">IFERROR((_xlfn._xlws.FILTER(INDEX(Margin[],0,MATCH(O$1&amp;"_"&amp;O$3,Margin[#Headers],0)),(Margin[Index]=O$2)*(Margin[Strategy]=O$5))*O16)/Client_Margin($C16),"-")</f>
        <v>0</v>
      </c>
    </row>
    <row r="18" spans="1:15" hidden="1" x14ac:dyDescent="0.25">
      <c r="A18" t="str">
        <f>_xlfn.XLOOKUP(C18,'OI QTY'!$O$5:$O$21,'OI QTY'!$N$5:$N$21,"")</f>
        <v/>
      </c>
      <c r="B18">
        <f t="shared" si="2"/>
        <v>1</v>
      </c>
      <c r="C18" s="14" t="s">
        <v>34</v>
      </c>
      <c r="D18" s="14" cm="1">
        <f t="array" ref="D18">(_xlfn._xlws.FILTER(Fund[Margin],Fund[Client Id]=C18))/10000000</f>
        <v>5.0999999999999996</v>
      </c>
      <c r="E18" s="17"/>
      <c r="F18" s="14" t="str" cm="1">
        <f t="array" ref="F18">IFERROR(IF(ROUNDUP((Client_Margin($C18)*Alloted(F$3,F$2,F$5)/Get_Margin(F$3,F$2,F$5,F$1)),0)*Get_Margin(F$3,F$2,F$5,F$1)&gt;((Client_Margin($C18)*Alloted(F$3,F$2,F$5)/Get_Margin(F$3,F$2,F$5,F$1))*Get_Margin(F$3,F$2,F$5,F$1))*$D$3,ROUNDDOWN((Client_Margin($C18)*Alloted(F$3,F$2,F$5)/Get_Margin(F$3,F$2,F$5,F$1)),0),ROUNDUP((Client_Margin($C18)*Alloted(F$3,F$2,F$5)/Get_Margin(F$3,F$2,F$5,F$1)),0)),"-")</f>
        <v>-</v>
      </c>
      <c r="G18" s="14" t="str" cm="1">
        <f t="array" ref="G18">IFERROR(IF(ROUNDUP((Client_Margin($C18)*Alloted(G$3,G$2,G$5)/Get_Margin(G$3,G$2,G$5,G$1)),0)*Get_Margin(G$3,G$2,G$5,G$1)&gt;((Client_Margin($C18)*Alloted(G$3,G$2,G$5)/Get_Margin(G$3,G$2,G$5,G$1))*Get_Margin(G$3,G$2,G$5,G$1))*$D$3,ROUNDDOWN((Client_Margin($C18)*Alloted(G$3,G$2,G$5)/Get_Margin(G$3,G$2,G$5,G$1)),0),ROUNDUP((Client_Margin($C18)*Alloted(G$3,G$2,G$5)/Get_Margin(G$3,G$2,G$5,G$1)),0)),"-")</f>
        <v>-</v>
      </c>
      <c r="H18" s="14" cm="1">
        <f t="array" ref="H18">IFERROR(IF(ROUNDUP((Client_Margin($C18)*Alloted(H$3,H$2,H$5)/Get_Margin(H$3,H$2,H$5,H$1)),0)*Get_Margin(H$3,H$2,H$5,H$1)&gt;((Client_Margin($C18)*Alloted(H$3,H$2,H$5)/Get_Margin(H$3,H$2,H$5,H$1))*Get_Margin(H$3,H$2,H$5,H$1))*$D$3,ROUNDDOWN((Client_Margin($C18)*Alloted(H$3,H$2,H$5)/Get_Margin(H$3,H$2,H$5,H$1)),0),ROUNDUP((Client_Margin($C18)*Alloted(H$3,H$2,H$5)/Get_Margin(H$3,H$2,H$5,H$1)),0)),"-")</f>
        <v>8</v>
      </c>
      <c r="I18" s="14" cm="1">
        <f t="array" ref="I18">IFERROR(IF(ROUNDUP((Client_Margin($C18)*Alloted(I$3,I$2,I$5)/Get_Margin(I$3,I$2,I$5,I$1)),0)*Get_Margin(I$3,I$2,I$5,I$1)&gt;((Client_Margin($C18)*Alloted(I$3,I$2,I$5)/Get_Margin(I$3,I$2,I$5,I$1))*Get_Margin(I$3,I$2,I$5,I$1))*$D$3,ROUNDDOWN((Client_Margin($C18)*Alloted(I$3,I$2,I$5)/Get_Margin(I$3,I$2,I$5,I$1)),0),ROUNDUP((Client_Margin($C18)*Alloted(I$3,I$2,I$5)/Get_Margin(I$3,I$2,I$5,I$1)),0)),"-")</f>
        <v>3</v>
      </c>
      <c r="J18" s="14" cm="1">
        <f t="array" ref="J18">IFERROR(IF(ROUNDUP((Client_Margin($C18)*Alloted(J$3,J$2,J$5)/Get_Margin(J$3,J$2,J$5,J$1)),0)*Get_Margin(J$3,J$2,J$5,J$1)&gt;((Client_Margin($C18)*Alloted(J$3,J$2,J$5)/Get_Margin(J$3,J$2,J$5,J$1))*Get_Margin(J$3,J$2,J$5,J$1))*$D$3,ROUNDDOWN((Client_Margin($C18)*Alloted(J$3,J$2,J$5)/Get_Margin(J$3,J$2,J$5,J$1)),0),ROUNDUP((Client_Margin($C18)*Alloted(J$3,J$2,J$5)/Get_Margin(J$3,J$2,J$5,J$1)),0)),"-")</f>
        <v>3</v>
      </c>
      <c r="K18" s="14" cm="1">
        <f t="array" ref="K18">IFERROR(IF(ROUNDUP((Client_Margin($C18)*Alloted(K$3,K$2,K$5)/Get_Margin(K$3,K$2,K$5,K$1)),0)*Get_Margin(K$3,K$2,K$5,K$1)&gt;((Client_Margin($C18)*Alloted(K$3,K$2,K$5)/Get_Margin(K$3,K$2,K$5,K$1))*Get_Margin(K$3,K$2,K$5,K$1))*$D$3,ROUNDDOWN((Client_Margin($C18)*Alloted(K$3,K$2,K$5)/Get_Margin(K$3,K$2,K$5,K$1)),0),ROUNDUP((Client_Margin($C18)*Alloted(K$3,K$2,K$5)/Get_Margin(K$3,K$2,K$5,K$1)),0)),"-")</f>
        <v>0</v>
      </c>
      <c r="L18" s="14" cm="1">
        <f t="array" ref="L18">IFERROR(IF(ROUNDUP((Client_Margin($C18)*Alloted(L$3,L$2,L$5)/Get_Margin(L$3,L$2,L$5,L$1)),0)*Get_Margin(L$3,L$2,L$5,L$1)&gt;((Client_Margin($C18)*Alloted(L$3,L$2,L$5)/Get_Margin(L$3,L$2,L$5,L$1))*Get_Margin(L$3,L$2,L$5,L$1))*$D$3,ROUNDDOWN((Client_Margin($C18)*Alloted(L$3,L$2,L$5)/Get_Margin(L$3,L$2,L$5,L$1)),0),ROUNDUP((Client_Margin($C18)*Alloted(L$3,L$2,L$5)/Get_Margin(L$3,L$2,L$5,L$1)),0)),"-")</f>
        <v>0</v>
      </c>
      <c r="M18" s="14" cm="1">
        <f t="array" ref="M18">IFERROR(IF(ROUNDUP((Client_Margin($C18)*Alloted(M$3,M$2,M$5)/Get_Margin(M$3,M$2,M$5,M$1)),0)*Get_Margin(M$3,M$2,M$5,M$1)&gt;((Client_Margin($C18)*Alloted(M$3,M$2,M$5)/Get_Margin(M$3,M$2,M$5,M$1))*Get_Margin(M$3,M$2,M$5,M$1))*$D$3,ROUNDDOWN((Client_Margin($C18)*Alloted(M$3,M$2,M$5)/Get_Margin(M$3,M$2,M$5,M$1)),0),ROUNDUP((Client_Margin($C18)*Alloted(M$3,M$2,M$5)/Get_Margin(M$3,M$2,M$5,M$1)),0)),"-")</f>
        <v>0</v>
      </c>
      <c r="N18" s="14" cm="1">
        <f t="array" ref="N18">IFERROR(IF(ROUNDUP((Client_Margin($C18)*Alloted(N$3,N$2,N$5)/Get_Margin(N$3,N$2,N$5,N$1)),0)*Get_Margin(N$3,N$2,N$5,N$1)&gt;((Client_Margin($C18)*Alloted(N$3,N$2,N$5)/Get_Margin(N$3,N$2,N$5,N$1))*Get_Margin(N$3,N$2,N$5,N$1))*$D$3,ROUNDDOWN((Client_Margin($C18)*Alloted(N$3,N$2,N$5)/Get_Margin(N$3,N$2,N$5,N$1)),0),ROUNDUP((Client_Margin($C18)*Alloted(N$3,N$2,N$5)/Get_Margin(N$3,N$2,N$5,N$1)),0)),"-")</f>
        <v>0</v>
      </c>
      <c r="O18" s="14" cm="1">
        <f t="array" ref="O18">IFERROR(IF(ROUNDUP((Client_Margin($C18)*Alloted(O$3,O$2,O$5)/Get_Margin(O$3,O$2,O$5,O$1)),0)*Get_Margin(O$3,O$2,O$5,O$1)&gt;((Client_Margin($C18)*Alloted(O$3,O$2,O$5)/Get_Margin(O$3,O$2,O$5,O$1))*Get_Margin(O$3,O$2,O$5,O$1))*$D$3,ROUNDDOWN((Client_Margin($C18)*Alloted(O$3,O$2,O$5)/Get_Margin(O$3,O$2,O$5,O$1)),0),ROUNDUP((Client_Margin($C18)*Alloted(O$3,O$2,O$5)/Get_Margin(O$3,O$2,O$5,O$1)),0)),"-")</f>
        <v>0</v>
      </c>
    </row>
    <row r="19" spans="1:15" hidden="1" x14ac:dyDescent="0.25">
      <c r="A19">
        <f>_xlfn.XLOOKUP(C19,'OI QTY'!$O$5:$O$21,'OI QTY'!$N$5:$N$21,"")</f>
        <v>0</v>
      </c>
      <c r="B19">
        <f t="shared" si="2"/>
        <v>0</v>
      </c>
      <c r="C19" s="14"/>
      <c r="D19" s="14"/>
      <c r="E19" s="15">
        <f>SUM(F19:O19)</f>
        <v>0.31341176470588233</v>
      </c>
      <c r="F19" s="15" t="str" cm="1">
        <f t="array" ref="F19">IFERROR((_xlfn._xlws.FILTER(INDEX(Margin[],0,MATCH(F$1&amp;"_"&amp;F$3,Margin[#Headers],0)),(Margin[Index]=F$2)*(Margin[Strategy]=F$5))*F18)/Client_Margin($C18),"-")</f>
        <v>-</v>
      </c>
      <c r="G19" s="15" t="str" cm="1">
        <f t="array" ref="G19">IFERROR((_xlfn._xlws.FILTER(INDEX(Margin[],0,MATCH(G$1&amp;"_"&amp;G$3,Margin[#Headers],0)),(Margin[Index]=G$2)*(Margin[Strategy]=G$5))*G18)/Client_Margin($C18),"-")</f>
        <v>-</v>
      </c>
      <c r="H19" s="15" cm="1">
        <f t="array" ref="H19">IFERROR((_xlfn._xlws.FILTER(INDEX(Margin[],0,MATCH(H$1&amp;"_"&amp;H$3,Margin[#Headers],0)),(Margin[Index]=H$2)*(Margin[Strategy]=H$5))*H18)/Client_Margin($C18),"-")</f>
        <v>0.10917647058823529</v>
      </c>
      <c r="I19" s="15" cm="1">
        <f t="array" ref="I19">IFERROR((_xlfn._xlws.FILTER(INDEX(Margin[],0,MATCH(I$1&amp;"_"&amp;I$3,Margin[#Headers],0)),(Margin[Index]=I$2)*(Margin[Strategy]=I$5))*I18)/Client_Margin($C18),"-")</f>
        <v>0.11011764705882353</v>
      </c>
      <c r="J19" s="15" cm="1">
        <f t="array" ref="J19">IFERROR((_xlfn._xlws.FILTER(INDEX(Margin[],0,MATCH(J$1&amp;"_"&amp;J$3,Margin[#Headers],0)),(Margin[Index]=J$2)*(Margin[Strategy]=J$5))*J18)/Client_Margin($C18),"-")</f>
        <v>9.4117647058823528E-2</v>
      </c>
      <c r="K19" s="15" cm="1">
        <f t="array" ref="K19">IFERROR((_xlfn._xlws.FILTER(INDEX(Margin[],0,MATCH(K$1&amp;"_"&amp;K$3,Margin[#Headers],0)),(Margin[Index]=K$2)*(Margin[Strategy]=K$5))*K18)/Client_Margin($C18),"-")</f>
        <v>0</v>
      </c>
      <c r="L19" s="15" cm="1">
        <f t="array" ref="L19">IFERROR((_xlfn._xlws.FILTER(INDEX(Margin[],0,MATCH(L$1&amp;"_"&amp;L$3,Margin[#Headers],0)),(Margin[Index]=L$2)*(Margin[Strategy]=L$5))*L18)/Client_Margin($C18),"-")</f>
        <v>0</v>
      </c>
      <c r="M19" s="15" cm="1">
        <f t="array" ref="M19">IFERROR((_xlfn._xlws.FILTER(INDEX(Margin[],0,MATCH(M$1&amp;"_"&amp;M$3,Margin[#Headers],0)),(Margin[Index]=M$2)*(Margin[Strategy]=M$5))*M18)/Client_Margin($C18),"-")</f>
        <v>0</v>
      </c>
      <c r="N19" s="15" cm="1">
        <f t="array" ref="N19">IFERROR((_xlfn._xlws.FILTER(INDEX(Margin[],0,MATCH(N$1&amp;"_"&amp;N$3,Margin[#Headers],0)),(Margin[Index]=N$2)*(Margin[Strategy]=N$5))*N18)/Client_Margin($C18),"-")</f>
        <v>0</v>
      </c>
      <c r="O19" s="15" cm="1">
        <f t="array" ref="O19">IFERROR((_xlfn._xlws.FILTER(INDEX(Margin[],0,MATCH(O$1&amp;"_"&amp;O$3,Margin[#Headers],0)),(Margin[Index]=O$2)*(Margin[Strategy]=O$5))*O18)/Client_Margin($C18),"-")</f>
        <v>0</v>
      </c>
    </row>
    <row r="20" spans="1:15" hidden="1" x14ac:dyDescent="0.25">
      <c r="A20" t="str">
        <f>_xlfn.XLOOKUP(C20,'OI QTY'!$O$5:$O$21,'OI QTY'!$N$5:$N$21,"")</f>
        <v/>
      </c>
      <c r="B20">
        <v>1</v>
      </c>
      <c r="C20" s="14" t="s">
        <v>117</v>
      </c>
      <c r="D20" s="14" cm="1">
        <f t="array" ref="D20">(_xlfn._xlws.FILTER(Fund[Margin],Fund[Client Id]=C20))/10000000</f>
        <v>2.8</v>
      </c>
      <c r="E20" s="17"/>
      <c r="F20" s="14" t="str" cm="1">
        <f t="array" ref="F20">IFERROR(IF(ROUNDUP((Client_Margin($C20)*Alloted(F$3,F$2,F$5)/Get_Margin(F$3,F$2,F$5,F$1)),0)*Get_Margin(F$3,F$2,F$5,F$1)&gt;((Client_Margin($C20)*Alloted(F$3,F$2,F$5)/Get_Margin(F$3,F$2,F$5,F$1))*Get_Margin(F$3,F$2,F$5,F$1))*$D$3,ROUNDDOWN((Client_Margin($C20)*Alloted(F$3,F$2,F$5)/Get_Margin(F$3,F$2,F$5,F$1)),0),ROUNDUP((Client_Margin($C20)*Alloted(F$3,F$2,F$5)/Get_Margin(F$3,F$2,F$5,F$1)),0)),"-")</f>
        <v>-</v>
      </c>
      <c r="G20" s="14" t="str" cm="1">
        <f t="array" ref="G20">IFERROR(IF(ROUNDUP((Client_Margin($C20)*Alloted(G$3,G$2,G$5)/Get_Margin(G$3,G$2,G$5,G$1)),0)*Get_Margin(G$3,G$2,G$5,G$1)&gt;((Client_Margin($C20)*Alloted(G$3,G$2,G$5)/Get_Margin(G$3,G$2,G$5,G$1))*Get_Margin(G$3,G$2,G$5,G$1))*$D$3,ROUNDDOWN((Client_Margin($C20)*Alloted(G$3,G$2,G$5)/Get_Margin(G$3,G$2,G$5,G$1)),0),ROUNDUP((Client_Margin($C20)*Alloted(G$3,G$2,G$5)/Get_Margin(G$3,G$2,G$5,G$1)),0)),"-")</f>
        <v>-</v>
      </c>
      <c r="H20" s="14" cm="1">
        <f t="array" ref="H20">IFERROR(IF(ROUNDUP((Client_Margin($C20)*Alloted(H$3,H$2,H$5)/Get_Margin(H$3,H$2,H$5,H$1)),0)*Get_Margin(H$3,H$2,H$5,H$1)&gt;((Client_Margin($C20)*Alloted(H$3,H$2,H$5)/Get_Margin(H$3,H$2,H$5,H$1))*Get_Margin(H$3,H$2,H$5,H$1))*$D$3,ROUNDDOWN((Client_Margin($C20)*Alloted(H$3,H$2,H$5)/Get_Margin(H$3,H$2,H$5,H$1)),0),ROUNDUP((Client_Margin($C20)*Alloted(H$3,H$2,H$5)/Get_Margin(H$3,H$2,H$5,H$1)),0)),"-")</f>
        <v>4</v>
      </c>
      <c r="I20" s="14" cm="1">
        <f t="array" ref="I20">IFERROR(IF(ROUNDUP((Client_Margin($C20)*Alloted(I$3,I$2,I$5)/Get_Margin(I$3,I$2,I$5,I$1)),0)*Get_Margin(I$3,I$2,I$5,I$1)&gt;((Client_Margin($C20)*Alloted(I$3,I$2,I$5)/Get_Margin(I$3,I$2,I$5,I$1))*Get_Margin(I$3,I$2,I$5,I$1))*$D$3,ROUNDDOWN((Client_Margin($C20)*Alloted(I$3,I$2,I$5)/Get_Margin(I$3,I$2,I$5,I$1)),0),ROUNDUP((Client_Margin($C20)*Alloted(I$3,I$2,I$5)/Get_Margin(I$3,I$2,I$5,I$1)),0)),"-")</f>
        <v>1</v>
      </c>
      <c r="J20" s="14" cm="1">
        <f t="array" ref="J20">IFERROR(IF(ROUNDUP((Client_Margin($C20)*Alloted(J$3,J$2,J$5)/Get_Margin(J$3,J$2,J$5,J$1)),0)*Get_Margin(J$3,J$2,J$5,J$1)&gt;((Client_Margin($C20)*Alloted(J$3,J$2,J$5)/Get_Margin(J$3,J$2,J$5,J$1))*Get_Margin(J$3,J$2,J$5,J$1))*$D$3,ROUNDDOWN((Client_Margin($C20)*Alloted(J$3,J$2,J$5)/Get_Margin(J$3,J$2,J$5,J$1)),0),ROUNDUP((Client_Margin($C20)*Alloted(J$3,J$2,J$5)/Get_Margin(J$3,J$2,J$5,J$1)),0)),"-")</f>
        <v>2</v>
      </c>
      <c r="K20" s="14" cm="1">
        <f t="array" ref="K20">IFERROR(IF(ROUNDUP((Client_Margin($C20)*Alloted(K$3,K$2,K$5)/Get_Margin(K$3,K$2,K$5,K$1)),0)*Get_Margin(K$3,K$2,K$5,K$1)&gt;((Client_Margin($C20)*Alloted(K$3,K$2,K$5)/Get_Margin(K$3,K$2,K$5,K$1))*Get_Margin(K$3,K$2,K$5,K$1))*$D$3,ROUNDDOWN((Client_Margin($C20)*Alloted(K$3,K$2,K$5)/Get_Margin(K$3,K$2,K$5,K$1)),0),ROUNDUP((Client_Margin($C20)*Alloted(K$3,K$2,K$5)/Get_Margin(K$3,K$2,K$5,K$1)),0)),"-")</f>
        <v>0</v>
      </c>
      <c r="L20" s="14" cm="1">
        <f t="array" ref="L20">IFERROR(IF(ROUNDUP((Client_Margin($C20)*Alloted(L$3,L$2,L$5)/Get_Margin(L$3,L$2,L$5,L$1)),0)*Get_Margin(L$3,L$2,L$5,L$1)&gt;((Client_Margin($C20)*Alloted(L$3,L$2,L$5)/Get_Margin(L$3,L$2,L$5,L$1))*Get_Margin(L$3,L$2,L$5,L$1))*$D$3,ROUNDDOWN((Client_Margin($C20)*Alloted(L$3,L$2,L$5)/Get_Margin(L$3,L$2,L$5,L$1)),0),ROUNDUP((Client_Margin($C20)*Alloted(L$3,L$2,L$5)/Get_Margin(L$3,L$2,L$5,L$1)),0)),"-")</f>
        <v>0</v>
      </c>
      <c r="M20" s="14" cm="1">
        <f t="array" ref="M20">IFERROR(IF(ROUNDUP((Client_Margin($C20)*Alloted(M$3,M$2,M$5)/Get_Margin(M$3,M$2,M$5,M$1)),0)*Get_Margin(M$3,M$2,M$5,M$1)&gt;((Client_Margin($C20)*Alloted(M$3,M$2,M$5)/Get_Margin(M$3,M$2,M$5,M$1))*Get_Margin(M$3,M$2,M$5,M$1))*$D$3,ROUNDDOWN((Client_Margin($C20)*Alloted(M$3,M$2,M$5)/Get_Margin(M$3,M$2,M$5,M$1)),0),ROUNDUP((Client_Margin($C20)*Alloted(M$3,M$2,M$5)/Get_Margin(M$3,M$2,M$5,M$1)),0)),"-")</f>
        <v>0</v>
      </c>
      <c r="N20" s="14" cm="1">
        <f t="array" ref="N20">IFERROR(IF(ROUNDUP((Client_Margin($C20)*Alloted(N$3,N$2,N$5)/Get_Margin(N$3,N$2,N$5,N$1)),0)*Get_Margin(N$3,N$2,N$5,N$1)&gt;((Client_Margin($C20)*Alloted(N$3,N$2,N$5)/Get_Margin(N$3,N$2,N$5,N$1))*Get_Margin(N$3,N$2,N$5,N$1))*$D$3,ROUNDDOWN((Client_Margin($C20)*Alloted(N$3,N$2,N$5)/Get_Margin(N$3,N$2,N$5,N$1)),0),ROUNDUP((Client_Margin($C20)*Alloted(N$3,N$2,N$5)/Get_Margin(N$3,N$2,N$5,N$1)),0)),"-")</f>
        <v>0</v>
      </c>
      <c r="O20" s="14" cm="1">
        <f t="array" ref="O20">IFERROR(IF(ROUNDUP((Client_Margin($C20)*Alloted(O$3,O$2,O$5)/Get_Margin(O$3,O$2,O$5,O$1)),0)*Get_Margin(O$3,O$2,O$5,O$1)&gt;((Client_Margin($C20)*Alloted(O$3,O$2,O$5)/Get_Margin(O$3,O$2,O$5,O$1))*Get_Margin(O$3,O$2,O$5,O$1))*$D$3,ROUNDDOWN((Client_Margin($C20)*Alloted(O$3,O$2,O$5)/Get_Margin(O$3,O$2,O$5,O$1)),0),ROUNDUP((Client_Margin($C20)*Alloted(O$3,O$2,O$5)/Get_Margin(O$3,O$2,O$5,O$1)),0)),"-")</f>
        <v>0</v>
      </c>
    </row>
    <row r="21" spans="1:15" hidden="1" x14ac:dyDescent="0.25">
      <c r="A21">
        <f>_xlfn.XLOOKUP(C21,'OI QTY'!$O$5:$O$21,'OI QTY'!$N$5:$N$21,"")</f>
        <v>0</v>
      </c>
      <c r="B21">
        <v>0</v>
      </c>
      <c r="C21" s="14"/>
      <c r="D21" s="14"/>
      <c r="E21" s="15">
        <f>SUM(F21:O21)</f>
        <v>0.28057142857142853</v>
      </c>
      <c r="F21" s="15" t="str" cm="1">
        <f t="array" ref="F21">IFERROR((_xlfn._xlws.FILTER(INDEX(Margin[],0,MATCH(F$1&amp;"_"&amp;F$3,Margin[#Headers],0)),(Margin[Index]=F$2)*(Margin[Strategy]=F$5))*F20)/Client_Margin($C20),"-")</f>
        <v>-</v>
      </c>
      <c r="G21" s="15" t="str" cm="1">
        <f t="array" ref="G21">IFERROR((_xlfn._xlws.FILTER(INDEX(Margin[],0,MATCH(G$1&amp;"_"&amp;G$3,Margin[#Headers],0)),(Margin[Index]=G$2)*(Margin[Strategy]=G$5))*G20)/Client_Margin($C20),"-")</f>
        <v>-</v>
      </c>
      <c r="H21" s="15" cm="1">
        <f t="array" ref="H21">IFERROR((_xlfn._xlws.FILTER(INDEX(Margin[],0,MATCH(H$1&amp;"_"&amp;H$3,Margin[#Headers],0)),(Margin[Index]=H$2)*(Margin[Strategy]=H$5))*H20)/Client_Margin($C20),"-")</f>
        <v>9.9428571428571422E-2</v>
      </c>
      <c r="I21" s="15" cm="1">
        <f t="array" ref="I21">IFERROR((_xlfn._xlws.FILTER(INDEX(Margin[],0,MATCH(I$1&amp;"_"&amp;I$3,Margin[#Headers],0)),(Margin[Index]=I$2)*(Margin[Strategy]=I$5))*I20)/Client_Margin($C20),"-")</f>
        <v>6.6857142857142851E-2</v>
      </c>
      <c r="J21" s="15" cm="1">
        <f t="array" ref="J21">IFERROR((_xlfn._xlws.FILTER(INDEX(Margin[],0,MATCH(J$1&amp;"_"&amp;J$3,Margin[#Headers],0)),(Margin[Index]=J$2)*(Margin[Strategy]=J$5))*J20)/Client_Margin($C20),"-")</f>
        <v>0.11428571428571428</v>
      </c>
      <c r="K21" s="15" cm="1">
        <f t="array" ref="K21">IFERROR((_xlfn._xlws.FILTER(INDEX(Margin[],0,MATCH(K$1&amp;"_"&amp;K$3,Margin[#Headers],0)),(Margin[Index]=K$2)*(Margin[Strategy]=K$5))*K20)/Client_Margin($C20),"-")</f>
        <v>0</v>
      </c>
      <c r="L21" s="15" cm="1">
        <f t="array" ref="L21">IFERROR((_xlfn._xlws.FILTER(INDEX(Margin[],0,MATCH(L$1&amp;"_"&amp;L$3,Margin[#Headers],0)),(Margin[Index]=L$2)*(Margin[Strategy]=L$5))*L20)/Client_Margin($C20),"-")</f>
        <v>0</v>
      </c>
      <c r="M21" s="15" cm="1">
        <f t="array" ref="M21">IFERROR((_xlfn._xlws.FILTER(INDEX(Margin[],0,MATCH(M$1&amp;"_"&amp;M$3,Margin[#Headers],0)),(Margin[Index]=M$2)*(Margin[Strategy]=M$5))*M20)/Client_Margin($C20),"-")</f>
        <v>0</v>
      </c>
      <c r="N21" s="15" cm="1">
        <f t="array" ref="N21">IFERROR((_xlfn._xlws.FILTER(INDEX(Margin[],0,MATCH(N$1&amp;"_"&amp;N$3,Margin[#Headers],0)),(Margin[Index]=N$2)*(Margin[Strategy]=N$5))*N20)/Client_Margin($C20),"-")</f>
        <v>0</v>
      </c>
      <c r="O21" s="15" cm="1">
        <f t="array" ref="O21">IFERROR((_xlfn._xlws.FILTER(INDEX(Margin[],0,MATCH(O$1&amp;"_"&amp;O$3,Margin[#Headers],0)),(Margin[Index]=O$2)*(Margin[Strategy]=O$5))*O20)/Client_Margin($C20),"-")</f>
        <v>0</v>
      </c>
    </row>
    <row r="22" spans="1:15" hidden="1" x14ac:dyDescent="0.25">
      <c r="A22" t="str">
        <f>_xlfn.XLOOKUP(C22,'OI QTY'!$O$5:$O$21,'OI QTY'!$N$5:$N$21,"")</f>
        <v/>
      </c>
      <c r="B22">
        <f t="shared" si="2"/>
        <v>1</v>
      </c>
      <c r="C22" s="14" t="s">
        <v>28</v>
      </c>
      <c r="D22" s="14" cm="1">
        <f t="array" ref="D22">(_xlfn._xlws.FILTER(Fund[Margin],Fund[Client Id]=C22))/10000000</f>
        <v>2.8</v>
      </c>
      <c r="E22" s="17"/>
      <c r="F22" s="14" t="str" cm="1">
        <f t="array" ref="F22">IFERROR(IF(ROUNDUP((Client_Margin($C22)*Alloted(F$3,F$2,F$5)/Get_Margin(F$3,F$2,F$5,F$1)),0)*Get_Margin(F$3,F$2,F$5,F$1)&gt;((Client_Margin($C22)*Alloted(F$3,F$2,F$5)/Get_Margin(F$3,F$2,F$5,F$1))*Get_Margin(F$3,F$2,F$5,F$1))*$D$3,ROUNDDOWN((Client_Margin($C22)*Alloted(F$3,F$2,F$5)/Get_Margin(F$3,F$2,F$5,F$1)),0),ROUNDUP((Client_Margin($C22)*Alloted(F$3,F$2,F$5)/Get_Margin(F$3,F$2,F$5,F$1)),0)),"-")</f>
        <v>-</v>
      </c>
      <c r="G22" s="14" t="str" cm="1">
        <f t="array" ref="G22">IFERROR(IF(ROUNDUP((Client_Margin($C22)*Alloted(G$3,G$2,G$5)/Get_Margin(G$3,G$2,G$5,G$1)),0)*Get_Margin(G$3,G$2,G$5,G$1)&gt;((Client_Margin($C22)*Alloted(G$3,G$2,G$5)/Get_Margin(G$3,G$2,G$5,G$1))*Get_Margin(G$3,G$2,G$5,G$1))*$D$3,ROUNDDOWN((Client_Margin($C22)*Alloted(G$3,G$2,G$5)/Get_Margin(G$3,G$2,G$5,G$1)),0),ROUNDUP((Client_Margin($C22)*Alloted(G$3,G$2,G$5)/Get_Margin(G$3,G$2,G$5,G$1)),0)),"-")</f>
        <v>-</v>
      </c>
      <c r="H22" s="14" cm="1">
        <f t="array" ref="H22">IFERROR(IF(ROUNDUP((Client_Margin($C22)*Alloted(H$3,H$2,H$5)/Get_Margin(H$3,H$2,H$5,H$1)),0)*Get_Margin(H$3,H$2,H$5,H$1)&gt;((Client_Margin($C22)*Alloted(H$3,H$2,H$5)/Get_Margin(H$3,H$2,H$5,H$1))*Get_Margin(H$3,H$2,H$5,H$1))*$D$3,ROUNDDOWN((Client_Margin($C22)*Alloted(H$3,H$2,H$5)/Get_Margin(H$3,H$2,H$5,H$1)),0),ROUNDUP((Client_Margin($C22)*Alloted(H$3,H$2,H$5)/Get_Margin(H$3,H$2,H$5,H$1)),0)),"-")</f>
        <v>4</v>
      </c>
      <c r="I22" s="14" cm="1">
        <f t="array" ref="I22">IFERROR(IF(ROUNDUP((Client_Margin($C22)*Alloted(I$3,I$2,I$5)/Get_Margin(I$3,I$2,I$5,I$1)),0)*Get_Margin(I$3,I$2,I$5,I$1)&gt;((Client_Margin($C22)*Alloted(I$3,I$2,I$5)/Get_Margin(I$3,I$2,I$5,I$1))*Get_Margin(I$3,I$2,I$5,I$1))*$D$3,ROUNDDOWN((Client_Margin($C22)*Alloted(I$3,I$2,I$5)/Get_Margin(I$3,I$2,I$5,I$1)),0),ROUNDUP((Client_Margin($C22)*Alloted(I$3,I$2,I$5)/Get_Margin(I$3,I$2,I$5,I$1)),0)),"-")</f>
        <v>1</v>
      </c>
      <c r="J22" s="14" cm="1">
        <f t="array" ref="J22">IFERROR(IF(ROUNDUP((Client_Margin($C22)*Alloted(J$3,J$2,J$5)/Get_Margin(J$3,J$2,J$5,J$1)),0)*Get_Margin(J$3,J$2,J$5,J$1)&gt;((Client_Margin($C22)*Alloted(J$3,J$2,J$5)/Get_Margin(J$3,J$2,J$5,J$1))*Get_Margin(J$3,J$2,J$5,J$1))*$D$3,ROUNDDOWN((Client_Margin($C22)*Alloted(J$3,J$2,J$5)/Get_Margin(J$3,J$2,J$5,J$1)),0),ROUNDUP((Client_Margin($C22)*Alloted(J$3,J$2,J$5)/Get_Margin(J$3,J$2,J$5,J$1)),0)),"-")</f>
        <v>2</v>
      </c>
      <c r="K22" s="14" cm="1">
        <f t="array" ref="K22">IFERROR(IF(ROUNDUP((Client_Margin($C22)*Alloted(K$3,K$2,K$5)/Get_Margin(K$3,K$2,K$5,K$1)),0)*Get_Margin(K$3,K$2,K$5,K$1)&gt;((Client_Margin($C22)*Alloted(K$3,K$2,K$5)/Get_Margin(K$3,K$2,K$5,K$1))*Get_Margin(K$3,K$2,K$5,K$1))*$D$3,ROUNDDOWN((Client_Margin($C22)*Alloted(K$3,K$2,K$5)/Get_Margin(K$3,K$2,K$5,K$1)),0),ROUNDUP((Client_Margin($C22)*Alloted(K$3,K$2,K$5)/Get_Margin(K$3,K$2,K$5,K$1)),0)),"-")</f>
        <v>0</v>
      </c>
      <c r="L22" s="14" cm="1">
        <f t="array" ref="L22">IFERROR(IF(ROUNDUP((Client_Margin($C22)*Alloted(L$3,L$2,L$5)/Get_Margin(L$3,L$2,L$5,L$1)),0)*Get_Margin(L$3,L$2,L$5,L$1)&gt;((Client_Margin($C22)*Alloted(L$3,L$2,L$5)/Get_Margin(L$3,L$2,L$5,L$1))*Get_Margin(L$3,L$2,L$5,L$1))*$D$3,ROUNDDOWN((Client_Margin($C22)*Alloted(L$3,L$2,L$5)/Get_Margin(L$3,L$2,L$5,L$1)),0),ROUNDUP((Client_Margin($C22)*Alloted(L$3,L$2,L$5)/Get_Margin(L$3,L$2,L$5,L$1)),0)),"-")</f>
        <v>0</v>
      </c>
      <c r="M22" s="14" cm="1">
        <f t="array" ref="M22">IFERROR(IF(ROUNDUP((Client_Margin($C22)*Alloted(M$3,M$2,M$5)/Get_Margin(M$3,M$2,M$5,M$1)),0)*Get_Margin(M$3,M$2,M$5,M$1)&gt;((Client_Margin($C22)*Alloted(M$3,M$2,M$5)/Get_Margin(M$3,M$2,M$5,M$1))*Get_Margin(M$3,M$2,M$5,M$1))*$D$3,ROUNDDOWN((Client_Margin($C22)*Alloted(M$3,M$2,M$5)/Get_Margin(M$3,M$2,M$5,M$1)),0),ROUNDUP((Client_Margin($C22)*Alloted(M$3,M$2,M$5)/Get_Margin(M$3,M$2,M$5,M$1)),0)),"-")</f>
        <v>0</v>
      </c>
      <c r="N22" s="14" cm="1">
        <f t="array" ref="N22">IFERROR(IF(ROUNDUP((Client_Margin($C22)*Alloted(N$3,N$2,N$5)/Get_Margin(N$3,N$2,N$5,N$1)),0)*Get_Margin(N$3,N$2,N$5,N$1)&gt;((Client_Margin($C22)*Alloted(N$3,N$2,N$5)/Get_Margin(N$3,N$2,N$5,N$1))*Get_Margin(N$3,N$2,N$5,N$1))*$D$3,ROUNDDOWN((Client_Margin($C22)*Alloted(N$3,N$2,N$5)/Get_Margin(N$3,N$2,N$5,N$1)),0),ROUNDUP((Client_Margin($C22)*Alloted(N$3,N$2,N$5)/Get_Margin(N$3,N$2,N$5,N$1)),0)),"-")</f>
        <v>0</v>
      </c>
      <c r="O22" s="14" cm="1">
        <f t="array" ref="O22">IFERROR(IF(ROUNDUP((Client_Margin($C22)*Alloted(O$3,O$2,O$5)/Get_Margin(O$3,O$2,O$5,O$1)),0)*Get_Margin(O$3,O$2,O$5,O$1)&gt;((Client_Margin($C22)*Alloted(O$3,O$2,O$5)/Get_Margin(O$3,O$2,O$5,O$1))*Get_Margin(O$3,O$2,O$5,O$1))*$D$3,ROUNDDOWN((Client_Margin($C22)*Alloted(O$3,O$2,O$5)/Get_Margin(O$3,O$2,O$5,O$1)),0),ROUNDUP((Client_Margin($C22)*Alloted(O$3,O$2,O$5)/Get_Margin(O$3,O$2,O$5,O$1)),0)),"-")</f>
        <v>0</v>
      </c>
    </row>
    <row r="23" spans="1:15" hidden="1" x14ac:dyDescent="0.25">
      <c r="A23">
        <f>_xlfn.XLOOKUP(C23,'OI QTY'!$O$5:$O$21,'OI QTY'!$N$5:$N$21,"")</f>
        <v>0</v>
      </c>
      <c r="B23">
        <f t="shared" si="2"/>
        <v>0</v>
      </c>
      <c r="C23" s="14"/>
      <c r="D23" s="14"/>
      <c r="E23" s="15">
        <f>SUM(F23:O23)</f>
        <v>0.28057142857142853</v>
      </c>
      <c r="F23" s="15" t="str" cm="1">
        <f t="array" ref="F23">IFERROR((_xlfn._xlws.FILTER(INDEX(Margin[],0,MATCH(F$1&amp;"_"&amp;F$3,Margin[#Headers],0)),(Margin[Index]=F$2)*(Margin[Strategy]=F$5))*F22)/Client_Margin($C22),"-")</f>
        <v>-</v>
      </c>
      <c r="G23" s="15" t="str" cm="1">
        <f t="array" ref="G23">IFERROR((_xlfn._xlws.FILTER(INDEX(Margin[],0,MATCH(G$1&amp;"_"&amp;G$3,Margin[#Headers],0)),(Margin[Index]=G$2)*(Margin[Strategy]=G$5))*G22)/Client_Margin($C22),"-")</f>
        <v>-</v>
      </c>
      <c r="H23" s="15" cm="1">
        <f t="array" ref="H23">IFERROR((_xlfn._xlws.FILTER(INDEX(Margin[],0,MATCH(H$1&amp;"_"&amp;H$3,Margin[#Headers],0)),(Margin[Index]=H$2)*(Margin[Strategy]=H$5))*H22)/Client_Margin($C22),"-")</f>
        <v>9.9428571428571422E-2</v>
      </c>
      <c r="I23" s="15" cm="1">
        <f t="array" ref="I23">IFERROR((_xlfn._xlws.FILTER(INDEX(Margin[],0,MATCH(I$1&amp;"_"&amp;I$3,Margin[#Headers],0)),(Margin[Index]=I$2)*(Margin[Strategy]=I$5))*I22)/Client_Margin($C22),"-")</f>
        <v>6.6857142857142851E-2</v>
      </c>
      <c r="J23" s="15" cm="1">
        <f t="array" ref="J23">IFERROR((_xlfn._xlws.FILTER(INDEX(Margin[],0,MATCH(J$1&amp;"_"&amp;J$3,Margin[#Headers],0)),(Margin[Index]=J$2)*(Margin[Strategy]=J$5))*J22)/Client_Margin($C22),"-")</f>
        <v>0.11428571428571428</v>
      </c>
      <c r="K23" s="15" cm="1">
        <f t="array" ref="K23">IFERROR((_xlfn._xlws.FILTER(INDEX(Margin[],0,MATCH(K$1&amp;"_"&amp;K$3,Margin[#Headers],0)),(Margin[Index]=K$2)*(Margin[Strategy]=K$5))*K22)/Client_Margin($C22),"-")</f>
        <v>0</v>
      </c>
      <c r="L23" s="15" cm="1">
        <f t="array" ref="L23">IFERROR((_xlfn._xlws.FILTER(INDEX(Margin[],0,MATCH(L$1&amp;"_"&amp;L$3,Margin[#Headers],0)),(Margin[Index]=L$2)*(Margin[Strategy]=L$5))*L22)/Client_Margin($C22),"-")</f>
        <v>0</v>
      </c>
      <c r="M23" s="15" cm="1">
        <f t="array" ref="M23">IFERROR((_xlfn._xlws.FILTER(INDEX(Margin[],0,MATCH(M$1&amp;"_"&amp;M$3,Margin[#Headers],0)),(Margin[Index]=M$2)*(Margin[Strategy]=M$5))*M22)/Client_Margin($C22),"-")</f>
        <v>0</v>
      </c>
      <c r="N23" s="15" cm="1">
        <f t="array" ref="N23">IFERROR((_xlfn._xlws.FILTER(INDEX(Margin[],0,MATCH(N$1&amp;"_"&amp;N$3,Margin[#Headers],0)),(Margin[Index]=N$2)*(Margin[Strategy]=N$5))*N22)/Client_Margin($C22),"-")</f>
        <v>0</v>
      </c>
      <c r="O23" s="15" cm="1">
        <f t="array" ref="O23">IFERROR((_xlfn._xlws.FILTER(INDEX(Margin[],0,MATCH(O$1&amp;"_"&amp;O$3,Margin[#Headers],0)),(Margin[Index]=O$2)*(Margin[Strategy]=O$5))*O22)/Client_Margin($C22),"-")</f>
        <v>0</v>
      </c>
    </row>
    <row r="24" spans="1:15" x14ac:dyDescent="0.25">
      <c r="A24" t="str">
        <f>_xlfn.XLOOKUP(C24,'OI QTY'!$O$5:$O$21,'OI QTY'!$N$5:$N$21,"")</f>
        <v>K</v>
      </c>
      <c r="B24">
        <f t="shared" si="2"/>
        <v>1</v>
      </c>
      <c r="C24" s="14" t="s">
        <v>122</v>
      </c>
      <c r="D24" s="14" cm="1">
        <f t="array" ref="D24">(_xlfn._xlws.FILTER(Fund[Margin],Fund[Client Id]=C24))/10000000</f>
        <v>2.65</v>
      </c>
      <c r="E24" s="17"/>
      <c r="F24" s="14" t="str" cm="1">
        <f t="array" ref="F24">IFERROR(IF(ROUNDUP((Client_Margin($C24)*Alloted(F$3,F$2,F$5)/Get_Margin(F$3,F$2,F$5,F$1)),0)*Get_Margin(F$3,F$2,F$5,F$1)&gt;((Client_Margin($C24)*Alloted(F$3,F$2,F$5)/Get_Margin(F$3,F$2,F$5,F$1))*Get_Margin(F$3,F$2,F$5,F$1))*$D$3,ROUNDDOWN((Client_Margin($C24)*Alloted(F$3,F$2,F$5)/Get_Margin(F$3,F$2,F$5,F$1)),0),ROUNDUP((Client_Margin($C24)*Alloted(F$3,F$2,F$5)/Get_Margin(F$3,F$2,F$5,F$1)),0)),"-")</f>
        <v>-</v>
      </c>
      <c r="G24" s="14" t="str" cm="1">
        <f t="array" ref="G24">IFERROR(IF(ROUNDUP((Client_Margin($C24)*Alloted(G$3,G$2,G$5)/Get_Margin(G$3,G$2,G$5,G$1)),0)*Get_Margin(G$3,G$2,G$5,G$1)&gt;((Client_Margin($C24)*Alloted(G$3,G$2,G$5)/Get_Margin(G$3,G$2,G$5,G$1))*Get_Margin(G$3,G$2,G$5,G$1))*$D$3,ROUNDDOWN((Client_Margin($C24)*Alloted(G$3,G$2,G$5)/Get_Margin(G$3,G$2,G$5,G$1)),0),ROUNDUP((Client_Margin($C24)*Alloted(G$3,G$2,G$5)/Get_Margin(G$3,G$2,G$5,G$1)),0)),"-")</f>
        <v>-</v>
      </c>
      <c r="H24" s="14" cm="1">
        <f t="array" ref="H24">IFERROR(IF(ROUNDUP((Client_Margin($C24)*Alloted(H$3,H$2,H$5)/Get_Margin(H$3,H$2,H$5,H$1)),0)*Get_Margin(H$3,H$2,H$5,H$1)&gt;((Client_Margin($C24)*Alloted(H$3,H$2,H$5)/Get_Margin(H$3,H$2,H$5,H$1))*Get_Margin(H$3,H$2,H$5,H$1))*$D$3,ROUNDDOWN((Client_Margin($C24)*Alloted(H$3,H$2,H$5)/Get_Margin(H$3,H$2,H$5,H$1)),0),ROUNDUP((Client_Margin($C24)*Alloted(H$3,H$2,H$5)/Get_Margin(H$3,H$2,H$5,H$1)),0)),"-")</f>
        <v>4</v>
      </c>
      <c r="I24" s="14" cm="1">
        <f t="array" ref="I24">IFERROR(IF(ROUNDUP((Client_Margin($C24)*Alloted(I$3,I$2,I$5)/Get_Margin(I$3,I$2,I$5,I$1)),0)*Get_Margin(I$3,I$2,I$5,I$1)&gt;((Client_Margin($C24)*Alloted(I$3,I$2,I$5)/Get_Margin(I$3,I$2,I$5,I$1))*Get_Margin(I$3,I$2,I$5,I$1))*$D$3,ROUNDDOWN((Client_Margin($C24)*Alloted(I$3,I$2,I$5)/Get_Margin(I$3,I$2,I$5,I$1)),0),ROUNDUP((Client_Margin($C24)*Alloted(I$3,I$2,I$5)/Get_Margin(I$3,I$2,I$5,I$1)),0)),"-")</f>
        <v>1</v>
      </c>
      <c r="J24" s="14" cm="1">
        <f t="array" ref="J24">IFERROR(IF(ROUNDUP((Client_Margin($C24)*Alloted(J$3,J$2,J$5)/Get_Margin(J$3,J$2,J$5,J$1)),0)*Get_Margin(J$3,J$2,J$5,J$1)&gt;((Client_Margin($C24)*Alloted(J$3,J$2,J$5)/Get_Margin(J$3,J$2,J$5,J$1))*Get_Margin(J$3,J$2,J$5,J$1))*$D$3,ROUNDDOWN((Client_Margin($C24)*Alloted(J$3,J$2,J$5)/Get_Margin(J$3,J$2,J$5,J$1)),0),ROUNDUP((Client_Margin($C24)*Alloted(J$3,J$2,J$5)/Get_Margin(J$3,J$2,J$5,J$1)),0)),"-")</f>
        <v>1</v>
      </c>
      <c r="K24" s="14" cm="1">
        <f t="array" ref="K24">IFERROR(IF(ROUNDUP((Client_Margin($C24)*Alloted(K$3,K$2,K$5)/Get_Margin(K$3,K$2,K$5,K$1)),0)*Get_Margin(K$3,K$2,K$5,K$1)&gt;((Client_Margin($C24)*Alloted(K$3,K$2,K$5)/Get_Margin(K$3,K$2,K$5,K$1))*Get_Margin(K$3,K$2,K$5,K$1))*$D$3,ROUNDDOWN((Client_Margin($C24)*Alloted(K$3,K$2,K$5)/Get_Margin(K$3,K$2,K$5,K$1)),0),ROUNDUP((Client_Margin($C24)*Alloted(K$3,K$2,K$5)/Get_Margin(K$3,K$2,K$5,K$1)),0)),"-")</f>
        <v>0</v>
      </c>
      <c r="L24" s="14" cm="1">
        <f t="array" ref="L24">IFERROR(IF(ROUNDUP((Client_Margin($C24)*Alloted(L$3,L$2,L$5)/Get_Margin(L$3,L$2,L$5,L$1)),0)*Get_Margin(L$3,L$2,L$5,L$1)&gt;((Client_Margin($C24)*Alloted(L$3,L$2,L$5)/Get_Margin(L$3,L$2,L$5,L$1))*Get_Margin(L$3,L$2,L$5,L$1))*$D$3,ROUNDDOWN((Client_Margin($C24)*Alloted(L$3,L$2,L$5)/Get_Margin(L$3,L$2,L$5,L$1)),0),ROUNDUP((Client_Margin($C24)*Alloted(L$3,L$2,L$5)/Get_Margin(L$3,L$2,L$5,L$1)),0)),"-")</f>
        <v>0</v>
      </c>
      <c r="M24" s="14" cm="1">
        <f t="array" ref="M24">IFERROR(IF(ROUNDUP((Client_Margin($C24)*Alloted(M$3,M$2,M$5)/Get_Margin(M$3,M$2,M$5,M$1)),0)*Get_Margin(M$3,M$2,M$5,M$1)&gt;((Client_Margin($C24)*Alloted(M$3,M$2,M$5)/Get_Margin(M$3,M$2,M$5,M$1))*Get_Margin(M$3,M$2,M$5,M$1))*$D$3,ROUNDDOWN((Client_Margin($C24)*Alloted(M$3,M$2,M$5)/Get_Margin(M$3,M$2,M$5,M$1)),0),ROUNDUP((Client_Margin($C24)*Alloted(M$3,M$2,M$5)/Get_Margin(M$3,M$2,M$5,M$1)),0)),"-")</f>
        <v>0</v>
      </c>
      <c r="N24" s="14" cm="1">
        <f t="array" ref="N24">IFERROR(IF(ROUNDUP((Client_Margin($C24)*Alloted(N$3,N$2,N$5)/Get_Margin(N$3,N$2,N$5,N$1)),0)*Get_Margin(N$3,N$2,N$5,N$1)&gt;((Client_Margin($C24)*Alloted(N$3,N$2,N$5)/Get_Margin(N$3,N$2,N$5,N$1))*Get_Margin(N$3,N$2,N$5,N$1))*$D$3,ROUNDDOWN((Client_Margin($C24)*Alloted(N$3,N$2,N$5)/Get_Margin(N$3,N$2,N$5,N$1)),0),ROUNDUP((Client_Margin($C24)*Alloted(N$3,N$2,N$5)/Get_Margin(N$3,N$2,N$5,N$1)),0)),"-")</f>
        <v>0</v>
      </c>
      <c r="O24" s="14" cm="1">
        <f t="array" ref="O24">IFERROR(IF(ROUNDUP((Client_Margin($C24)*Alloted(O$3,O$2,O$5)/Get_Margin(O$3,O$2,O$5,O$1)),0)*Get_Margin(O$3,O$2,O$5,O$1)&gt;((Client_Margin($C24)*Alloted(O$3,O$2,O$5)/Get_Margin(O$3,O$2,O$5,O$1))*Get_Margin(O$3,O$2,O$5,O$1))*$D$3,ROUNDDOWN((Client_Margin($C24)*Alloted(O$3,O$2,O$5)/Get_Margin(O$3,O$2,O$5,O$1)),0),ROUNDUP((Client_Margin($C24)*Alloted(O$3,O$2,O$5)/Get_Margin(O$3,O$2,O$5,O$1)),0)),"-")</f>
        <v>0</v>
      </c>
    </row>
    <row r="25" spans="1:15" hidden="1" x14ac:dyDescent="0.25">
      <c r="A25">
        <f>_xlfn.XLOOKUP(C25,'OI QTY'!$O$5:$O$21,'OI QTY'!$N$5:$N$21,"")</f>
        <v>0</v>
      </c>
      <c r="B25">
        <f t="shared" si="2"/>
        <v>0</v>
      </c>
      <c r="C25" s="14"/>
      <c r="D25" s="14"/>
      <c r="E25" s="15">
        <f>SUM(F25:O25)</f>
        <v>0.23607547169811322</v>
      </c>
      <c r="F25" s="15" t="str" cm="1">
        <f t="array" ref="F25">IFERROR((_xlfn._xlws.FILTER(INDEX(Margin[],0,MATCH(F$1&amp;"_"&amp;F$3,Margin[#Headers],0)),(Margin[Index]=F$2)*(Margin[Strategy]=F$5))*F24)/Client_Margin($C24),"-")</f>
        <v>-</v>
      </c>
      <c r="G25" s="15" t="str" cm="1">
        <f t="array" ref="G25">IFERROR((_xlfn._xlws.FILTER(INDEX(Margin[],0,MATCH(G$1&amp;"_"&amp;G$3,Margin[#Headers],0)),(Margin[Index]=G$2)*(Margin[Strategy]=G$5))*G24)/Client_Margin($C24),"-")</f>
        <v>-</v>
      </c>
      <c r="H25" s="15" cm="1">
        <f t="array" ref="H25">IFERROR((_xlfn._xlws.FILTER(INDEX(Margin[],0,MATCH(H$1&amp;"_"&amp;H$3,Margin[#Headers],0)),(Margin[Index]=H$2)*(Margin[Strategy]=H$5))*H24)/Client_Margin($C24),"-")</f>
        <v>0.1050566037735849</v>
      </c>
      <c r="I25" s="15" cm="1">
        <f t="array" ref="I25">IFERROR((_xlfn._xlws.FILTER(INDEX(Margin[],0,MATCH(I$1&amp;"_"&amp;I$3,Margin[#Headers],0)),(Margin[Index]=I$2)*(Margin[Strategy]=I$5))*I24)/Client_Margin($C24),"-")</f>
        <v>7.064150943396226E-2</v>
      </c>
      <c r="J25" s="15" cm="1">
        <f t="array" ref="J25">IFERROR((_xlfn._xlws.FILTER(INDEX(Margin[],0,MATCH(J$1&amp;"_"&amp;J$3,Margin[#Headers],0)),(Margin[Index]=J$2)*(Margin[Strategy]=J$5))*J24)/Client_Margin($C24),"-")</f>
        <v>6.0377358490566038E-2</v>
      </c>
      <c r="K25" s="15" cm="1">
        <f t="array" ref="K25">IFERROR((_xlfn._xlws.FILTER(INDEX(Margin[],0,MATCH(K$1&amp;"_"&amp;K$3,Margin[#Headers],0)),(Margin[Index]=K$2)*(Margin[Strategy]=K$5))*K24)/Client_Margin($C24),"-")</f>
        <v>0</v>
      </c>
      <c r="L25" s="15" cm="1">
        <f t="array" ref="L25">IFERROR((_xlfn._xlws.FILTER(INDEX(Margin[],0,MATCH(L$1&amp;"_"&amp;L$3,Margin[#Headers],0)),(Margin[Index]=L$2)*(Margin[Strategy]=L$5))*L24)/Client_Margin($C24),"-")</f>
        <v>0</v>
      </c>
      <c r="M25" s="15" cm="1">
        <f t="array" ref="M25">IFERROR((_xlfn._xlws.FILTER(INDEX(Margin[],0,MATCH(M$1&amp;"_"&amp;M$3,Margin[#Headers],0)),(Margin[Index]=M$2)*(Margin[Strategy]=M$5))*M24)/Client_Margin($C24),"-")</f>
        <v>0</v>
      </c>
      <c r="N25" s="15" cm="1">
        <f t="array" ref="N25">IFERROR((_xlfn._xlws.FILTER(INDEX(Margin[],0,MATCH(N$1&amp;"_"&amp;N$3,Margin[#Headers],0)),(Margin[Index]=N$2)*(Margin[Strategy]=N$5))*N24)/Client_Margin($C24),"-")</f>
        <v>0</v>
      </c>
      <c r="O25" s="15" cm="1">
        <f t="array" ref="O25">IFERROR((_xlfn._xlws.FILTER(INDEX(Margin[],0,MATCH(O$1&amp;"_"&amp;O$3,Margin[#Headers],0)),(Margin[Index]=O$2)*(Margin[Strategy]=O$5))*O24)/Client_Margin($C24),"-")</f>
        <v>0</v>
      </c>
    </row>
    <row r="26" spans="1:15" hidden="1" x14ac:dyDescent="0.25">
      <c r="A26" t="str">
        <f>_xlfn.XLOOKUP(C26,'OI QTY'!$O$5:$O$21,'OI QTY'!$N$5:$N$21,"")</f>
        <v/>
      </c>
      <c r="B26">
        <f t="shared" si="2"/>
        <v>1</v>
      </c>
      <c r="C26" s="14" t="s">
        <v>53</v>
      </c>
      <c r="D26" s="14" cm="1">
        <f t="array" ref="D26">(_xlfn._xlws.FILTER(Fund[Margin],Fund[Client Id]=C26))/10000000</f>
        <v>2.4</v>
      </c>
      <c r="E26" s="17"/>
      <c r="F26" s="14" t="str" cm="1">
        <f t="array" ref="F26">IFERROR(IF(ROUNDUP((Client_Margin($C26)*Alloted(F$3,F$2,F$5)/Get_Margin(F$3,F$2,F$5,F$1)),0)*Get_Margin(F$3,F$2,F$5,F$1)&gt;((Client_Margin($C26)*Alloted(F$3,F$2,F$5)/Get_Margin(F$3,F$2,F$5,F$1))*Get_Margin(F$3,F$2,F$5,F$1))*$D$3,ROUNDDOWN((Client_Margin($C26)*Alloted(F$3,F$2,F$5)/Get_Margin(F$3,F$2,F$5,F$1)),0),ROUNDUP((Client_Margin($C26)*Alloted(F$3,F$2,F$5)/Get_Margin(F$3,F$2,F$5,F$1)),0)),"-")</f>
        <v>-</v>
      </c>
      <c r="G26" s="14" t="str" cm="1">
        <f t="array" ref="G26">IFERROR(IF(ROUNDUP((Client_Margin($C26)*Alloted(G$3,G$2,G$5)/Get_Margin(G$3,G$2,G$5,G$1)),0)*Get_Margin(G$3,G$2,G$5,G$1)&gt;((Client_Margin($C26)*Alloted(G$3,G$2,G$5)/Get_Margin(G$3,G$2,G$5,G$1))*Get_Margin(G$3,G$2,G$5,G$1))*$D$3,ROUNDDOWN((Client_Margin($C26)*Alloted(G$3,G$2,G$5)/Get_Margin(G$3,G$2,G$5,G$1)),0),ROUNDUP((Client_Margin($C26)*Alloted(G$3,G$2,G$5)/Get_Margin(G$3,G$2,G$5,G$1)),0)),"-")</f>
        <v>-</v>
      </c>
      <c r="H26" s="14" cm="1">
        <f t="array" ref="H26">IFERROR(IF(ROUNDUP((Client_Margin($C26)*Alloted(H$3,H$2,H$5)/Get_Margin(H$3,H$2,H$5,H$1)),0)*Get_Margin(H$3,H$2,H$5,H$1)&gt;((Client_Margin($C26)*Alloted(H$3,H$2,H$5)/Get_Margin(H$3,H$2,H$5,H$1))*Get_Margin(H$3,H$2,H$5,H$1))*$D$3,ROUNDDOWN((Client_Margin($C26)*Alloted(H$3,H$2,H$5)/Get_Margin(H$3,H$2,H$5,H$1)),0),ROUNDUP((Client_Margin($C26)*Alloted(H$3,H$2,H$5)/Get_Margin(H$3,H$2,H$5,H$1)),0)),"-")</f>
        <v>3</v>
      </c>
      <c r="I26" s="14" cm="1">
        <f t="array" ref="I26">IFERROR(IF(ROUNDUP((Client_Margin($C26)*Alloted(I$3,I$2,I$5)/Get_Margin(I$3,I$2,I$5,I$1)),0)*Get_Margin(I$3,I$2,I$5,I$1)&gt;((Client_Margin($C26)*Alloted(I$3,I$2,I$5)/Get_Margin(I$3,I$2,I$5,I$1))*Get_Margin(I$3,I$2,I$5,I$1))*$D$3,ROUNDDOWN((Client_Margin($C26)*Alloted(I$3,I$2,I$5)/Get_Margin(I$3,I$2,I$5,I$1)),0),ROUNDUP((Client_Margin($C26)*Alloted(I$3,I$2,I$5)/Get_Margin(I$3,I$2,I$5,I$1)),0)),"-")</f>
        <v>1</v>
      </c>
      <c r="J26" s="14" cm="1">
        <f t="array" ref="J26">IFERROR(IF(ROUNDUP((Client_Margin($C26)*Alloted(J$3,J$2,J$5)/Get_Margin(J$3,J$2,J$5,J$1)),0)*Get_Margin(J$3,J$2,J$5,J$1)&gt;((Client_Margin($C26)*Alloted(J$3,J$2,J$5)/Get_Margin(J$3,J$2,J$5,J$1))*Get_Margin(J$3,J$2,J$5,J$1))*$D$3,ROUNDDOWN((Client_Margin($C26)*Alloted(J$3,J$2,J$5)/Get_Margin(J$3,J$2,J$5,J$1)),0),ROUNDUP((Client_Margin($C26)*Alloted(J$3,J$2,J$5)/Get_Margin(J$3,J$2,J$5,J$1)),0)),"-")</f>
        <v>1</v>
      </c>
      <c r="K26" s="14" cm="1">
        <f t="array" ref="K26">IFERROR(IF(ROUNDUP((Client_Margin($C26)*Alloted(K$3,K$2,K$5)/Get_Margin(K$3,K$2,K$5,K$1)),0)*Get_Margin(K$3,K$2,K$5,K$1)&gt;((Client_Margin($C26)*Alloted(K$3,K$2,K$5)/Get_Margin(K$3,K$2,K$5,K$1))*Get_Margin(K$3,K$2,K$5,K$1))*$D$3,ROUNDDOWN((Client_Margin($C26)*Alloted(K$3,K$2,K$5)/Get_Margin(K$3,K$2,K$5,K$1)),0),ROUNDUP((Client_Margin($C26)*Alloted(K$3,K$2,K$5)/Get_Margin(K$3,K$2,K$5,K$1)),0)),"-")</f>
        <v>0</v>
      </c>
      <c r="L26" s="14" cm="1">
        <f t="array" ref="L26">IFERROR(IF(ROUNDUP((Client_Margin($C26)*Alloted(L$3,L$2,L$5)/Get_Margin(L$3,L$2,L$5,L$1)),0)*Get_Margin(L$3,L$2,L$5,L$1)&gt;((Client_Margin($C26)*Alloted(L$3,L$2,L$5)/Get_Margin(L$3,L$2,L$5,L$1))*Get_Margin(L$3,L$2,L$5,L$1))*$D$3,ROUNDDOWN((Client_Margin($C26)*Alloted(L$3,L$2,L$5)/Get_Margin(L$3,L$2,L$5,L$1)),0),ROUNDUP((Client_Margin($C26)*Alloted(L$3,L$2,L$5)/Get_Margin(L$3,L$2,L$5,L$1)),0)),"-")</f>
        <v>0</v>
      </c>
      <c r="M26" s="14" cm="1">
        <f t="array" ref="M26">IFERROR(IF(ROUNDUP((Client_Margin($C26)*Alloted(M$3,M$2,M$5)/Get_Margin(M$3,M$2,M$5,M$1)),0)*Get_Margin(M$3,M$2,M$5,M$1)&gt;((Client_Margin($C26)*Alloted(M$3,M$2,M$5)/Get_Margin(M$3,M$2,M$5,M$1))*Get_Margin(M$3,M$2,M$5,M$1))*$D$3,ROUNDDOWN((Client_Margin($C26)*Alloted(M$3,M$2,M$5)/Get_Margin(M$3,M$2,M$5,M$1)),0),ROUNDUP((Client_Margin($C26)*Alloted(M$3,M$2,M$5)/Get_Margin(M$3,M$2,M$5,M$1)),0)),"-")</f>
        <v>0</v>
      </c>
      <c r="N26" s="14" cm="1">
        <f t="array" ref="N26">IFERROR(IF(ROUNDUP((Client_Margin($C26)*Alloted(N$3,N$2,N$5)/Get_Margin(N$3,N$2,N$5,N$1)),0)*Get_Margin(N$3,N$2,N$5,N$1)&gt;((Client_Margin($C26)*Alloted(N$3,N$2,N$5)/Get_Margin(N$3,N$2,N$5,N$1))*Get_Margin(N$3,N$2,N$5,N$1))*$D$3,ROUNDDOWN((Client_Margin($C26)*Alloted(N$3,N$2,N$5)/Get_Margin(N$3,N$2,N$5,N$1)),0),ROUNDUP((Client_Margin($C26)*Alloted(N$3,N$2,N$5)/Get_Margin(N$3,N$2,N$5,N$1)),0)),"-")</f>
        <v>0</v>
      </c>
      <c r="O26" s="14" cm="1">
        <f t="array" ref="O26">IFERROR(IF(ROUNDUP((Client_Margin($C26)*Alloted(O$3,O$2,O$5)/Get_Margin(O$3,O$2,O$5,O$1)),0)*Get_Margin(O$3,O$2,O$5,O$1)&gt;((Client_Margin($C26)*Alloted(O$3,O$2,O$5)/Get_Margin(O$3,O$2,O$5,O$1))*Get_Margin(O$3,O$2,O$5,O$1))*$D$3,ROUNDDOWN((Client_Margin($C26)*Alloted(O$3,O$2,O$5)/Get_Margin(O$3,O$2,O$5,O$1)),0),ROUNDUP((Client_Margin($C26)*Alloted(O$3,O$2,O$5)/Get_Margin(O$3,O$2,O$5,O$1)),0)),"-")</f>
        <v>0</v>
      </c>
    </row>
    <row r="27" spans="1:15" hidden="1" x14ac:dyDescent="0.25">
      <c r="A27">
        <f>_xlfn.XLOOKUP(C27,'OI QTY'!$O$5:$O$21,'OI QTY'!$N$5:$N$21,"")</f>
        <v>0</v>
      </c>
      <c r="B27">
        <f t="shared" si="2"/>
        <v>0</v>
      </c>
      <c r="C27" s="14"/>
      <c r="D27" s="14"/>
      <c r="E27" s="15">
        <f>SUM(F27:O27)</f>
        <v>0.23166666666666663</v>
      </c>
      <c r="F27" s="15" t="str" cm="1">
        <f t="array" ref="F27">IFERROR((_xlfn._xlws.FILTER(INDEX(Margin[],0,MATCH(F$1&amp;"_"&amp;F$3,Margin[#Headers],0)),(Margin[Index]=F$2)*(Margin[Strategy]=F$5))*F26)/Client_Margin($C26),"-")</f>
        <v>-</v>
      </c>
      <c r="G27" s="15" t="str" cm="1">
        <f t="array" ref="G27">IFERROR((_xlfn._xlws.FILTER(INDEX(Margin[],0,MATCH(G$1&amp;"_"&amp;G$3,Margin[#Headers],0)),(Margin[Index]=G$2)*(Margin[Strategy]=G$5))*G26)/Client_Margin($C26),"-")</f>
        <v>-</v>
      </c>
      <c r="H27" s="15" cm="1">
        <f t="array" ref="H27">IFERROR((_xlfn._xlws.FILTER(INDEX(Margin[],0,MATCH(H$1&amp;"_"&amp;H$3,Margin[#Headers],0)),(Margin[Index]=H$2)*(Margin[Strategy]=H$5))*H26)/Client_Margin($C26),"-")</f>
        <v>8.6999999999999994E-2</v>
      </c>
      <c r="I27" s="15" cm="1">
        <f t="array" ref="I27">IFERROR((_xlfn._xlws.FILTER(INDEX(Margin[],0,MATCH(I$1&amp;"_"&amp;I$3,Margin[#Headers],0)),(Margin[Index]=I$2)*(Margin[Strategy]=I$5))*I26)/Client_Margin($C26),"-")</f>
        <v>7.8E-2</v>
      </c>
      <c r="J27" s="15" cm="1">
        <f t="array" ref="J27">IFERROR((_xlfn._xlws.FILTER(INDEX(Margin[],0,MATCH(J$1&amp;"_"&amp;J$3,Margin[#Headers],0)),(Margin[Index]=J$2)*(Margin[Strategy]=J$5))*J26)/Client_Margin($C26),"-")</f>
        <v>6.6666666666666666E-2</v>
      </c>
      <c r="K27" s="15" cm="1">
        <f t="array" ref="K27">IFERROR((_xlfn._xlws.FILTER(INDEX(Margin[],0,MATCH(K$1&amp;"_"&amp;K$3,Margin[#Headers],0)),(Margin[Index]=K$2)*(Margin[Strategy]=K$5))*K26)/Client_Margin($C26),"-")</f>
        <v>0</v>
      </c>
      <c r="L27" s="15" cm="1">
        <f t="array" ref="L27">IFERROR((_xlfn._xlws.FILTER(INDEX(Margin[],0,MATCH(L$1&amp;"_"&amp;L$3,Margin[#Headers],0)),(Margin[Index]=L$2)*(Margin[Strategy]=L$5))*L26)/Client_Margin($C26),"-")</f>
        <v>0</v>
      </c>
      <c r="M27" s="15" cm="1">
        <f t="array" ref="M27">IFERROR((_xlfn._xlws.FILTER(INDEX(Margin[],0,MATCH(M$1&amp;"_"&amp;M$3,Margin[#Headers],0)),(Margin[Index]=M$2)*(Margin[Strategy]=M$5))*M26)/Client_Margin($C26),"-")</f>
        <v>0</v>
      </c>
      <c r="N27" s="15" cm="1">
        <f t="array" ref="N27">IFERROR((_xlfn._xlws.FILTER(INDEX(Margin[],0,MATCH(N$1&amp;"_"&amp;N$3,Margin[#Headers],0)),(Margin[Index]=N$2)*(Margin[Strategy]=N$5))*N26)/Client_Margin($C26),"-")</f>
        <v>0</v>
      </c>
      <c r="O27" s="15" cm="1">
        <f t="array" ref="O27">IFERROR((_xlfn._xlws.FILTER(INDEX(Margin[],0,MATCH(O$1&amp;"_"&amp;O$3,Margin[#Headers],0)),(Margin[Index]=O$2)*(Margin[Strategy]=O$5))*O26)/Client_Margin($C26),"-")</f>
        <v>0</v>
      </c>
    </row>
    <row r="28" spans="1:15" x14ac:dyDescent="0.25">
      <c r="A28" t="str">
        <f>_xlfn.XLOOKUP(C28,'OI QTY'!$O$5:$O$21,'OI QTY'!$N$5:$N$21,"")</f>
        <v>K</v>
      </c>
      <c r="B28">
        <f>IF(C28="",0,1)</f>
        <v>1</v>
      </c>
      <c r="C28" s="14" t="s">
        <v>129</v>
      </c>
      <c r="D28" s="14" cm="1">
        <f t="array" ref="D28">(_xlfn._xlws.FILTER(Fund[Margin],Fund[Client Id]=C28))/10000000</f>
        <v>2.4</v>
      </c>
      <c r="E28" s="17"/>
      <c r="F28" s="14" t="str" cm="1">
        <f t="array" ref="F28">IFERROR(IF(ROUNDUP((Client_Margin($C28)*Alloted(F$3,F$2,F$5)/Get_Margin(F$3,F$2,F$5,F$1)),0)*Get_Margin(F$3,F$2,F$5,F$1)&gt;((Client_Margin($C28)*Alloted(F$3,F$2,F$5)/Get_Margin(F$3,F$2,F$5,F$1))*Get_Margin(F$3,F$2,F$5,F$1))*$D$3,ROUNDDOWN((Client_Margin($C28)*Alloted(F$3,F$2,F$5)/Get_Margin(F$3,F$2,F$5,F$1)),0),ROUNDUP((Client_Margin($C28)*Alloted(F$3,F$2,F$5)/Get_Margin(F$3,F$2,F$5,F$1)),0)),"-")</f>
        <v>-</v>
      </c>
      <c r="G28" s="14" t="str" cm="1">
        <f t="array" ref="G28">IFERROR(IF(ROUNDUP((Client_Margin($C28)*Alloted(G$3,G$2,G$5)/Get_Margin(G$3,G$2,G$5,G$1)),0)*Get_Margin(G$3,G$2,G$5,G$1)&gt;((Client_Margin($C28)*Alloted(G$3,G$2,G$5)/Get_Margin(G$3,G$2,G$5,G$1))*Get_Margin(G$3,G$2,G$5,G$1))*$D$3,ROUNDDOWN((Client_Margin($C28)*Alloted(G$3,G$2,G$5)/Get_Margin(G$3,G$2,G$5,G$1)),0),ROUNDUP((Client_Margin($C28)*Alloted(G$3,G$2,G$5)/Get_Margin(G$3,G$2,G$5,G$1)),0)),"-")</f>
        <v>-</v>
      </c>
      <c r="H28" s="14" cm="1">
        <f t="array" ref="H28">IFERROR(IF(ROUNDUP((Client_Margin($C28)*Alloted(H$3,H$2,H$5)/Get_Margin(H$3,H$2,H$5,H$1)),0)*Get_Margin(H$3,H$2,H$5,H$1)&gt;((Client_Margin($C28)*Alloted(H$3,H$2,H$5)/Get_Margin(H$3,H$2,H$5,H$1))*Get_Margin(H$3,H$2,H$5,H$1))*$D$3,ROUNDDOWN((Client_Margin($C28)*Alloted(H$3,H$2,H$5)/Get_Margin(H$3,H$2,H$5,H$1)),0),ROUNDUP((Client_Margin($C28)*Alloted(H$3,H$2,H$5)/Get_Margin(H$3,H$2,H$5,H$1)),0)),"-")</f>
        <v>3</v>
      </c>
      <c r="I28" s="14" cm="1">
        <f t="array" ref="I28">IFERROR(IF(ROUNDUP((Client_Margin($C28)*Alloted(I$3,I$2,I$5)/Get_Margin(I$3,I$2,I$5,I$1)),0)*Get_Margin(I$3,I$2,I$5,I$1)&gt;((Client_Margin($C28)*Alloted(I$3,I$2,I$5)/Get_Margin(I$3,I$2,I$5,I$1))*Get_Margin(I$3,I$2,I$5,I$1))*$D$3,ROUNDDOWN((Client_Margin($C28)*Alloted(I$3,I$2,I$5)/Get_Margin(I$3,I$2,I$5,I$1)),0),ROUNDUP((Client_Margin($C28)*Alloted(I$3,I$2,I$5)/Get_Margin(I$3,I$2,I$5,I$1)),0)),"-")</f>
        <v>1</v>
      </c>
      <c r="J28" s="14" cm="1">
        <f t="array" ref="J28">IFERROR(IF(ROUNDUP((Client_Margin($C28)*Alloted(J$3,J$2,J$5)/Get_Margin(J$3,J$2,J$5,J$1)),0)*Get_Margin(J$3,J$2,J$5,J$1)&gt;((Client_Margin($C28)*Alloted(J$3,J$2,J$5)/Get_Margin(J$3,J$2,J$5,J$1))*Get_Margin(J$3,J$2,J$5,J$1))*$D$3,ROUNDDOWN((Client_Margin($C28)*Alloted(J$3,J$2,J$5)/Get_Margin(J$3,J$2,J$5,J$1)),0),ROUNDUP((Client_Margin($C28)*Alloted(J$3,J$2,J$5)/Get_Margin(J$3,J$2,J$5,J$1)),0)),"-")</f>
        <v>1</v>
      </c>
      <c r="K28" s="14" cm="1">
        <f t="array" ref="K28">IFERROR(IF(ROUNDUP((Client_Margin($C28)*Alloted(K$3,K$2,K$5)/Get_Margin(K$3,K$2,K$5,K$1)),0)*Get_Margin(K$3,K$2,K$5,K$1)&gt;((Client_Margin($C28)*Alloted(K$3,K$2,K$5)/Get_Margin(K$3,K$2,K$5,K$1))*Get_Margin(K$3,K$2,K$5,K$1))*$D$3,ROUNDDOWN((Client_Margin($C28)*Alloted(K$3,K$2,K$5)/Get_Margin(K$3,K$2,K$5,K$1)),0),ROUNDUP((Client_Margin($C28)*Alloted(K$3,K$2,K$5)/Get_Margin(K$3,K$2,K$5,K$1)),0)),"-")</f>
        <v>0</v>
      </c>
      <c r="L28" s="14" cm="1">
        <f t="array" ref="L28">IFERROR(IF(ROUNDUP((Client_Margin($C28)*Alloted(L$3,L$2,L$5)/Get_Margin(L$3,L$2,L$5,L$1)),0)*Get_Margin(L$3,L$2,L$5,L$1)&gt;((Client_Margin($C28)*Alloted(L$3,L$2,L$5)/Get_Margin(L$3,L$2,L$5,L$1))*Get_Margin(L$3,L$2,L$5,L$1))*$D$3,ROUNDDOWN((Client_Margin($C28)*Alloted(L$3,L$2,L$5)/Get_Margin(L$3,L$2,L$5,L$1)),0),ROUNDUP((Client_Margin($C28)*Alloted(L$3,L$2,L$5)/Get_Margin(L$3,L$2,L$5,L$1)),0)),"-")</f>
        <v>0</v>
      </c>
      <c r="M28" s="14" cm="1">
        <f t="array" ref="M28">IFERROR(IF(ROUNDUP((Client_Margin($C28)*Alloted(M$3,M$2,M$5)/Get_Margin(M$3,M$2,M$5,M$1)),0)*Get_Margin(M$3,M$2,M$5,M$1)&gt;((Client_Margin($C28)*Alloted(M$3,M$2,M$5)/Get_Margin(M$3,M$2,M$5,M$1))*Get_Margin(M$3,M$2,M$5,M$1))*$D$3,ROUNDDOWN((Client_Margin($C28)*Alloted(M$3,M$2,M$5)/Get_Margin(M$3,M$2,M$5,M$1)),0),ROUNDUP((Client_Margin($C28)*Alloted(M$3,M$2,M$5)/Get_Margin(M$3,M$2,M$5,M$1)),0)),"-")</f>
        <v>0</v>
      </c>
      <c r="N28" s="14" cm="1">
        <f t="array" ref="N28">IFERROR(IF(ROUNDUP((Client_Margin($C28)*Alloted(N$3,N$2,N$5)/Get_Margin(N$3,N$2,N$5,N$1)),0)*Get_Margin(N$3,N$2,N$5,N$1)&gt;((Client_Margin($C28)*Alloted(N$3,N$2,N$5)/Get_Margin(N$3,N$2,N$5,N$1))*Get_Margin(N$3,N$2,N$5,N$1))*$D$3,ROUNDDOWN((Client_Margin($C28)*Alloted(N$3,N$2,N$5)/Get_Margin(N$3,N$2,N$5,N$1)),0),ROUNDUP((Client_Margin($C28)*Alloted(N$3,N$2,N$5)/Get_Margin(N$3,N$2,N$5,N$1)),0)),"-")</f>
        <v>0</v>
      </c>
      <c r="O28" s="14" cm="1">
        <f t="array" ref="O28">IFERROR(IF(ROUNDUP((Client_Margin($C28)*Alloted(O$3,O$2,O$5)/Get_Margin(O$3,O$2,O$5,O$1)),0)*Get_Margin(O$3,O$2,O$5,O$1)&gt;((Client_Margin($C28)*Alloted(O$3,O$2,O$5)/Get_Margin(O$3,O$2,O$5,O$1))*Get_Margin(O$3,O$2,O$5,O$1))*$D$3,ROUNDDOWN((Client_Margin($C28)*Alloted(O$3,O$2,O$5)/Get_Margin(O$3,O$2,O$5,O$1)),0),ROUNDUP((Client_Margin($C28)*Alloted(O$3,O$2,O$5)/Get_Margin(O$3,O$2,O$5,O$1)),0)),"-")</f>
        <v>0</v>
      </c>
    </row>
    <row r="29" spans="1:15" hidden="1" x14ac:dyDescent="0.25">
      <c r="A29">
        <f>_xlfn.XLOOKUP(C29,'OI QTY'!$O$5:$O$21,'OI QTY'!$N$5:$N$21,"")</f>
        <v>0</v>
      </c>
      <c r="B29">
        <f>IF(C29="",0,1)</f>
        <v>0</v>
      </c>
      <c r="C29" s="14"/>
      <c r="D29" s="14"/>
      <c r="E29" s="15">
        <f>SUM(F29:O29)</f>
        <v>0.23166666666666663</v>
      </c>
      <c r="F29" s="15" t="str" cm="1">
        <f t="array" ref="F29">IFERROR((_xlfn._xlws.FILTER(INDEX(Margin[],0,MATCH(F$1&amp;"_"&amp;F$3,Margin[#Headers],0)),(Margin[Index]=F$2)*(Margin[Strategy]=F$5))*F28)/Client_Margin($C28),"-")</f>
        <v>-</v>
      </c>
      <c r="G29" s="15" t="str" cm="1">
        <f t="array" ref="G29">IFERROR((_xlfn._xlws.FILTER(INDEX(Margin[],0,MATCH(G$1&amp;"_"&amp;G$3,Margin[#Headers],0)),(Margin[Index]=G$2)*(Margin[Strategy]=G$5))*G28)/Client_Margin($C28),"-")</f>
        <v>-</v>
      </c>
      <c r="H29" s="15" cm="1">
        <f t="array" ref="H29">IFERROR((_xlfn._xlws.FILTER(INDEX(Margin[],0,MATCH(H$1&amp;"_"&amp;H$3,Margin[#Headers],0)),(Margin[Index]=H$2)*(Margin[Strategy]=H$5))*H28)/Client_Margin($C28),"-")</f>
        <v>8.6999999999999994E-2</v>
      </c>
      <c r="I29" s="15" cm="1">
        <f t="array" ref="I29">IFERROR((_xlfn._xlws.FILTER(INDEX(Margin[],0,MATCH(I$1&amp;"_"&amp;I$3,Margin[#Headers],0)),(Margin[Index]=I$2)*(Margin[Strategy]=I$5))*I28)/Client_Margin($C28),"-")</f>
        <v>7.8E-2</v>
      </c>
      <c r="J29" s="15" cm="1">
        <f t="array" ref="J29">IFERROR((_xlfn._xlws.FILTER(INDEX(Margin[],0,MATCH(J$1&amp;"_"&amp;J$3,Margin[#Headers],0)),(Margin[Index]=J$2)*(Margin[Strategy]=J$5))*J28)/Client_Margin($C28),"-")</f>
        <v>6.6666666666666666E-2</v>
      </c>
      <c r="K29" s="15" cm="1">
        <f t="array" ref="K29">IFERROR((_xlfn._xlws.FILTER(INDEX(Margin[],0,MATCH(K$1&amp;"_"&amp;K$3,Margin[#Headers],0)),(Margin[Index]=K$2)*(Margin[Strategy]=K$5))*K28)/Client_Margin($C28),"-")</f>
        <v>0</v>
      </c>
      <c r="L29" s="15" cm="1">
        <f t="array" ref="L29">IFERROR((_xlfn._xlws.FILTER(INDEX(Margin[],0,MATCH(L$1&amp;"_"&amp;L$3,Margin[#Headers],0)),(Margin[Index]=L$2)*(Margin[Strategy]=L$5))*L28)/Client_Margin($C28),"-")</f>
        <v>0</v>
      </c>
      <c r="M29" s="15" cm="1">
        <f t="array" ref="M29">IFERROR((_xlfn._xlws.FILTER(INDEX(Margin[],0,MATCH(M$1&amp;"_"&amp;M$3,Margin[#Headers],0)),(Margin[Index]=M$2)*(Margin[Strategy]=M$5))*M28)/Client_Margin($C28),"-")</f>
        <v>0</v>
      </c>
      <c r="N29" s="15" cm="1">
        <f t="array" ref="N29">IFERROR((_xlfn._xlws.FILTER(INDEX(Margin[],0,MATCH(N$1&amp;"_"&amp;N$3,Margin[#Headers],0)),(Margin[Index]=N$2)*(Margin[Strategy]=N$5))*N28)/Client_Margin($C28),"-")</f>
        <v>0</v>
      </c>
      <c r="O29" s="15" cm="1">
        <f t="array" ref="O29">IFERROR((_xlfn._xlws.FILTER(INDEX(Margin[],0,MATCH(O$1&amp;"_"&amp;O$3,Margin[#Headers],0)),(Margin[Index]=O$2)*(Margin[Strategy]=O$5))*O28)/Client_Margin($C28),"-")</f>
        <v>0</v>
      </c>
    </row>
    <row r="30" spans="1:15" x14ac:dyDescent="0.25">
      <c r="A30" t="str">
        <f>_xlfn.XLOOKUP(C30,'OI QTY'!$O$5:$O$21,'OI QTY'!$N$5:$N$21,"")</f>
        <v>K</v>
      </c>
      <c r="B30">
        <f t="shared" ref="B30:B31" si="3">IF(C30="",0,1)</f>
        <v>1</v>
      </c>
      <c r="C30" s="14" t="s">
        <v>114</v>
      </c>
      <c r="D30" s="14" cm="1">
        <f t="array" ref="D30">(_xlfn._xlws.FILTER(Fund[Margin],Fund[Client Id]=C30))/10000000</f>
        <v>1.85</v>
      </c>
      <c r="E30" s="17"/>
      <c r="F30" s="14" t="str" cm="1">
        <f t="array" ref="F30">IFERROR(IF(ROUNDUP((Client_Margin($C30)*Alloted(F$3,F$2,F$5)/Get_Margin(F$3,F$2,F$5,F$1)),0)*Get_Margin(F$3,F$2,F$5,F$1)&gt;((Client_Margin($C30)*Alloted(F$3,F$2,F$5)/Get_Margin(F$3,F$2,F$5,F$1))*Get_Margin(F$3,F$2,F$5,F$1))*$D$3,ROUNDDOWN((Client_Margin($C30)*Alloted(F$3,F$2,F$5)/Get_Margin(F$3,F$2,F$5,F$1)),0),ROUNDUP((Client_Margin($C30)*Alloted(F$3,F$2,F$5)/Get_Margin(F$3,F$2,F$5,F$1)),0)),"-")</f>
        <v>-</v>
      </c>
      <c r="G30" s="14" t="str" cm="1">
        <f t="array" ref="G30">IFERROR(IF(ROUNDUP((Client_Margin($C30)*Alloted(G$3,G$2,G$5)/Get_Margin(G$3,G$2,G$5,G$1)),0)*Get_Margin(G$3,G$2,G$5,G$1)&gt;((Client_Margin($C30)*Alloted(G$3,G$2,G$5)/Get_Margin(G$3,G$2,G$5,G$1))*Get_Margin(G$3,G$2,G$5,G$1))*$D$3,ROUNDDOWN((Client_Margin($C30)*Alloted(G$3,G$2,G$5)/Get_Margin(G$3,G$2,G$5,G$1)),0),ROUNDUP((Client_Margin($C30)*Alloted(G$3,G$2,G$5)/Get_Margin(G$3,G$2,G$5,G$1)),0)),"-")</f>
        <v>-</v>
      </c>
      <c r="H30" s="14" cm="1">
        <f t="array" ref="H30">IFERROR(IF(ROUNDUP((Client_Margin($C30)*Alloted(H$3,H$2,H$5)/Get_Margin(H$3,H$2,H$5,H$1)),0)*Get_Margin(H$3,H$2,H$5,H$1)&gt;((Client_Margin($C30)*Alloted(H$3,H$2,H$5)/Get_Margin(H$3,H$2,H$5,H$1))*Get_Margin(H$3,H$2,H$5,H$1))*$D$3,ROUNDDOWN((Client_Margin($C30)*Alloted(H$3,H$2,H$5)/Get_Margin(H$3,H$2,H$5,H$1)),0),ROUNDUP((Client_Margin($C30)*Alloted(H$3,H$2,H$5)/Get_Margin(H$3,H$2,H$5,H$1)),0)),"-")</f>
        <v>3</v>
      </c>
      <c r="I30" s="14" cm="1">
        <f t="array" ref="I30">IFERROR(IF(ROUNDUP((Client_Margin($C30)*Alloted(I$3,I$2,I$5)/Get_Margin(I$3,I$2,I$5,I$1)),0)*Get_Margin(I$3,I$2,I$5,I$1)&gt;((Client_Margin($C30)*Alloted(I$3,I$2,I$5)/Get_Margin(I$3,I$2,I$5,I$1))*Get_Margin(I$3,I$2,I$5,I$1))*$D$3,ROUNDDOWN((Client_Margin($C30)*Alloted(I$3,I$2,I$5)/Get_Margin(I$3,I$2,I$5,I$1)),0),ROUNDUP((Client_Margin($C30)*Alloted(I$3,I$2,I$5)/Get_Margin(I$3,I$2,I$5,I$1)),0)),"-")</f>
        <v>1</v>
      </c>
      <c r="J30" s="14" cm="1">
        <f t="array" ref="J30">IFERROR(IF(ROUNDUP((Client_Margin($C30)*Alloted(J$3,J$2,J$5)/Get_Margin(J$3,J$2,J$5,J$1)),0)*Get_Margin(J$3,J$2,J$5,J$1)&gt;((Client_Margin($C30)*Alloted(J$3,J$2,J$5)/Get_Margin(J$3,J$2,J$5,J$1))*Get_Margin(J$3,J$2,J$5,J$1))*$D$3,ROUNDDOWN((Client_Margin($C30)*Alloted(J$3,J$2,J$5)/Get_Margin(J$3,J$2,J$5,J$1)),0),ROUNDUP((Client_Margin($C30)*Alloted(J$3,J$2,J$5)/Get_Margin(J$3,J$2,J$5,J$1)),0)),"-")</f>
        <v>1</v>
      </c>
      <c r="K30" s="14" cm="1">
        <f t="array" ref="K30">IFERROR(IF(ROUNDUP((Client_Margin($C30)*Alloted(K$3,K$2,K$5)/Get_Margin(K$3,K$2,K$5,K$1)),0)*Get_Margin(K$3,K$2,K$5,K$1)&gt;((Client_Margin($C30)*Alloted(K$3,K$2,K$5)/Get_Margin(K$3,K$2,K$5,K$1))*Get_Margin(K$3,K$2,K$5,K$1))*$D$3,ROUNDDOWN((Client_Margin($C30)*Alloted(K$3,K$2,K$5)/Get_Margin(K$3,K$2,K$5,K$1)),0),ROUNDUP((Client_Margin($C30)*Alloted(K$3,K$2,K$5)/Get_Margin(K$3,K$2,K$5,K$1)),0)),"-")</f>
        <v>0</v>
      </c>
      <c r="L30" s="14" cm="1">
        <f t="array" ref="L30">IFERROR(IF(ROUNDUP((Client_Margin($C30)*Alloted(L$3,L$2,L$5)/Get_Margin(L$3,L$2,L$5,L$1)),0)*Get_Margin(L$3,L$2,L$5,L$1)&gt;((Client_Margin($C30)*Alloted(L$3,L$2,L$5)/Get_Margin(L$3,L$2,L$5,L$1))*Get_Margin(L$3,L$2,L$5,L$1))*$D$3,ROUNDDOWN((Client_Margin($C30)*Alloted(L$3,L$2,L$5)/Get_Margin(L$3,L$2,L$5,L$1)),0),ROUNDUP((Client_Margin($C30)*Alloted(L$3,L$2,L$5)/Get_Margin(L$3,L$2,L$5,L$1)),0)),"-")</f>
        <v>0</v>
      </c>
      <c r="M30" s="41">
        <v>0</v>
      </c>
      <c r="N30" s="14" cm="1">
        <f t="array" ref="N30">IFERROR(IF(ROUNDUP((Client_Margin($C30)*Alloted(N$3,N$2,N$5)/Get_Margin(N$3,N$2,N$5,N$1)),0)*Get_Margin(N$3,N$2,N$5,N$1)&gt;((Client_Margin($C30)*Alloted(N$3,N$2,N$5)/Get_Margin(N$3,N$2,N$5,N$1))*Get_Margin(N$3,N$2,N$5,N$1))*$D$3,ROUNDDOWN((Client_Margin($C30)*Alloted(N$3,N$2,N$5)/Get_Margin(N$3,N$2,N$5,N$1)),0),ROUNDUP((Client_Margin($C30)*Alloted(N$3,N$2,N$5)/Get_Margin(N$3,N$2,N$5,N$1)),0)),"-")</f>
        <v>0</v>
      </c>
      <c r="O30" s="14" cm="1">
        <f t="array" ref="O30">IFERROR(IF(ROUNDUP((Client_Margin($C30)*Alloted(O$3,O$2,O$5)/Get_Margin(O$3,O$2,O$5,O$1)),0)*Get_Margin(O$3,O$2,O$5,O$1)&gt;((Client_Margin($C30)*Alloted(O$3,O$2,O$5)/Get_Margin(O$3,O$2,O$5,O$1))*Get_Margin(O$3,O$2,O$5,O$1))*$D$3,ROUNDDOWN((Client_Margin($C30)*Alloted(O$3,O$2,O$5)/Get_Margin(O$3,O$2,O$5,O$1)),0),ROUNDUP((Client_Margin($C30)*Alloted(O$3,O$2,O$5)/Get_Margin(O$3,O$2,O$5,O$1)),0)),"-")</f>
        <v>0</v>
      </c>
    </row>
    <row r="31" spans="1:15" hidden="1" x14ac:dyDescent="0.25">
      <c r="A31">
        <f>_xlfn.XLOOKUP(C31,'OI QTY'!$O$5:$O$21,'OI QTY'!$N$5:$N$21,"")</f>
        <v>0</v>
      </c>
      <c r="B31">
        <f t="shared" si="3"/>
        <v>0</v>
      </c>
      <c r="C31" s="14"/>
      <c r="D31" s="14"/>
      <c r="E31" s="15">
        <f>SUM(F31:O31)</f>
        <v>0.30054054054054058</v>
      </c>
      <c r="F31" s="15" t="str" cm="1">
        <f t="array" ref="F31">IFERROR((_xlfn._xlws.FILTER(INDEX(Margin[],0,MATCH(F$1&amp;"_"&amp;F$3,Margin[#Headers],0)),(Margin[Index]=F$2)*(Margin[Strategy]=F$5))*F30)/Client_Margin($C30),"-")</f>
        <v>-</v>
      </c>
      <c r="G31" s="15" t="str" cm="1">
        <f t="array" ref="G31">IFERROR((_xlfn._xlws.FILTER(INDEX(Margin[],0,MATCH(G$1&amp;"_"&amp;G$3,Margin[#Headers],0)),(Margin[Index]=G$2)*(Margin[Strategy]=G$5))*G30)/Client_Margin($C30),"-")</f>
        <v>-</v>
      </c>
      <c r="H31" s="15" cm="1">
        <f t="array" ref="H31">IFERROR((_xlfn._xlws.FILTER(INDEX(Margin[],0,MATCH(H$1&amp;"_"&amp;H$3,Margin[#Headers],0)),(Margin[Index]=H$2)*(Margin[Strategy]=H$5))*H30)/Client_Margin($C30),"-")</f>
        <v>0.11286486486486487</v>
      </c>
      <c r="I31" s="15" cm="1">
        <f t="array" ref="I31">IFERROR((_xlfn._xlws.FILTER(INDEX(Margin[],0,MATCH(I$1&amp;"_"&amp;I$3,Margin[#Headers],0)),(Margin[Index]=I$2)*(Margin[Strategy]=I$5))*I30)/Client_Margin($C30),"-")</f>
        <v>0.10118918918918919</v>
      </c>
      <c r="J31" s="15" cm="1">
        <f t="array" ref="J31">IFERROR((_xlfn._xlws.FILTER(INDEX(Margin[],0,MATCH(J$1&amp;"_"&amp;J$3,Margin[#Headers],0)),(Margin[Index]=J$2)*(Margin[Strategy]=J$5))*J30)/Client_Margin($C30),"-")</f>
        <v>8.6486486486486491E-2</v>
      </c>
      <c r="K31" s="15" cm="1">
        <f t="array" ref="K31">IFERROR((_xlfn._xlws.FILTER(INDEX(Margin[],0,MATCH(K$1&amp;"_"&amp;K$3,Margin[#Headers],0)),(Margin[Index]=K$2)*(Margin[Strategy]=K$5))*K30)/Client_Margin($C30),"-")</f>
        <v>0</v>
      </c>
      <c r="L31" s="15" cm="1">
        <f t="array" ref="L31">IFERROR((_xlfn._xlws.FILTER(INDEX(Margin[],0,MATCH(L$1&amp;"_"&amp;L$3,Margin[#Headers],0)),(Margin[Index]=L$2)*(Margin[Strategy]=L$5))*L30)/Client_Margin($C30),"-")</f>
        <v>0</v>
      </c>
      <c r="M31" s="15" cm="1">
        <f t="array" ref="M31">IFERROR((_xlfn._xlws.FILTER(INDEX(Margin[],0,MATCH(M$1&amp;"_"&amp;M$3,Margin[#Headers],0)),(Margin[Index]=M$2)*(Margin[Strategy]=M$5))*M30)/Client_Margin($C30),"-")</f>
        <v>0</v>
      </c>
      <c r="N31" s="15" cm="1">
        <f t="array" ref="N31">IFERROR((_xlfn._xlws.FILTER(INDEX(Margin[],0,MATCH(N$1&amp;"_"&amp;N$3,Margin[#Headers],0)),(Margin[Index]=N$2)*(Margin[Strategy]=N$5))*N30)/Client_Margin($C30),"-")</f>
        <v>0</v>
      </c>
      <c r="O31" s="15" cm="1">
        <f t="array" ref="O31">IFERROR((_xlfn._xlws.FILTER(INDEX(Margin[],0,MATCH(O$1&amp;"_"&amp;O$3,Margin[#Headers],0)),(Margin[Index]=O$2)*(Margin[Strategy]=O$5))*O30)/Client_Margin($C30),"-")</f>
        <v>0</v>
      </c>
    </row>
    <row r="32" spans="1:15" x14ac:dyDescent="0.25">
      <c r="A32" t="str">
        <f>_xlfn.XLOOKUP(C32,'OI QTY'!$O$5:$O$21,'OI QTY'!$N$5:$N$21,"")</f>
        <v>K</v>
      </c>
      <c r="B32">
        <f t="shared" ref="B32:B43" si="4">IF(C32="",0,1)</f>
        <v>1</v>
      </c>
      <c r="C32" s="14" t="s">
        <v>130</v>
      </c>
      <c r="D32" s="14" cm="1">
        <f t="array" ref="D32">(_xlfn._xlws.FILTER(Fund[Margin],Fund[Client Id]=C32))/10000000</f>
        <v>1.8</v>
      </c>
      <c r="E32" s="17"/>
      <c r="F32" s="14" t="str" cm="1">
        <f t="array" ref="F32">IFERROR(IF(ROUNDUP((Client_Margin($C32)*Alloted(F$3,F$2,F$5)/Get_Margin(F$3,F$2,F$5,F$1)),0)*Get_Margin(F$3,F$2,F$5,F$1)&gt;((Client_Margin($C32)*Alloted(F$3,F$2,F$5)/Get_Margin(F$3,F$2,F$5,F$1))*Get_Margin(F$3,F$2,F$5,F$1))*$D$3,ROUNDDOWN((Client_Margin($C32)*Alloted(F$3,F$2,F$5)/Get_Margin(F$3,F$2,F$5,F$1)),0),ROUNDUP((Client_Margin($C32)*Alloted(F$3,F$2,F$5)/Get_Margin(F$3,F$2,F$5,F$1)),0)),"-")</f>
        <v>-</v>
      </c>
      <c r="G32" s="14" t="str" cm="1">
        <f t="array" ref="G32">IFERROR(IF(ROUNDUP((Client_Margin($C32)*Alloted(G$3,G$2,G$5)/Get_Margin(G$3,G$2,G$5,G$1)),0)*Get_Margin(G$3,G$2,G$5,G$1)&gt;((Client_Margin($C32)*Alloted(G$3,G$2,G$5)/Get_Margin(G$3,G$2,G$5,G$1))*Get_Margin(G$3,G$2,G$5,G$1))*$D$3,ROUNDDOWN((Client_Margin($C32)*Alloted(G$3,G$2,G$5)/Get_Margin(G$3,G$2,G$5,G$1)),0),ROUNDUP((Client_Margin($C32)*Alloted(G$3,G$2,G$5)/Get_Margin(G$3,G$2,G$5,G$1)),0)),"-")</f>
        <v>-</v>
      </c>
      <c r="H32" s="14" cm="1">
        <f t="array" ref="H32">IFERROR(IF(ROUNDUP((Client_Margin($C32)*Alloted(H$3,H$2,H$5)/Get_Margin(H$3,H$2,H$5,H$1)),0)*Get_Margin(H$3,H$2,H$5,H$1)&gt;((Client_Margin($C32)*Alloted(H$3,H$2,H$5)/Get_Margin(H$3,H$2,H$5,H$1))*Get_Margin(H$3,H$2,H$5,H$1))*$D$3,ROUNDDOWN((Client_Margin($C32)*Alloted(H$3,H$2,H$5)/Get_Margin(H$3,H$2,H$5,H$1)),0),ROUNDUP((Client_Margin($C32)*Alloted(H$3,H$2,H$5)/Get_Margin(H$3,H$2,H$5,H$1)),0)),"-")</f>
        <v>2</v>
      </c>
      <c r="I32" s="14" cm="1">
        <f t="array" ref="I32">IFERROR(IF(ROUNDUP((Client_Margin($C32)*Alloted(I$3,I$2,I$5)/Get_Margin(I$3,I$2,I$5,I$1)),0)*Get_Margin(I$3,I$2,I$5,I$1)&gt;((Client_Margin($C32)*Alloted(I$3,I$2,I$5)/Get_Margin(I$3,I$2,I$5,I$1))*Get_Margin(I$3,I$2,I$5,I$1))*$D$3,ROUNDDOWN((Client_Margin($C32)*Alloted(I$3,I$2,I$5)/Get_Margin(I$3,I$2,I$5,I$1)),0),ROUNDUP((Client_Margin($C32)*Alloted(I$3,I$2,I$5)/Get_Margin(I$3,I$2,I$5,I$1)),0)),"-")</f>
        <v>1</v>
      </c>
      <c r="J32" s="14" cm="1">
        <f t="array" ref="J32">IFERROR(IF(ROUNDUP((Client_Margin($C32)*Alloted(J$3,J$2,J$5)/Get_Margin(J$3,J$2,J$5,J$1)),0)*Get_Margin(J$3,J$2,J$5,J$1)&gt;((Client_Margin($C32)*Alloted(J$3,J$2,J$5)/Get_Margin(J$3,J$2,J$5,J$1))*Get_Margin(J$3,J$2,J$5,J$1))*$D$3,ROUNDDOWN((Client_Margin($C32)*Alloted(J$3,J$2,J$5)/Get_Margin(J$3,J$2,J$5,J$1)),0),ROUNDUP((Client_Margin($C32)*Alloted(J$3,J$2,J$5)/Get_Margin(J$3,J$2,J$5,J$1)),0)),"-")</f>
        <v>1</v>
      </c>
      <c r="K32" s="14" cm="1">
        <f t="array" ref="K32">IFERROR(IF(ROUNDUP((Client_Margin($C32)*Alloted(K$3,K$2,K$5)/Get_Margin(K$3,K$2,K$5,K$1)),0)*Get_Margin(K$3,K$2,K$5,K$1)&gt;((Client_Margin($C32)*Alloted(K$3,K$2,K$5)/Get_Margin(K$3,K$2,K$5,K$1))*Get_Margin(K$3,K$2,K$5,K$1))*$D$3,ROUNDDOWN((Client_Margin($C32)*Alloted(K$3,K$2,K$5)/Get_Margin(K$3,K$2,K$5,K$1)),0),ROUNDUP((Client_Margin($C32)*Alloted(K$3,K$2,K$5)/Get_Margin(K$3,K$2,K$5,K$1)),0)),"-")</f>
        <v>0</v>
      </c>
      <c r="L32" s="14" cm="1">
        <f t="array" ref="L32">IFERROR(IF(ROUNDUP((Client_Margin($C32)*Alloted(L$3,L$2,L$5)/Get_Margin(L$3,L$2,L$5,L$1)),0)*Get_Margin(L$3,L$2,L$5,L$1)&gt;((Client_Margin($C32)*Alloted(L$3,L$2,L$5)/Get_Margin(L$3,L$2,L$5,L$1))*Get_Margin(L$3,L$2,L$5,L$1))*$D$3,ROUNDDOWN((Client_Margin($C32)*Alloted(L$3,L$2,L$5)/Get_Margin(L$3,L$2,L$5,L$1)),0),ROUNDUP((Client_Margin($C32)*Alloted(L$3,L$2,L$5)/Get_Margin(L$3,L$2,L$5,L$1)),0)),"-")</f>
        <v>0</v>
      </c>
      <c r="M32" s="41">
        <v>0</v>
      </c>
      <c r="N32" s="14" cm="1">
        <f t="array" ref="N32">IFERROR(IF(ROUNDUP((Client_Margin($C32)*Alloted(N$3,N$2,N$5)/Get_Margin(N$3,N$2,N$5,N$1)),0)*Get_Margin(N$3,N$2,N$5,N$1)&gt;((Client_Margin($C32)*Alloted(N$3,N$2,N$5)/Get_Margin(N$3,N$2,N$5,N$1))*Get_Margin(N$3,N$2,N$5,N$1))*$D$3,ROUNDDOWN((Client_Margin($C32)*Alloted(N$3,N$2,N$5)/Get_Margin(N$3,N$2,N$5,N$1)),0),ROUNDUP((Client_Margin($C32)*Alloted(N$3,N$2,N$5)/Get_Margin(N$3,N$2,N$5,N$1)),0)),"-")</f>
        <v>0</v>
      </c>
      <c r="O32" s="14" cm="1">
        <f t="array" ref="O32">IFERROR(IF(ROUNDUP((Client_Margin($C32)*Alloted(O$3,O$2,O$5)/Get_Margin(O$3,O$2,O$5,O$1)),0)*Get_Margin(O$3,O$2,O$5,O$1)&gt;((Client_Margin($C32)*Alloted(O$3,O$2,O$5)/Get_Margin(O$3,O$2,O$5,O$1))*Get_Margin(O$3,O$2,O$5,O$1))*$D$3,ROUNDDOWN((Client_Margin($C32)*Alloted(O$3,O$2,O$5)/Get_Margin(O$3,O$2,O$5,O$1)),0),ROUNDUP((Client_Margin($C32)*Alloted(O$3,O$2,O$5)/Get_Margin(O$3,O$2,O$5,O$1)),0)),"-")</f>
        <v>0</v>
      </c>
    </row>
    <row r="33" spans="1:15" hidden="1" x14ac:dyDescent="0.25">
      <c r="A33">
        <f>_xlfn.XLOOKUP(C33,'OI QTY'!$O$5:$O$21,'OI QTY'!$N$5:$N$21,"")</f>
        <v>0</v>
      </c>
      <c r="B33">
        <f t="shared" si="4"/>
        <v>0</v>
      </c>
      <c r="C33" s="14"/>
      <c r="D33" s="14"/>
      <c r="E33" s="15">
        <f>SUM(F33:O33)</f>
        <v>0.27022222222222225</v>
      </c>
      <c r="F33" s="15" t="str" cm="1">
        <f t="array" ref="F33">IFERROR((_xlfn._xlws.FILTER(INDEX(Margin[],0,MATCH(F$1&amp;"_"&amp;F$3,Margin[#Headers],0)),(Margin[Index]=F$2)*(Margin[Strategy]=F$5))*F32)/Client_Margin($C32),"-")</f>
        <v>-</v>
      </c>
      <c r="G33" s="15" t="str" cm="1">
        <f t="array" ref="G33">IFERROR((_xlfn._xlws.FILTER(INDEX(Margin[],0,MATCH(G$1&amp;"_"&amp;G$3,Margin[#Headers],0)),(Margin[Index]=G$2)*(Margin[Strategy]=G$5))*G32)/Client_Margin($C32),"-")</f>
        <v>-</v>
      </c>
      <c r="H33" s="15" cm="1">
        <f t="array" ref="H33">IFERROR((_xlfn._xlws.FILTER(INDEX(Margin[],0,MATCH(H$1&amp;"_"&amp;H$3,Margin[#Headers],0)),(Margin[Index]=H$2)*(Margin[Strategy]=H$5))*H32)/Client_Margin($C32),"-")</f>
        <v>7.7333333333333337E-2</v>
      </c>
      <c r="I33" s="15" cm="1">
        <f t="array" ref="I33">IFERROR((_xlfn._xlws.FILTER(INDEX(Margin[],0,MATCH(I$1&amp;"_"&amp;I$3,Margin[#Headers],0)),(Margin[Index]=I$2)*(Margin[Strategy]=I$5))*I32)/Client_Margin($C32),"-")</f>
        <v>0.104</v>
      </c>
      <c r="J33" s="15" cm="1">
        <f t="array" ref="J33">IFERROR((_xlfn._xlws.FILTER(INDEX(Margin[],0,MATCH(J$1&amp;"_"&amp;J$3,Margin[#Headers],0)),(Margin[Index]=J$2)*(Margin[Strategy]=J$5))*J32)/Client_Margin($C32),"-")</f>
        <v>8.8888888888888892E-2</v>
      </c>
      <c r="K33" s="15" cm="1">
        <f t="array" ref="K33">IFERROR((_xlfn._xlws.FILTER(INDEX(Margin[],0,MATCH(K$1&amp;"_"&amp;K$3,Margin[#Headers],0)),(Margin[Index]=K$2)*(Margin[Strategy]=K$5))*K32)/Client_Margin($C32),"-")</f>
        <v>0</v>
      </c>
      <c r="L33" s="15" cm="1">
        <f t="array" ref="L33">IFERROR((_xlfn._xlws.FILTER(INDEX(Margin[],0,MATCH(L$1&amp;"_"&amp;L$3,Margin[#Headers],0)),(Margin[Index]=L$2)*(Margin[Strategy]=L$5))*L32)/Client_Margin($C32),"-")</f>
        <v>0</v>
      </c>
      <c r="M33" s="15" cm="1">
        <f t="array" ref="M33">IFERROR((_xlfn._xlws.FILTER(INDEX(Margin[],0,MATCH(M$1&amp;"_"&amp;M$3,Margin[#Headers],0)),(Margin[Index]=M$2)*(Margin[Strategy]=M$5))*M32)/Client_Margin($C32),"-")</f>
        <v>0</v>
      </c>
      <c r="N33" s="15" cm="1">
        <f t="array" ref="N33">IFERROR((_xlfn._xlws.FILTER(INDEX(Margin[],0,MATCH(N$1&amp;"_"&amp;N$3,Margin[#Headers],0)),(Margin[Index]=N$2)*(Margin[Strategy]=N$5))*N32)/Client_Margin($C32),"-")</f>
        <v>0</v>
      </c>
      <c r="O33" s="15" cm="1">
        <f t="array" ref="O33">IFERROR((_xlfn._xlws.FILTER(INDEX(Margin[],0,MATCH(O$1&amp;"_"&amp;O$3,Margin[#Headers],0)),(Margin[Index]=O$2)*(Margin[Strategy]=O$5))*O32)/Client_Margin($C32),"-")</f>
        <v>0</v>
      </c>
    </row>
    <row r="34" spans="1:15" x14ac:dyDescent="0.25">
      <c r="A34" t="str">
        <f>_xlfn.XLOOKUP(C34,'OI QTY'!$O$5:$O$21,'OI QTY'!$N$5:$N$21,"")</f>
        <v>K</v>
      </c>
      <c r="B34">
        <f t="shared" si="4"/>
        <v>1</v>
      </c>
      <c r="C34" s="14" t="s">
        <v>113</v>
      </c>
      <c r="D34" s="14" cm="1">
        <f t="array" ref="D34">(_xlfn._xlws.FILTER(Fund[Margin],Fund[Client Id]=C34))/10000000</f>
        <v>1.3</v>
      </c>
      <c r="E34" s="17"/>
      <c r="F34" s="14" t="str" cm="1">
        <f t="array" ref="F34">IFERROR(IF(ROUNDUP((Client_Margin($C34)*Alloted(F$3,F$2,F$5)/Get_Margin(F$3,F$2,F$5,F$1)),0)*Get_Margin(F$3,F$2,F$5,F$1)&gt;((Client_Margin($C34)*Alloted(F$3,F$2,F$5)/Get_Margin(F$3,F$2,F$5,F$1))*Get_Margin(F$3,F$2,F$5,F$1))*$D$3,ROUNDDOWN((Client_Margin($C34)*Alloted(F$3,F$2,F$5)/Get_Margin(F$3,F$2,F$5,F$1)),0),ROUNDUP((Client_Margin($C34)*Alloted(F$3,F$2,F$5)/Get_Margin(F$3,F$2,F$5,F$1)),0)),"-")</f>
        <v>-</v>
      </c>
      <c r="G34" s="14" t="str" cm="1">
        <f t="array" ref="G34">IFERROR(IF(ROUNDUP((Client_Margin($C34)*Alloted(G$3,G$2,G$5)/Get_Margin(G$3,G$2,G$5,G$1)),0)*Get_Margin(G$3,G$2,G$5,G$1)&gt;((Client_Margin($C34)*Alloted(G$3,G$2,G$5)/Get_Margin(G$3,G$2,G$5,G$1))*Get_Margin(G$3,G$2,G$5,G$1))*$D$3,ROUNDDOWN((Client_Margin($C34)*Alloted(G$3,G$2,G$5)/Get_Margin(G$3,G$2,G$5,G$1)),0),ROUNDUP((Client_Margin($C34)*Alloted(G$3,G$2,G$5)/Get_Margin(G$3,G$2,G$5,G$1)),0)),"-")</f>
        <v>-</v>
      </c>
      <c r="H34" s="14" cm="1">
        <f t="array" ref="H34">IFERROR(IF(ROUNDUP((Client_Margin($C34)*Alloted(H$3,H$2,H$5)/Get_Margin(H$3,H$2,H$5,H$1)),0)*Get_Margin(H$3,H$2,H$5,H$1)&gt;((Client_Margin($C34)*Alloted(H$3,H$2,H$5)/Get_Margin(H$3,H$2,H$5,H$1))*Get_Margin(H$3,H$2,H$5,H$1))*$D$3,ROUNDDOWN((Client_Margin($C34)*Alloted(H$3,H$2,H$5)/Get_Margin(H$3,H$2,H$5,H$1)),0),ROUNDUP((Client_Margin($C34)*Alloted(H$3,H$2,H$5)/Get_Margin(H$3,H$2,H$5,H$1)),0)),"-")</f>
        <v>2</v>
      </c>
      <c r="I34" s="41">
        <v>1</v>
      </c>
      <c r="J34" s="14" cm="1">
        <f t="array" ref="J34">IFERROR(IF(ROUNDUP((Client_Margin($C34)*Alloted(J$3,J$2,J$5)/Get_Margin(J$3,J$2,J$5,J$1)),0)*Get_Margin(J$3,J$2,J$5,J$1)&gt;((Client_Margin($C34)*Alloted(J$3,J$2,J$5)/Get_Margin(J$3,J$2,J$5,J$1))*Get_Margin(J$3,J$2,J$5,J$1))*$D$3,ROUNDDOWN((Client_Margin($C34)*Alloted(J$3,J$2,J$5)/Get_Margin(J$3,J$2,J$5,J$1)),0),ROUNDUP((Client_Margin($C34)*Alloted(J$3,J$2,J$5)/Get_Margin(J$3,J$2,J$5,J$1)),0)),"-")</f>
        <v>0</v>
      </c>
      <c r="K34" s="14" cm="1">
        <f t="array" ref="K34">IFERROR(IF(ROUNDUP((Client_Margin($C34)*Alloted(K$3,K$2,K$5)/Get_Margin(K$3,K$2,K$5,K$1)),0)*Get_Margin(K$3,K$2,K$5,K$1)&gt;((Client_Margin($C34)*Alloted(K$3,K$2,K$5)/Get_Margin(K$3,K$2,K$5,K$1))*Get_Margin(K$3,K$2,K$5,K$1))*$D$3,ROUNDDOWN((Client_Margin($C34)*Alloted(K$3,K$2,K$5)/Get_Margin(K$3,K$2,K$5,K$1)),0),ROUNDUP((Client_Margin($C34)*Alloted(K$3,K$2,K$5)/Get_Margin(K$3,K$2,K$5,K$1)),0)),"-")</f>
        <v>0</v>
      </c>
      <c r="L34" s="14" cm="1">
        <f t="array" ref="L34">IFERROR(IF(ROUNDUP((Client_Margin($C34)*Alloted(L$3,L$2,L$5)/Get_Margin(L$3,L$2,L$5,L$1)),0)*Get_Margin(L$3,L$2,L$5,L$1)&gt;((Client_Margin($C34)*Alloted(L$3,L$2,L$5)/Get_Margin(L$3,L$2,L$5,L$1))*Get_Margin(L$3,L$2,L$5,L$1))*$D$3,ROUNDDOWN((Client_Margin($C34)*Alloted(L$3,L$2,L$5)/Get_Margin(L$3,L$2,L$5,L$1)),0),ROUNDUP((Client_Margin($C34)*Alloted(L$3,L$2,L$5)/Get_Margin(L$3,L$2,L$5,L$1)),0)),"-")</f>
        <v>0</v>
      </c>
      <c r="M34" s="41">
        <v>0</v>
      </c>
      <c r="N34" s="14" cm="1">
        <f t="array" ref="N34">IFERROR(IF(ROUNDUP((Client_Margin($C34)*Alloted(N$3,N$2,N$5)/Get_Margin(N$3,N$2,N$5,N$1)),0)*Get_Margin(N$3,N$2,N$5,N$1)&gt;((Client_Margin($C34)*Alloted(N$3,N$2,N$5)/Get_Margin(N$3,N$2,N$5,N$1))*Get_Margin(N$3,N$2,N$5,N$1))*$D$3,ROUNDDOWN((Client_Margin($C34)*Alloted(N$3,N$2,N$5)/Get_Margin(N$3,N$2,N$5,N$1)),0),ROUNDUP((Client_Margin($C34)*Alloted(N$3,N$2,N$5)/Get_Margin(N$3,N$2,N$5,N$1)),0)),"-")</f>
        <v>0</v>
      </c>
      <c r="O34" s="14" cm="1">
        <f t="array" ref="O34">IFERROR(IF(ROUNDUP((Client_Margin($C34)*Alloted(O$3,O$2,O$5)/Get_Margin(O$3,O$2,O$5,O$1)),0)*Get_Margin(O$3,O$2,O$5,O$1)&gt;((Client_Margin($C34)*Alloted(O$3,O$2,O$5)/Get_Margin(O$3,O$2,O$5,O$1))*Get_Margin(O$3,O$2,O$5,O$1))*$D$3,ROUNDDOWN((Client_Margin($C34)*Alloted(O$3,O$2,O$5)/Get_Margin(O$3,O$2,O$5,O$1)),0),ROUNDUP((Client_Margin($C34)*Alloted(O$3,O$2,O$5)/Get_Margin(O$3,O$2,O$5,O$1)),0)),"-")</f>
        <v>0</v>
      </c>
    </row>
    <row r="35" spans="1:15" hidden="1" x14ac:dyDescent="0.25">
      <c r="A35">
        <f>_xlfn.XLOOKUP(C35,'OI QTY'!$O$5:$O$21,'OI QTY'!$N$5:$N$21,"")</f>
        <v>0</v>
      </c>
      <c r="B35">
        <f t="shared" si="4"/>
        <v>0</v>
      </c>
      <c r="C35" s="14"/>
      <c r="D35" s="14"/>
      <c r="E35" s="15">
        <f>SUM(F35:O35)</f>
        <v>0.25107692307692309</v>
      </c>
      <c r="F35" s="15" t="str" cm="1">
        <f t="array" ref="F35">IFERROR((_xlfn._xlws.FILTER(INDEX(Margin[],0,MATCH(F$1&amp;"_"&amp;F$3,Margin[#Headers],0)),(Margin[Index]=F$2)*(Margin[Strategy]=F$5))*F34)/Client_Margin($C34),"-")</f>
        <v>-</v>
      </c>
      <c r="G35" s="15" t="str" cm="1">
        <f t="array" ref="G35">IFERROR((_xlfn._xlws.FILTER(INDEX(Margin[],0,MATCH(G$1&amp;"_"&amp;G$3,Margin[#Headers],0)),(Margin[Index]=G$2)*(Margin[Strategy]=G$5))*G34)/Client_Margin($C34),"-")</f>
        <v>-</v>
      </c>
      <c r="H35" s="15" cm="1">
        <f t="array" ref="H35">IFERROR((_xlfn._xlws.FILTER(INDEX(Margin[],0,MATCH(H$1&amp;"_"&amp;H$3,Margin[#Headers],0)),(Margin[Index]=H$2)*(Margin[Strategy]=H$5))*H34)/Client_Margin($C34),"-")</f>
        <v>0.10707692307692308</v>
      </c>
      <c r="I35" s="15" cm="1">
        <f t="array" ref="I35">IFERROR((_xlfn._xlws.FILTER(INDEX(Margin[],0,MATCH(I$1&amp;"_"&amp;I$3,Margin[#Headers],0)),(Margin[Index]=I$2)*(Margin[Strategy]=I$5))*I34)/Client_Margin($C34),"-")</f>
        <v>0.14399999999999999</v>
      </c>
      <c r="J35" s="15" cm="1">
        <f t="array" ref="J35">IFERROR((_xlfn._xlws.FILTER(INDEX(Margin[],0,MATCH(J$1&amp;"_"&amp;J$3,Margin[#Headers],0)),(Margin[Index]=J$2)*(Margin[Strategy]=J$5))*J34)/Client_Margin($C34),"-")</f>
        <v>0</v>
      </c>
      <c r="K35" s="15" cm="1">
        <f t="array" ref="K35">IFERROR((_xlfn._xlws.FILTER(INDEX(Margin[],0,MATCH(K$1&amp;"_"&amp;K$3,Margin[#Headers],0)),(Margin[Index]=K$2)*(Margin[Strategy]=K$5))*K34)/Client_Margin($C34),"-")</f>
        <v>0</v>
      </c>
      <c r="L35" s="15" cm="1">
        <f t="array" ref="L35">IFERROR((_xlfn._xlws.FILTER(INDEX(Margin[],0,MATCH(L$1&amp;"_"&amp;L$3,Margin[#Headers],0)),(Margin[Index]=L$2)*(Margin[Strategy]=L$5))*L34)/Client_Margin($C34),"-")</f>
        <v>0</v>
      </c>
      <c r="M35" s="15" cm="1">
        <f t="array" ref="M35">IFERROR((_xlfn._xlws.FILTER(INDEX(Margin[],0,MATCH(M$1&amp;"_"&amp;M$3,Margin[#Headers],0)),(Margin[Index]=M$2)*(Margin[Strategy]=M$5))*M34)/Client_Margin($C34),"-")</f>
        <v>0</v>
      </c>
      <c r="N35" s="15" cm="1">
        <f t="array" ref="N35">IFERROR((_xlfn._xlws.FILTER(INDEX(Margin[],0,MATCH(N$1&amp;"_"&amp;N$3,Margin[#Headers],0)),(Margin[Index]=N$2)*(Margin[Strategy]=N$5))*N34)/Client_Margin($C34),"-")</f>
        <v>0</v>
      </c>
      <c r="O35" s="15" cm="1">
        <f t="array" ref="O35">IFERROR((_xlfn._xlws.FILTER(INDEX(Margin[],0,MATCH(O$1&amp;"_"&amp;O$3,Margin[#Headers],0)),(Margin[Index]=O$2)*(Margin[Strategy]=O$5))*O34)/Client_Margin($C34),"-")</f>
        <v>0</v>
      </c>
    </row>
    <row r="36" spans="1:15" hidden="1" x14ac:dyDescent="0.25">
      <c r="A36" t="str">
        <f>_xlfn.XLOOKUP(C36,'OI QTY'!$O$5:$O$21,'OI QTY'!$N$5:$N$21,"")</f>
        <v/>
      </c>
      <c r="B36">
        <f t="shared" si="4"/>
        <v>1</v>
      </c>
      <c r="C36" s="14" t="s">
        <v>38</v>
      </c>
      <c r="D36" s="14" cm="1">
        <f t="array" ref="D36">(_xlfn._xlws.FILTER(Fund[Margin],Fund[Client Id]=C36))/10000000</f>
        <v>1.5</v>
      </c>
      <c r="E36" s="17"/>
      <c r="F36" s="14" t="str" cm="1">
        <f t="array" ref="F36">IFERROR(IF(ROUNDUP((Client_Margin($C36)*Alloted(F$3,F$2,F$5)/Get_Margin(F$3,F$2,F$5,F$1)),0)*Get_Margin(F$3,F$2,F$5,F$1)&gt;((Client_Margin($C36)*Alloted(F$3,F$2,F$5)/Get_Margin(F$3,F$2,F$5,F$1))*Get_Margin(F$3,F$2,F$5,F$1))*$D$3,ROUNDDOWN((Client_Margin($C36)*Alloted(F$3,F$2,F$5)/Get_Margin(F$3,F$2,F$5,F$1)),0),ROUNDUP((Client_Margin($C36)*Alloted(F$3,F$2,F$5)/Get_Margin(F$3,F$2,F$5,F$1)),0)),"-")</f>
        <v>-</v>
      </c>
      <c r="G36" s="14" t="str" cm="1">
        <f t="array" ref="G36">IFERROR(IF(ROUNDUP((Client_Margin($C36)*Alloted(G$3,G$2,G$5)/Get_Margin(G$3,G$2,G$5,G$1)),0)*Get_Margin(G$3,G$2,G$5,G$1)&gt;((Client_Margin($C36)*Alloted(G$3,G$2,G$5)/Get_Margin(G$3,G$2,G$5,G$1))*Get_Margin(G$3,G$2,G$5,G$1))*$D$3,ROUNDDOWN((Client_Margin($C36)*Alloted(G$3,G$2,G$5)/Get_Margin(G$3,G$2,G$5,G$1)),0),ROUNDUP((Client_Margin($C36)*Alloted(G$3,G$2,G$5)/Get_Margin(G$3,G$2,G$5,G$1)),0)),"-")</f>
        <v>-</v>
      </c>
      <c r="H36" s="14" cm="1">
        <f t="array" ref="H36">IFERROR(IF(ROUNDUP((Client_Margin($C36)*Alloted(H$3,H$2,H$5)/Get_Margin(H$3,H$2,H$5,H$1)),0)*Get_Margin(H$3,H$2,H$5,H$1)&gt;((Client_Margin($C36)*Alloted(H$3,H$2,H$5)/Get_Margin(H$3,H$2,H$5,H$1))*Get_Margin(H$3,H$2,H$5,H$1))*$D$3,ROUNDDOWN((Client_Margin($C36)*Alloted(H$3,H$2,H$5)/Get_Margin(H$3,H$2,H$5,H$1)),0),ROUNDUP((Client_Margin($C36)*Alloted(H$3,H$2,H$5)/Get_Margin(H$3,H$2,H$5,H$1)),0)),"-")</f>
        <v>2</v>
      </c>
      <c r="I36" s="41">
        <v>1</v>
      </c>
      <c r="J36" s="14" cm="1">
        <f t="array" ref="J36">IFERROR(IF(ROUNDUP((Client_Margin($C36)*Alloted(J$3,J$2,J$5)/Get_Margin(J$3,J$2,J$5,J$1)),0)*Get_Margin(J$3,J$2,J$5,J$1)&gt;((Client_Margin($C36)*Alloted(J$3,J$2,J$5)/Get_Margin(J$3,J$2,J$5,J$1))*Get_Margin(J$3,J$2,J$5,J$1))*$D$3,ROUNDDOWN((Client_Margin($C36)*Alloted(J$3,J$2,J$5)/Get_Margin(J$3,J$2,J$5,J$1)),0),ROUNDUP((Client_Margin($C36)*Alloted(J$3,J$2,J$5)/Get_Margin(J$3,J$2,J$5,J$1)),0)),"-")</f>
        <v>1</v>
      </c>
      <c r="K36" s="14" cm="1">
        <f t="array" ref="K36">IFERROR(IF(ROUNDUP((Client_Margin($C36)*Alloted(K$3,K$2,K$5)/Get_Margin(K$3,K$2,K$5,K$1)),0)*Get_Margin(K$3,K$2,K$5,K$1)&gt;((Client_Margin($C36)*Alloted(K$3,K$2,K$5)/Get_Margin(K$3,K$2,K$5,K$1))*Get_Margin(K$3,K$2,K$5,K$1))*$D$3,ROUNDDOWN((Client_Margin($C36)*Alloted(K$3,K$2,K$5)/Get_Margin(K$3,K$2,K$5,K$1)),0),ROUNDUP((Client_Margin($C36)*Alloted(K$3,K$2,K$5)/Get_Margin(K$3,K$2,K$5,K$1)),0)),"-")</f>
        <v>0</v>
      </c>
      <c r="L36" s="14" cm="1">
        <f t="array" ref="L36">IFERROR(IF(ROUNDUP((Client_Margin($C36)*Alloted(L$3,L$2,L$5)/Get_Margin(L$3,L$2,L$5,L$1)),0)*Get_Margin(L$3,L$2,L$5,L$1)&gt;((Client_Margin($C36)*Alloted(L$3,L$2,L$5)/Get_Margin(L$3,L$2,L$5,L$1))*Get_Margin(L$3,L$2,L$5,L$1))*$D$3,ROUNDDOWN((Client_Margin($C36)*Alloted(L$3,L$2,L$5)/Get_Margin(L$3,L$2,L$5,L$1)),0),ROUNDUP((Client_Margin($C36)*Alloted(L$3,L$2,L$5)/Get_Margin(L$3,L$2,L$5,L$1)),0)),"-")</f>
        <v>0</v>
      </c>
      <c r="M36" s="41">
        <v>0</v>
      </c>
      <c r="N36" s="14" cm="1">
        <f t="array" ref="N36">IFERROR(IF(ROUNDUP((Client_Margin($C36)*Alloted(N$3,N$2,N$5)/Get_Margin(N$3,N$2,N$5,N$1)),0)*Get_Margin(N$3,N$2,N$5,N$1)&gt;((Client_Margin($C36)*Alloted(N$3,N$2,N$5)/Get_Margin(N$3,N$2,N$5,N$1))*Get_Margin(N$3,N$2,N$5,N$1))*$D$3,ROUNDDOWN((Client_Margin($C36)*Alloted(N$3,N$2,N$5)/Get_Margin(N$3,N$2,N$5,N$1)),0),ROUNDUP((Client_Margin($C36)*Alloted(N$3,N$2,N$5)/Get_Margin(N$3,N$2,N$5,N$1)),0)),"-")</f>
        <v>0</v>
      </c>
      <c r="O36" s="14" cm="1">
        <f t="array" ref="O36">IFERROR(IF(ROUNDUP((Client_Margin($C36)*Alloted(O$3,O$2,O$5)/Get_Margin(O$3,O$2,O$5,O$1)),0)*Get_Margin(O$3,O$2,O$5,O$1)&gt;((Client_Margin($C36)*Alloted(O$3,O$2,O$5)/Get_Margin(O$3,O$2,O$5,O$1))*Get_Margin(O$3,O$2,O$5,O$1))*$D$3,ROUNDDOWN((Client_Margin($C36)*Alloted(O$3,O$2,O$5)/Get_Margin(O$3,O$2,O$5,O$1)),0),ROUNDUP((Client_Margin($C36)*Alloted(O$3,O$2,O$5)/Get_Margin(O$3,O$2,O$5,O$1)),0)),"-")</f>
        <v>0</v>
      </c>
    </row>
    <row r="37" spans="1:15" hidden="1" x14ac:dyDescent="0.25">
      <c r="A37">
        <f>_xlfn.XLOOKUP(C37,'OI QTY'!$O$5:$O$21,'OI QTY'!$N$5:$N$21,"")</f>
        <v>0</v>
      </c>
      <c r="B37">
        <f t="shared" si="4"/>
        <v>0</v>
      </c>
      <c r="C37" s="14"/>
      <c r="D37" s="14"/>
      <c r="E37" s="15">
        <f>SUM(F37:O37)</f>
        <v>0.32426666666666665</v>
      </c>
      <c r="F37" s="15" t="str" cm="1">
        <f t="array" ref="F37">IFERROR((_xlfn._xlws.FILTER(INDEX(Margin[],0,MATCH(F$1&amp;"_"&amp;F$3,Margin[#Headers],0)),(Margin[Index]=F$2)*(Margin[Strategy]=F$5))*F36)/Client_Margin($C36),"-")</f>
        <v>-</v>
      </c>
      <c r="G37" s="15" t="str" cm="1">
        <f t="array" ref="G37">IFERROR((_xlfn._xlws.FILTER(INDEX(Margin[],0,MATCH(G$1&amp;"_"&amp;G$3,Margin[#Headers],0)),(Margin[Index]=G$2)*(Margin[Strategy]=G$5))*G36)/Client_Margin($C36),"-")</f>
        <v>-</v>
      </c>
      <c r="H37" s="15" cm="1">
        <f t="array" ref="H37">IFERROR((_xlfn._xlws.FILTER(INDEX(Margin[],0,MATCH(H$1&amp;"_"&amp;H$3,Margin[#Headers],0)),(Margin[Index]=H$2)*(Margin[Strategy]=H$5))*H36)/Client_Margin($C36),"-")</f>
        <v>9.2799999999999994E-2</v>
      </c>
      <c r="I37" s="15" cm="1">
        <f t="array" ref="I37">IFERROR((_xlfn._xlws.FILTER(INDEX(Margin[],0,MATCH(I$1&amp;"_"&amp;I$3,Margin[#Headers],0)),(Margin[Index]=I$2)*(Margin[Strategy]=I$5))*I36)/Client_Margin($C36),"-")</f>
        <v>0.12479999999999999</v>
      </c>
      <c r="J37" s="15" cm="1">
        <f t="array" ref="J37">IFERROR((_xlfn._xlws.FILTER(INDEX(Margin[],0,MATCH(J$1&amp;"_"&amp;J$3,Margin[#Headers],0)),(Margin[Index]=J$2)*(Margin[Strategy]=J$5))*J36)/Client_Margin($C36),"-")</f>
        <v>0.10666666666666667</v>
      </c>
      <c r="K37" s="15" cm="1">
        <f t="array" ref="K37">IFERROR((_xlfn._xlws.FILTER(INDEX(Margin[],0,MATCH(K$1&amp;"_"&amp;K$3,Margin[#Headers],0)),(Margin[Index]=K$2)*(Margin[Strategy]=K$5))*K36)/Client_Margin($C36),"-")</f>
        <v>0</v>
      </c>
      <c r="L37" s="15" cm="1">
        <f t="array" ref="L37">IFERROR((_xlfn._xlws.FILTER(INDEX(Margin[],0,MATCH(L$1&amp;"_"&amp;L$3,Margin[#Headers],0)),(Margin[Index]=L$2)*(Margin[Strategy]=L$5))*L36)/Client_Margin($C36),"-")</f>
        <v>0</v>
      </c>
      <c r="M37" s="15" cm="1">
        <f t="array" ref="M37">IFERROR((_xlfn._xlws.FILTER(INDEX(Margin[],0,MATCH(M$1&amp;"_"&amp;M$3,Margin[#Headers],0)),(Margin[Index]=M$2)*(Margin[Strategy]=M$5))*M36)/Client_Margin($C36),"-")</f>
        <v>0</v>
      </c>
      <c r="N37" s="15" cm="1">
        <f t="array" ref="N37">IFERROR((_xlfn._xlws.FILTER(INDEX(Margin[],0,MATCH(N$1&amp;"_"&amp;N$3,Margin[#Headers],0)),(Margin[Index]=N$2)*(Margin[Strategy]=N$5))*N36)/Client_Margin($C36),"-")</f>
        <v>0</v>
      </c>
      <c r="O37" s="15" cm="1">
        <f t="array" ref="O37">IFERROR((_xlfn._xlws.FILTER(INDEX(Margin[],0,MATCH(O$1&amp;"_"&amp;O$3,Margin[#Headers],0)),(Margin[Index]=O$2)*(Margin[Strategy]=O$5))*O36)/Client_Margin($C36),"-")</f>
        <v>0</v>
      </c>
    </row>
    <row r="38" spans="1:15" x14ac:dyDescent="0.25">
      <c r="A38" t="str">
        <f>_xlfn.XLOOKUP(C38,'OI QTY'!$O$5:$O$21,'OI QTY'!$N$5:$N$21,"")</f>
        <v>K</v>
      </c>
      <c r="B38">
        <f t="shared" si="4"/>
        <v>1</v>
      </c>
      <c r="C38" s="14" t="s">
        <v>121</v>
      </c>
      <c r="D38" s="14" cm="1">
        <f t="array" ref="D38">(_xlfn._xlws.FILTER(Fund[Margin],Fund[Client Id]=C38))/10000000</f>
        <v>1.6</v>
      </c>
      <c r="E38" s="17"/>
      <c r="F38" s="14" t="str" cm="1">
        <f t="array" ref="F38">IFERROR(IF(ROUNDUP((Client_Margin($C38)*Alloted(F$3,F$2,F$5)/Get_Margin(F$3,F$2,F$5,F$1)),0)*Get_Margin(F$3,F$2,F$5,F$1)&gt;((Client_Margin($C38)*Alloted(F$3,F$2,F$5)/Get_Margin(F$3,F$2,F$5,F$1))*Get_Margin(F$3,F$2,F$5,F$1))*$D$3,ROUNDDOWN((Client_Margin($C38)*Alloted(F$3,F$2,F$5)/Get_Margin(F$3,F$2,F$5,F$1)),0),ROUNDUP((Client_Margin($C38)*Alloted(F$3,F$2,F$5)/Get_Margin(F$3,F$2,F$5,F$1)),0)),"-")</f>
        <v>-</v>
      </c>
      <c r="G38" s="14" t="str" cm="1">
        <f t="array" ref="G38">IFERROR(IF(ROUNDUP((Client_Margin($C38)*Alloted(G$3,G$2,G$5)/Get_Margin(G$3,G$2,G$5,G$1)),0)*Get_Margin(G$3,G$2,G$5,G$1)&gt;((Client_Margin($C38)*Alloted(G$3,G$2,G$5)/Get_Margin(G$3,G$2,G$5,G$1))*Get_Margin(G$3,G$2,G$5,G$1))*$D$3,ROUNDDOWN((Client_Margin($C38)*Alloted(G$3,G$2,G$5)/Get_Margin(G$3,G$2,G$5,G$1)),0),ROUNDUP((Client_Margin($C38)*Alloted(G$3,G$2,G$5)/Get_Margin(G$3,G$2,G$5,G$1)),0)),"-")</f>
        <v>-</v>
      </c>
      <c r="H38" s="14" cm="1">
        <f t="array" ref="H38">IFERROR(IF(ROUNDUP((Client_Margin($C38)*Alloted(H$3,H$2,H$5)/Get_Margin(H$3,H$2,H$5,H$1)),0)*Get_Margin(H$3,H$2,H$5,H$1)&gt;((Client_Margin($C38)*Alloted(H$3,H$2,H$5)/Get_Margin(H$3,H$2,H$5,H$1))*Get_Margin(H$3,H$2,H$5,H$1))*$D$3,ROUNDDOWN((Client_Margin($C38)*Alloted(H$3,H$2,H$5)/Get_Margin(H$3,H$2,H$5,H$1)),0),ROUNDUP((Client_Margin($C38)*Alloted(H$3,H$2,H$5)/Get_Margin(H$3,H$2,H$5,H$1)),0)),"-")</f>
        <v>2</v>
      </c>
      <c r="I38" s="41">
        <v>1</v>
      </c>
      <c r="J38" s="14" cm="1">
        <f t="array" ref="J38">IFERROR(IF(ROUNDUP((Client_Margin($C38)*Alloted(J$3,J$2,J$5)/Get_Margin(J$3,J$2,J$5,J$1)),0)*Get_Margin(J$3,J$2,J$5,J$1)&gt;((Client_Margin($C38)*Alloted(J$3,J$2,J$5)/Get_Margin(J$3,J$2,J$5,J$1))*Get_Margin(J$3,J$2,J$5,J$1))*$D$3,ROUNDDOWN((Client_Margin($C38)*Alloted(J$3,J$2,J$5)/Get_Margin(J$3,J$2,J$5,J$1)),0),ROUNDUP((Client_Margin($C38)*Alloted(J$3,J$2,J$5)/Get_Margin(J$3,J$2,J$5,J$1)),0)),"-")</f>
        <v>1</v>
      </c>
      <c r="K38" s="14" cm="1">
        <f t="array" ref="K38">IFERROR(IF(ROUNDUP((Client_Margin($C38)*Alloted(K$3,K$2,K$5)/Get_Margin(K$3,K$2,K$5,K$1)),0)*Get_Margin(K$3,K$2,K$5,K$1)&gt;((Client_Margin($C38)*Alloted(K$3,K$2,K$5)/Get_Margin(K$3,K$2,K$5,K$1))*Get_Margin(K$3,K$2,K$5,K$1))*$D$3,ROUNDDOWN((Client_Margin($C38)*Alloted(K$3,K$2,K$5)/Get_Margin(K$3,K$2,K$5,K$1)),0),ROUNDUP((Client_Margin($C38)*Alloted(K$3,K$2,K$5)/Get_Margin(K$3,K$2,K$5,K$1)),0)),"-")</f>
        <v>0</v>
      </c>
      <c r="L38" s="14" cm="1">
        <f t="array" ref="L38">IFERROR(IF(ROUNDUP((Client_Margin($C38)*Alloted(L$3,L$2,L$5)/Get_Margin(L$3,L$2,L$5,L$1)),0)*Get_Margin(L$3,L$2,L$5,L$1)&gt;((Client_Margin($C38)*Alloted(L$3,L$2,L$5)/Get_Margin(L$3,L$2,L$5,L$1))*Get_Margin(L$3,L$2,L$5,L$1))*$D$3,ROUNDDOWN((Client_Margin($C38)*Alloted(L$3,L$2,L$5)/Get_Margin(L$3,L$2,L$5,L$1)),0),ROUNDUP((Client_Margin($C38)*Alloted(L$3,L$2,L$5)/Get_Margin(L$3,L$2,L$5,L$1)),0)),"-")</f>
        <v>0</v>
      </c>
      <c r="M38" s="41">
        <v>0</v>
      </c>
      <c r="N38" s="14" cm="1">
        <f t="array" ref="N38">IFERROR(IF(ROUNDUP((Client_Margin($C38)*Alloted(N$3,N$2,N$5)/Get_Margin(N$3,N$2,N$5,N$1)),0)*Get_Margin(N$3,N$2,N$5,N$1)&gt;((Client_Margin($C38)*Alloted(N$3,N$2,N$5)/Get_Margin(N$3,N$2,N$5,N$1))*Get_Margin(N$3,N$2,N$5,N$1))*$D$3,ROUNDDOWN((Client_Margin($C38)*Alloted(N$3,N$2,N$5)/Get_Margin(N$3,N$2,N$5,N$1)),0),ROUNDUP((Client_Margin($C38)*Alloted(N$3,N$2,N$5)/Get_Margin(N$3,N$2,N$5,N$1)),0)),"-")</f>
        <v>0</v>
      </c>
      <c r="O38" s="14" cm="1">
        <f t="array" ref="O38">IFERROR(IF(ROUNDUP((Client_Margin($C38)*Alloted(O$3,O$2,O$5)/Get_Margin(O$3,O$2,O$5,O$1)),0)*Get_Margin(O$3,O$2,O$5,O$1)&gt;((Client_Margin($C38)*Alloted(O$3,O$2,O$5)/Get_Margin(O$3,O$2,O$5,O$1))*Get_Margin(O$3,O$2,O$5,O$1))*$D$3,ROUNDDOWN((Client_Margin($C38)*Alloted(O$3,O$2,O$5)/Get_Margin(O$3,O$2,O$5,O$1)),0),ROUNDUP((Client_Margin($C38)*Alloted(O$3,O$2,O$5)/Get_Margin(O$3,O$2,O$5,O$1)),0)),"-")</f>
        <v>0</v>
      </c>
    </row>
    <row r="39" spans="1:15" hidden="1" x14ac:dyDescent="0.25">
      <c r="A39">
        <f>_xlfn.XLOOKUP(C39,'OI QTY'!$O$5:$O$21,'OI QTY'!$N$5:$N$21,"")</f>
        <v>0</v>
      </c>
      <c r="B39">
        <f t="shared" si="4"/>
        <v>0</v>
      </c>
      <c r="C39" s="14"/>
      <c r="D39" s="14"/>
      <c r="E39" s="15">
        <f>SUM(F39:O39)</f>
        <v>0.30400000000000005</v>
      </c>
      <c r="F39" s="15" t="str" cm="1">
        <f t="array" ref="F39">IFERROR((_xlfn._xlws.FILTER(INDEX(Margin[],0,MATCH(F$1&amp;"_"&amp;F$3,Margin[#Headers],0)),(Margin[Index]=F$2)*(Margin[Strategy]=F$5))*F38)/Client_Margin($C38),"-")</f>
        <v>-</v>
      </c>
      <c r="G39" s="15" t="str" cm="1">
        <f t="array" ref="G39">IFERROR((_xlfn._xlws.FILTER(INDEX(Margin[],0,MATCH(G$1&amp;"_"&amp;G$3,Margin[#Headers],0)),(Margin[Index]=G$2)*(Margin[Strategy]=G$5))*G38)/Client_Margin($C38),"-")</f>
        <v>-</v>
      </c>
      <c r="H39" s="15" cm="1">
        <f t="array" ref="H39">IFERROR((_xlfn._xlws.FILTER(INDEX(Margin[],0,MATCH(H$1&amp;"_"&amp;H$3,Margin[#Headers],0)),(Margin[Index]=H$2)*(Margin[Strategy]=H$5))*H38)/Client_Margin($C38),"-")</f>
        <v>8.6999999999999994E-2</v>
      </c>
      <c r="I39" s="15" cm="1">
        <f t="array" ref="I39">IFERROR((_xlfn._xlws.FILTER(INDEX(Margin[],0,MATCH(I$1&amp;"_"&amp;I$3,Margin[#Headers],0)),(Margin[Index]=I$2)*(Margin[Strategy]=I$5))*I38)/Client_Margin($C38),"-")</f>
        <v>0.11700000000000001</v>
      </c>
      <c r="J39" s="15" cm="1">
        <f t="array" ref="J39">IFERROR((_xlfn._xlws.FILTER(INDEX(Margin[],0,MATCH(J$1&amp;"_"&amp;J$3,Margin[#Headers],0)),(Margin[Index]=J$2)*(Margin[Strategy]=J$5))*J38)/Client_Margin($C38),"-")</f>
        <v>0.1</v>
      </c>
      <c r="K39" s="15" cm="1">
        <f t="array" ref="K39">IFERROR((_xlfn._xlws.FILTER(INDEX(Margin[],0,MATCH(K$1&amp;"_"&amp;K$3,Margin[#Headers],0)),(Margin[Index]=K$2)*(Margin[Strategy]=K$5))*K38)/Client_Margin($C38),"-")</f>
        <v>0</v>
      </c>
      <c r="L39" s="15" cm="1">
        <f t="array" ref="L39">IFERROR((_xlfn._xlws.FILTER(INDEX(Margin[],0,MATCH(L$1&amp;"_"&amp;L$3,Margin[#Headers],0)),(Margin[Index]=L$2)*(Margin[Strategy]=L$5))*L38)/Client_Margin($C38),"-")</f>
        <v>0</v>
      </c>
      <c r="M39" s="15" cm="1">
        <f t="array" ref="M39">IFERROR((_xlfn._xlws.FILTER(INDEX(Margin[],0,MATCH(M$1&amp;"_"&amp;M$3,Margin[#Headers],0)),(Margin[Index]=M$2)*(Margin[Strategy]=M$5))*M38)/Client_Margin($C38),"-")</f>
        <v>0</v>
      </c>
      <c r="N39" s="15" cm="1">
        <f t="array" ref="N39">IFERROR((_xlfn._xlws.FILTER(INDEX(Margin[],0,MATCH(N$1&amp;"_"&amp;N$3,Margin[#Headers],0)),(Margin[Index]=N$2)*(Margin[Strategy]=N$5))*N38)/Client_Margin($C38),"-")</f>
        <v>0</v>
      </c>
      <c r="O39" s="15" cm="1">
        <f t="array" ref="O39">IFERROR((_xlfn._xlws.FILTER(INDEX(Margin[],0,MATCH(O$1&amp;"_"&amp;O$3,Margin[#Headers],0)),(Margin[Index]=O$2)*(Margin[Strategy]=O$5))*O38)/Client_Margin($C38),"-")</f>
        <v>0</v>
      </c>
    </row>
    <row r="40" spans="1:15" hidden="1" x14ac:dyDescent="0.25">
      <c r="A40" t="str">
        <f>_xlfn.XLOOKUP(C40,'OI QTY'!$O$5:$O$21,'OI QTY'!$N$5:$N$21,"")</f>
        <v/>
      </c>
      <c r="B40">
        <v>1</v>
      </c>
      <c r="C40" s="14" t="s">
        <v>115</v>
      </c>
      <c r="D40" s="14" cm="1">
        <f t="array" ref="D40">(_xlfn._xlws.FILTER(Fund[Margin],Fund[Client Id]=C40))/10000000</f>
        <v>1.45</v>
      </c>
      <c r="E40" s="17"/>
      <c r="F40" s="14" t="str" cm="1">
        <f t="array" ref="F40">IFERROR(IF(ROUNDUP((Client_Margin($C40)*Alloted(F$3,F$2,F$5)/Get_Margin(F$3,F$2,F$5,F$1)),0)*Get_Margin(F$3,F$2,F$5,F$1)&gt;((Client_Margin($C40)*Alloted(F$3,F$2,F$5)/Get_Margin(F$3,F$2,F$5,F$1))*Get_Margin(F$3,F$2,F$5,F$1))*$D$3,ROUNDDOWN((Client_Margin($C40)*Alloted(F$3,F$2,F$5)/Get_Margin(F$3,F$2,F$5,F$1)),0),ROUNDUP((Client_Margin($C40)*Alloted(F$3,F$2,F$5)/Get_Margin(F$3,F$2,F$5,F$1)),0)),"-")</f>
        <v>-</v>
      </c>
      <c r="G40" s="14" t="str" cm="1">
        <f t="array" ref="G40">IFERROR(IF(ROUNDUP((Client_Margin($C40)*Alloted(G$3,G$2,G$5)/Get_Margin(G$3,G$2,G$5,G$1)),0)*Get_Margin(G$3,G$2,G$5,G$1)&gt;((Client_Margin($C40)*Alloted(G$3,G$2,G$5)/Get_Margin(G$3,G$2,G$5,G$1))*Get_Margin(G$3,G$2,G$5,G$1))*$D$3,ROUNDDOWN((Client_Margin($C40)*Alloted(G$3,G$2,G$5)/Get_Margin(G$3,G$2,G$5,G$1)),0),ROUNDUP((Client_Margin($C40)*Alloted(G$3,G$2,G$5)/Get_Margin(G$3,G$2,G$5,G$1)),0)),"-")</f>
        <v>-</v>
      </c>
      <c r="H40" s="14" cm="1">
        <f t="array" ref="H40">IFERROR(IF(ROUNDUP((Client_Margin($C40)*Alloted(H$3,H$2,H$5)/Get_Margin(H$3,H$2,H$5,H$1)),0)*Get_Margin(H$3,H$2,H$5,H$1)&gt;((Client_Margin($C40)*Alloted(H$3,H$2,H$5)/Get_Margin(H$3,H$2,H$5,H$1))*Get_Margin(H$3,H$2,H$5,H$1))*$D$3,ROUNDDOWN((Client_Margin($C40)*Alloted(H$3,H$2,H$5)/Get_Margin(H$3,H$2,H$5,H$1)),0),ROUNDUP((Client_Margin($C40)*Alloted(H$3,H$2,H$5)/Get_Margin(H$3,H$2,H$5,H$1)),0)),"-")</f>
        <v>2</v>
      </c>
      <c r="I40" s="41">
        <v>1</v>
      </c>
      <c r="J40" s="14" cm="1">
        <f t="array" ref="J40">IFERROR(IF(ROUNDUP((Client_Margin($C40)*Alloted(J$3,J$2,J$5)/Get_Margin(J$3,J$2,J$5,J$1)),0)*Get_Margin(J$3,J$2,J$5,J$1)&gt;((Client_Margin($C40)*Alloted(J$3,J$2,J$5)/Get_Margin(J$3,J$2,J$5,J$1))*Get_Margin(J$3,J$2,J$5,J$1))*$D$3,ROUNDDOWN((Client_Margin($C40)*Alloted(J$3,J$2,J$5)/Get_Margin(J$3,J$2,J$5,J$1)),0),ROUNDUP((Client_Margin($C40)*Alloted(J$3,J$2,J$5)/Get_Margin(J$3,J$2,J$5,J$1)),0)),"-")</f>
        <v>1</v>
      </c>
      <c r="K40" s="14" cm="1">
        <f t="array" ref="K40">IFERROR(IF(ROUNDUP((Client_Margin($C40)*Alloted(K$3,K$2,K$5)/Get_Margin(K$3,K$2,K$5,K$1)),0)*Get_Margin(K$3,K$2,K$5,K$1)&gt;((Client_Margin($C40)*Alloted(K$3,K$2,K$5)/Get_Margin(K$3,K$2,K$5,K$1))*Get_Margin(K$3,K$2,K$5,K$1))*$D$3,ROUNDDOWN((Client_Margin($C40)*Alloted(K$3,K$2,K$5)/Get_Margin(K$3,K$2,K$5,K$1)),0),ROUNDUP((Client_Margin($C40)*Alloted(K$3,K$2,K$5)/Get_Margin(K$3,K$2,K$5,K$1)),0)),"-")</f>
        <v>0</v>
      </c>
      <c r="L40" s="14" cm="1">
        <f t="array" ref="L40">IFERROR(IF(ROUNDUP((Client_Margin($C40)*Alloted(L$3,L$2,L$5)/Get_Margin(L$3,L$2,L$5,L$1)),0)*Get_Margin(L$3,L$2,L$5,L$1)&gt;((Client_Margin($C40)*Alloted(L$3,L$2,L$5)/Get_Margin(L$3,L$2,L$5,L$1))*Get_Margin(L$3,L$2,L$5,L$1))*$D$3,ROUNDDOWN((Client_Margin($C40)*Alloted(L$3,L$2,L$5)/Get_Margin(L$3,L$2,L$5,L$1)),0),ROUNDUP((Client_Margin($C40)*Alloted(L$3,L$2,L$5)/Get_Margin(L$3,L$2,L$5,L$1)),0)),"-")</f>
        <v>0</v>
      </c>
      <c r="M40" s="41">
        <v>0</v>
      </c>
      <c r="N40" s="14" cm="1">
        <f t="array" ref="N40">IFERROR(IF(ROUNDUP((Client_Margin($C40)*Alloted(N$3,N$2,N$5)/Get_Margin(N$3,N$2,N$5,N$1)),0)*Get_Margin(N$3,N$2,N$5,N$1)&gt;((Client_Margin($C40)*Alloted(N$3,N$2,N$5)/Get_Margin(N$3,N$2,N$5,N$1))*Get_Margin(N$3,N$2,N$5,N$1))*$D$3,ROUNDDOWN((Client_Margin($C40)*Alloted(N$3,N$2,N$5)/Get_Margin(N$3,N$2,N$5,N$1)),0),ROUNDUP((Client_Margin($C40)*Alloted(N$3,N$2,N$5)/Get_Margin(N$3,N$2,N$5,N$1)),0)),"-")</f>
        <v>0</v>
      </c>
      <c r="O40" s="14" cm="1">
        <f t="array" ref="O40">IFERROR(IF(ROUNDUP((Client_Margin($C40)*Alloted(O$3,O$2,O$5)/Get_Margin(O$3,O$2,O$5,O$1)),0)*Get_Margin(O$3,O$2,O$5,O$1)&gt;((Client_Margin($C40)*Alloted(O$3,O$2,O$5)/Get_Margin(O$3,O$2,O$5,O$1))*Get_Margin(O$3,O$2,O$5,O$1))*$D$3,ROUNDDOWN((Client_Margin($C40)*Alloted(O$3,O$2,O$5)/Get_Margin(O$3,O$2,O$5,O$1)),0),ROUNDUP((Client_Margin($C40)*Alloted(O$3,O$2,O$5)/Get_Margin(O$3,O$2,O$5,O$1)),0)),"-")</f>
        <v>0</v>
      </c>
    </row>
    <row r="41" spans="1:15" hidden="1" x14ac:dyDescent="0.25">
      <c r="A41">
        <f>_xlfn.XLOOKUP(C41,'OI QTY'!$O$5:$O$21,'OI QTY'!$N$5:$N$21,"")</f>
        <v>0</v>
      </c>
      <c r="B41">
        <v>0</v>
      </c>
      <c r="C41" s="14"/>
      <c r="D41" s="14"/>
      <c r="E41" s="15">
        <f>SUM(F41:O41)</f>
        <v>0.33544827586206893</v>
      </c>
      <c r="F41" s="15" t="str" cm="1">
        <f t="array" ref="F41">IFERROR((_xlfn._xlws.FILTER(INDEX(Margin[],0,MATCH(F$1&amp;"_"&amp;F$3,Margin[#Headers],0)),(Margin[Index]=F$2)*(Margin[Strategy]=F$5))*F40)/Client_Margin($C40),"-")</f>
        <v>-</v>
      </c>
      <c r="G41" s="15" t="str" cm="1">
        <f t="array" ref="G41">IFERROR((_xlfn._xlws.FILTER(INDEX(Margin[],0,MATCH(G$1&amp;"_"&amp;G$3,Margin[#Headers],0)),(Margin[Index]=G$2)*(Margin[Strategy]=G$5))*G40)/Client_Margin($C40),"-")</f>
        <v>-</v>
      </c>
      <c r="H41" s="15" cm="1">
        <f t="array" ref="H41">IFERROR((_xlfn._xlws.FILTER(INDEX(Margin[],0,MATCH(H$1&amp;"_"&amp;H$3,Margin[#Headers],0)),(Margin[Index]=H$2)*(Margin[Strategy]=H$5))*H40)/Client_Margin($C40),"-")</f>
        <v>9.6000000000000002E-2</v>
      </c>
      <c r="I41" s="15" cm="1">
        <f t="array" ref="I41">IFERROR((_xlfn._xlws.FILTER(INDEX(Margin[],0,MATCH(I$1&amp;"_"&amp;I$3,Margin[#Headers],0)),(Margin[Index]=I$2)*(Margin[Strategy]=I$5))*I40)/Client_Margin($C40),"-")</f>
        <v>0.12910344827586206</v>
      </c>
      <c r="J41" s="15" cm="1">
        <f t="array" ref="J41">IFERROR((_xlfn._xlws.FILTER(INDEX(Margin[],0,MATCH(J$1&amp;"_"&amp;J$3,Margin[#Headers],0)),(Margin[Index]=J$2)*(Margin[Strategy]=J$5))*J40)/Client_Margin($C40),"-")</f>
        <v>0.1103448275862069</v>
      </c>
      <c r="K41" s="15" cm="1">
        <f t="array" ref="K41">IFERROR((_xlfn._xlws.FILTER(INDEX(Margin[],0,MATCH(K$1&amp;"_"&amp;K$3,Margin[#Headers],0)),(Margin[Index]=K$2)*(Margin[Strategy]=K$5))*K40)/Client_Margin($C40),"-")</f>
        <v>0</v>
      </c>
      <c r="L41" s="15" cm="1">
        <f t="array" ref="L41">IFERROR((_xlfn._xlws.FILTER(INDEX(Margin[],0,MATCH(L$1&amp;"_"&amp;L$3,Margin[#Headers],0)),(Margin[Index]=L$2)*(Margin[Strategy]=L$5))*L40)/Client_Margin($C40),"-")</f>
        <v>0</v>
      </c>
      <c r="M41" s="15" cm="1">
        <f t="array" ref="M41">IFERROR((_xlfn._xlws.FILTER(INDEX(Margin[],0,MATCH(M$1&amp;"_"&amp;M$3,Margin[#Headers],0)),(Margin[Index]=M$2)*(Margin[Strategy]=M$5))*M40)/Client_Margin($C40),"-")</f>
        <v>0</v>
      </c>
      <c r="N41" s="15" cm="1">
        <f t="array" ref="N41">IFERROR((_xlfn._xlws.FILTER(INDEX(Margin[],0,MATCH(N$1&amp;"_"&amp;N$3,Margin[#Headers],0)),(Margin[Index]=N$2)*(Margin[Strategy]=N$5))*N40)/Client_Margin($C40),"-")</f>
        <v>0</v>
      </c>
      <c r="O41" s="15" cm="1">
        <f t="array" ref="O41">IFERROR((_xlfn._xlws.FILTER(INDEX(Margin[],0,MATCH(O$1&amp;"_"&amp;O$3,Margin[#Headers],0)),(Margin[Index]=O$2)*(Margin[Strategy]=O$5))*O40)/Client_Margin($C40),"-")</f>
        <v>0</v>
      </c>
    </row>
    <row r="42" spans="1:15" hidden="1" x14ac:dyDescent="0.25">
      <c r="A42" t="str">
        <f>_xlfn.XLOOKUP(C42,'OI QTY'!$O$5:$O$21,'OI QTY'!$N$5:$N$21,"")</f>
        <v/>
      </c>
      <c r="B42">
        <f t="shared" si="4"/>
        <v>1</v>
      </c>
      <c r="C42" s="14" t="s">
        <v>40</v>
      </c>
      <c r="D42" s="14" cm="1">
        <f t="array" ref="D42">(_xlfn._xlws.FILTER(Fund[Margin],Fund[Client Id]=C42))/10000000</f>
        <v>1.3</v>
      </c>
      <c r="E42" s="17"/>
      <c r="F42" s="14" t="str" cm="1">
        <f t="array" ref="F42">IFERROR(IF(ROUNDUP((Client_Margin($C42)*Alloted(F$3,F$2,F$5)/Get_Margin(F$3,F$2,F$5,F$1)),0)*Get_Margin(F$3,F$2,F$5,F$1)&gt;((Client_Margin($C42)*Alloted(F$3,F$2,F$5)/Get_Margin(F$3,F$2,F$5,F$1))*Get_Margin(F$3,F$2,F$5,F$1))*$D$3,ROUNDDOWN((Client_Margin($C42)*Alloted(F$3,F$2,F$5)/Get_Margin(F$3,F$2,F$5,F$1)),0),ROUNDUP((Client_Margin($C42)*Alloted(F$3,F$2,F$5)/Get_Margin(F$3,F$2,F$5,F$1)),0)),"-")</f>
        <v>-</v>
      </c>
      <c r="G42" s="14" t="str" cm="1">
        <f t="array" ref="G42">IFERROR(IF(ROUNDUP((Client_Margin($C42)*Alloted(G$3,G$2,G$5)/Get_Margin(G$3,G$2,G$5,G$1)),0)*Get_Margin(G$3,G$2,G$5,G$1)&gt;((Client_Margin($C42)*Alloted(G$3,G$2,G$5)/Get_Margin(G$3,G$2,G$5,G$1))*Get_Margin(G$3,G$2,G$5,G$1))*$D$3,ROUNDDOWN((Client_Margin($C42)*Alloted(G$3,G$2,G$5)/Get_Margin(G$3,G$2,G$5,G$1)),0),ROUNDUP((Client_Margin($C42)*Alloted(G$3,G$2,G$5)/Get_Margin(G$3,G$2,G$5,G$1)),0)),"-")</f>
        <v>-</v>
      </c>
      <c r="H42" s="14" cm="1">
        <f t="array" ref="H42">IFERROR(IF(ROUNDUP((Client_Margin($C42)*Alloted(H$3,H$2,H$5)/Get_Margin(H$3,H$2,H$5,H$1)),0)*Get_Margin(H$3,H$2,H$5,H$1)&gt;((Client_Margin($C42)*Alloted(H$3,H$2,H$5)/Get_Margin(H$3,H$2,H$5,H$1))*Get_Margin(H$3,H$2,H$5,H$1))*$D$3,ROUNDDOWN((Client_Margin($C42)*Alloted(H$3,H$2,H$5)/Get_Margin(H$3,H$2,H$5,H$1)),0),ROUNDUP((Client_Margin($C42)*Alloted(H$3,H$2,H$5)/Get_Margin(H$3,H$2,H$5,H$1)),0)),"-")</f>
        <v>2</v>
      </c>
      <c r="I42" s="41">
        <v>1</v>
      </c>
      <c r="J42" s="41">
        <v>1</v>
      </c>
      <c r="K42" s="14" cm="1">
        <f t="array" ref="K42">IFERROR(IF(ROUNDUP((Client_Margin($C42)*Alloted(K$3,K$2,K$5)/Get_Margin(K$3,K$2,K$5,K$1)),0)*Get_Margin(K$3,K$2,K$5,K$1)&gt;((Client_Margin($C42)*Alloted(K$3,K$2,K$5)/Get_Margin(K$3,K$2,K$5,K$1))*Get_Margin(K$3,K$2,K$5,K$1))*$D$3,ROUNDDOWN((Client_Margin($C42)*Alloted(K$3,K$2,K$5)/Get_Margin(K$3,K$2,K$5,K$1)),0),ROUNDUP((Client_Margin($C42)*Alloted(K$3,K$2,K$5)/Get_Margin(K$3,K$2,K$5,K$1)),0)),"-")</f>
        <v>0</v>
      </c>
      <c r="L42" s="14" cm="1">
        <f t="array" ref="L42">IFERROR(IF(ROUNDUP((Client_Margin($C42)*Alloted(L$3,L$2,L$5)/Get_Margin(L$3,L$2,L$5,L$1)),0)*Get_Margin(L$3,L$2,L$5,L$1)&gt;((Client_Margin($C42)*Alloted(L$3,L$2,L$5)/Get_Margin(L$3,L$2,L$5,L$1))*Get_Margin(L$3,L$2,L$5,L$1))*$D$3,ROUNDDOWN((Client_Margin($C42)*Alloted(L$3,L$2,L$5)/Get_Margin(L$3,L$2,L$5,L$1)),0),ROUNDUP((Client_Margin($C42)*Alloted(L$3,L$2,L$5)/Get_Margin(L$3,L$2,L$5,L$1)),0)),"-")</f>
        <v>0</v>
      </c>
      <c r="M42" s="41">
        <v>0</v>
      </c>
      <c r="N42" s="14" cm="1">
        <f t="array" ref="N42">IFERROR(IF(ROUNDUP((Client_Margin($C42)*Alloted(N$3,N$2,N$5)/Get_Margin(N$3,N$2,N$5,N$1)),0)*Get_Margin(N$3,N$2,N$5,N$1)&gt;((Client_Margin($C42)*Alloted(N$3,N$2,N$5)/Get_Margin(N$3,N$2,N$5,N$1))*Get_Margin(N$3,N$2,N$5,N$1))*$D$3,ROUNDDOWN((Client_Margin($C42)*Alloted(N$3,N$2,N$5)/Get_Margin(N$3,N$2,N$5,N$1)),0),ROUNDUP((Client_Margin($C42)*Alloted(N$3,N$2,N$5)/Get_Margin(N$3,N$2,N$5,N$1)),0)),"-")</f>
        <v>0</v>
      </c>
      <c r="O42" s="14" cm="1">
        <f t="array" ref="O42">IFERROR(IF(ROUNDUP((Client_Margin($C42)*Alloted(O$3,O$2,O$5)/Get_Margin(O$3,O$2,O$5,O$1)),0)*Get_Margin(O$3,O$2,O$5,O$1)&gt;((Client_Margin($C42)*Alloted(O$3,O$2,O$5)/Get_Margin(O$3,O$2,O$5,O$1))*Get_Margin(O$3,O$2,O$5,O$1))*$D$3,ROUNDDOWN((Client_Margin($C42)*Alloted(O$3,O$2,O$5)/Get_Margin(O$3,O$2,O$5,O$1)),0),ROUNDUP((Client_Margin($C42)*Alloted(O$3,O$2,O$5)/Get_Margin(O$3,O$2,O$5,O$1)),0)),"-")</f>
        <v>0</v>
      </c>
    </row>
    <row r="43" spans="1:15" hidden="1" x14ac:dyDescent="0.25">
      <c r="A43">
        <f>_xlfn.XLOOKUP(C43,'OI QTY'!$O$5:$O$21,'OI QTY'!$N$5:$N$21,"")</f>
        <v>0</v>
      </c>
      <c r="B43">
        <f t="shared" si="4"/>
        <v>0</v>
      </c>
      <c r="C43" s="14"/>
      <c r="D43" s="14"/>
      <c r="E43" s="15">
        <f>SUM(F43:O43)</f>
        <v>0.37415384615384617</v>
      </c>
      <c r="F43" s="15" t="str" cm="1">
        <f t="array" ref="F43">IFERROR((_xlfn._xlws.FILTER(INDEX(Margin[],0,MATCH(F$1&amp;"_"&amp;F$3,Margin[#Headers],0)),(Margin[Index]=F$2)*(Margin[Strategy]=F$5))*F42)/Client_Margin($C42),"-")</f>
        <v>-</v>
      </c>
      <c r="G43" s="15" t="str" cm="1">
        <f t="array" ref="G43">IFERROR((_xlfn._xlws.FILTER(INDEX(Margin[],0,MATCH(G$1&amp;"_"&amp;G$3,Margin[#Headers],0)),(Margin[Index]=G$2)*(Margin[Strategy]=G$5))*G42)/Client_Margin($C42),"-")</f>
        <v>-</v>
      </c>
      <c r="H43" s="15" cm="1">
        <f t="array" ref="H43">IFERROR((_xlfn._xlws.FILTER(INDEX(Margin[],0,MATCH(H$1&amp;"_"&amp;H$3,Margin[#Headers],0)),(Margin[Index]=H$2)*(Margin[Strategy]=H$5))*H42)/Client_Margin($C42),"-")</f>
        <v>0.10707692307692308</v>
      </c>
      <c r="I43" s="15" cm="1">
        <f t="array" ref="I43">IFERROR((_xlfn._xlws.FILTER(INDEX(Margin[],0,MATCH(I$1&amp;"_"&amp;I$3,Margin[#Headers],0)),(Margin[Index]=I$2)*(Margin[Strategy]=I$5))*I42)/Client_Margin($C42),"-")</f>
        <v>0.14399999999999999</v>
      </c>
      <c r="J43" s="15" cm="1">
        <f t="array" ref="J43">IFERROR((_xlfn._xlws.FILTER(INDEX(Margin[],0,MATCH(J$1&amp;"_"&amp;J$3,Margin[#Headers],0)),(Margin[Index]=J$2)*(Margin[Strategy]=J$5))*J42)/Client_Margin($C42),"-")</f>
        <v>0.12307692307692308</v>
      </c>
      <c r="K43" s="15" cm="1">
        <f t="array" ref="K43">IFERROR((_xlfn._xlws.FILTER(INDEX(Margin[],0,MATCH(K$1&amp;"_"&amp;K$3,Margin[#Headers],0)),(Margin[Index]=K$2)*(Margin[Strategy]=K$5))*K42)/Client_Margin($C42),"-")</f>
        <v>0</v>
      </c>
      <c r="L43" s="15" cm="1">
        <f t="array" ref="L43">IFERROR((_xlfn._xlws.FILTER(INDEX(Margin[],0,MATCH(L$1&amp;"_"&amp;L$3,Margin[#Headers],0)),(Margin[Index]=L$2)*(Margin[Strategy]=L$5))*L42)/Client_Margin($C42),"-")</f>
        <v>0</v>
      </c>
      <c r="M43" s="15" cm="1">
        <f t="array" ref="M43">IFERROR((_xlfn._xlws.FILTER(INDEX(Margin[],0,MATCH(M$1&amp;"_"&amp;M$3,Margin[#Headers],0)),(Margin[Index]=M$2)*(Margin[Strategy]=M$5))*M42)/Client_Margin($C42),"-")</f>
        <v>0</v>
      </c>
      <c r="N43" s="15" cm="1">
        <f t="array" ref="N43">IFERROR((_xlfn._xlws.FILTER(INDEX(Margin[],0,MATCH(N$1&amp;"_"&amp;N$3,Margin[#Headers],0)),(Margin[Index]=N$2)*(Margin[Strategy]=N$5))*N42)/Client_Margin($C42),"-")</f>
        <v>0</v>
      </c>
      <c r="O43" s="15" cm="1">
        <f t="array" ref="O43">IFERROR((_xlfn._xlws.FILTER(INDEX(Margin[],0,MATCH(O$1&amp;"_"&amp;O$3,Margin[#Headers],0)),(Margin[Index]=O$2)*(Margin[Strategy]=O$5))*O42)/Client_Margin($C42),"-")</f>
        <v>0</v>
      </c>
    </row>
  </sheetData>
  <autoFilter ref="A5:O43" xr:uid="{159FACC6-E21B-4AE1-86E3-36114C251762}">
    <filterColumn colId="0">
      <filters>
        <filter val="K"/>
        <filter val="M"/>
      </filters>
    </filterColumn>
  </autoFilter>
  <conditionalFormatting sqref="E7:O7">
    <cfRule type="expression" dxfId="14" priority="31">
      <formula>E7&gt;E$4</formula>
    </cfRule>
  </conditionalFormatting>
  <conditionalFormatting sqref="E9:O9">
    <cfRule type="expression" dxfId="13" priority="30">
      <formula>E9&gt;E$4</formula>
    </cfRule>
  </conditionalFormatting>
  <conditionalFormatting sqref="E11:O11">
    <cfRule type="expression" dxfId="12" priority="29">
      <formula>E11&gt;E$4</formula>
    </cfRule>
  </conditionalFormatting>
  <conditionalFormatting sqref="E13:O13 E15:O15">
    <cfRule type="expression" dxfId="11" priority="28">
      <formula>E13&gt;E$4</formula>
    </cfRule>
  </conditionalFormatting>
  <conditionalFormatting sqref="E17:O17">
    <cfRule type="expression" dxfId="10" priority="27">
      <formula>E17&gt;E$4</formula>
    </cfRule>
  </conditionalFormatting>
  <conditionalFormatting sqref="E19:O19 E21:O21">
    <cfRule type="expression" dxfId="9" priority="26">
      <formula>E19&gt;E$4</formula>
    </cfRule>
  </conditionalFormatting>
  <conditionalFormatting sqref="E23:O23">
    <cfRule type="expression" dxfId="8" priority="25">
      <formula>E23&gt;E$4</formula>
    </cfRule>
  </conditionalFormatting>
  <conditionalFormatting sqref="E25:O25">
    <cfRule type="expression" dxfId="7" priority="24">
      <formula>E25&gt;E$4</formula>
    </cfRule>
  </conditionalFormatting>
  <conditionalFormatting sqref="E27:O27">
    <cfRule type="expression" dxfId="6" priority="23">
      <formula>E27&gt;E$4</formula>
    </cfRule>
  </conditionalFormatting>
  <conditionalFormatting sqref="E29:O29">
    <cfRule type="expression" dxfId="5" priority="22">
      <formula>E29&gt;E$4</formula>
    </cfRule>
  </conditionalFormatting>
  <conditionalFormatting sqref="E31:O31">
    <cfRule type="expression" dxfId="4" priority="21">
      <formula>E31&gt;E$4</formula>
    </cfRule>
  </conditionalFormatting>
  <conditionalFormatting sqref="E33:O33">
    <cfRule type="expression" dxfId="3" priority="19">
      <formula>E33&gt;E$4</formula>
    </cfRule>
  </conditionalFormatting>
  <conditionalFormatting sqref="E35:O35">
    <cfRule type="expression" dxfId="2" priority="18">
      <formula>E35&gt;E$4</formula>
    </cfRule>
  </conditionalFormatting>
  <conditionalFormatting sqref="E37:O37 E39:O39 E41:O41">
    <cfRule type="expression" dxfId="1" priority="17">
      <formula>E37&gt;E$4</formula>
    </cfRule>
  </conditionalFormatting>
  <conditionalFormatting sqref="E43:O43">
    <cfRule type="expression" dxfId="0" priority="16">
      <formula>E43&gt;E$4</formula>
    </cfRule>
  </conditionalFormatting>
  <dataValidations disablePrompts="1" count="2">
    <dataValidation type="list" allowBlank="1" showInputMessage="1" showErrorMessage="1" sqref="F1:O1" xr:uid="{31AD95AB-D255-48BA-927F-AD174645C6AB}">
      <formula1>"Expiry,N.Expiry"</formula1>
    </dataValidation>
    <dataValidation type="list" allowBlank="1" showInputMessage="1" showErrorMessage="1" sqref="F3:O3" xr:uid="{BC1F24FA-A80C-404B-BF1C-91BC04E6B9CC}">
      <formula1>"W.O.H,W.H"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21ED-C59B-4F6C-B87B-0EDF0988E0E5}">
  <sheetPr codeName="Sheet7"/>
  <dimension ref="G4:P21"/>
  <sheetViews>
    <sheetView workbookViewId="0">
      <selection activeCell="O7" sqref="O7"/>
    </sheetView>
  </sheetViews>
  <sheetFormatPr defaultRowHeight="15" x14ac:dyDescent="0.25"/>
  <cols>
    <col min="7" max="7" width="11.5703125" bestFit="1" customWidth="1"/>
    <col min="8" max="8" width="7.140625" customWidth="1"/>
    <col min="15" max="15" width="11.5703125" bestFit="1" customWidth="1"/>
    <col min="16" max="16" width="14.28515625" bestFit="1" customWidth="1"/>
  </cols>
  <sheetData>
    <row r="4" spans="7:16" x14ac:dyDescent="0.25">
      <c r="G4" s="16" t="s">
        <v>50</v>
      </c>
      <c r="H4" s="16" t="s">
        <v>66</v>
      </c>
      <c r="N4" s="66" t="s">
        <v>138</v>
      </c>
      <c r="O4" s="66" t="s">
        <v>139</v>
      </c>
      <c r="P4" s="66" t="s">
        <v>140</v>
      </c>
    </row>
    <row r="5" spans="7:16" x14ac:dyDescent="0.25">
      <c r="G5" s="14" t="s">
        <v>20</v>
      </c>
      <c r="H5" s="14">
        <v>24</v>
      </c>
      <c r="N5" s="14" t="s">
        <v>118</v>
      </c>
      <c r="O5" s="14" t="s">
        <v>20</v>
      </c>
      <c r="P5" s="67">
        <v>75000000</v>
      </c>
    </row>
    <row r="6" spans="7:16" x14ac:dyDescent="0.25">
      <c r="G6" s="14" t="s">
        <v>46</v>
      </c>
      <c r="H6" s="14">
        <v>22</v>
      </c>
      <c r="N6" s="14" t="s">
        <v>119</v>
      </c>
      <c r="O6" s="14" t="s">
        <v>112</v>
      </c>
      <c r="P6" s="67">
        <v>70000000</v>
      </c>
    </row>
    <row r="7" spans="7:16" x14ac:dyDescent="0.25">
      <c r="G7" s="14" t="s">
        <v>30</v>
      </c>
      <c r="H7" s="14">
        <v>19</v>
      </c>
      <c r="N7" s="14" t="s">
        <v>119</v>
      </c>
      <c r="O7" s="14" t="s">
        <v>127</v>
      </c>
      <c r="P7" s="67">
        <v>61000000</v>
      </c>
    </row>
    <row r="8" spans="7:16" x14ac:dyDescent="0.25">
      <c r="G8" s="14" t="s">
        <v>112</v>
      </c>
      <c r="H8" s="14">
        <v>19</v>
      </c>
      <c r="N8" s="14" t="s">
        <v>119</v>
      </c>
      <c r="O8" s="14" t="s">
        <v>123</v>
      </c>
      <c r="P8" s="67">
        <v>51300000</v>
      </c>
    </row>
    <row r="9" spans="7:16" x14ac:dyDescent="0.25">
      <c r="G9" s="14" t="s">
        <v>22</v>
      </c>
      <c r="H9" s="14">
        <v>16</v>
      </c>
      <c r="N9" s="14" t="s">
        <v>119</v>
      </c>
      <c r="O9" s="14" t="s">
        <v>128</v>
      </c>
      <c r="P9" s="67">
        <v>43000000</v>
      </c>
    </row>
    <row r="10" spans="7:16" x14ac:dyDescent="0.25">
      <c r="G10" s="14" t="s">
        <v>34</v>
      </c>
      <c r="H10" s="14">
        <v>11</v>
      </c>
      <c r="N10" s="14" t="s">
        <v>120</v>
      </c>
      <c r="O10" s="14" t="s">
        <v>122</v>
      </c>
      <c r="P10" s="67">
        <v>27000000</v>
      </c>
    </row>
    <row r="11" spans="7:16" x14ac:dyDescent="0.25">
      <c r="G11" s="14" t="s">
        <v>117</v>
      </c>
      <c r="H11" s="14">
        <v>9</v>
      </c>
      <c r="N11" s="14" t="s">
        <v>120</v>
      </c>
      <c r="O11" s="14" t="s">
        <v>129</v>
      </c>
      <c r="P11" s="67">
        <v>24500000</v>
      </c>
    </row>
    <row r="12" spans="7:16" x14ac:dyDescent="0.25">
      <c r="G12" s="14" t="s">
        <v>28</v>
      </c>
      <c r="H12" s="14">
        <v>9</v>
      </c>
      <c r="N12" s="14" t="s">
        <v>120</v>
      </c>
      <c r="O12" s="14" t="s">
        <v>114</v>
      </c>
      <c r="P12" s="67">
        <v>18500000</v>
      </c>
    </row>
    <row r="13" spans="7:16" x14ac:dyDescent="0.25">
      <c r="G13" s="14" t="s">
        <v>48</v>
      </c>
      <c r="H13" s="14">
        <v>10</v>
      </c>
      <c r="N13" s="14" t="s">
        <v>120</v>
      </c>
      <c r="O13" s="14" t="s">
        <v>130</v>
      </c>
      <c r="P13" s="67">
        <v>18000000</v>
      </c>
    </row>
    <row r="14" spans="7:16" x14ac:dyDescent="0.25">
      <c r="G14" s="14" t="s">
        <v>53</v>
      </c>
      <c r="H14" s="14">
        <v>8</v>
      </c>
      <c r="N14" s="14" t="s">
        <v>120</v>
      </c>
      <c r="O14" s="14" t="s">
        <v>121</v>
      </c>
      <c r="P14" s="67">
        <v>16000000</v>
      </c>
    </row>
    <row r="15" spans="7:16" x14ac:dyDescent="0.25">
      <c r="G15" s="14" t="s">
        <v>44</v>
      </c>
      <c r="H15" s="14">
        <v>8</v>
      </c>
      <c r="N15" s="14" t="s">
        <v>120</v>
      </c>
      <c r="O15" s="14" t="s">
        <v>113</v>
      </c>
      <c r="P15" s="67">
        <v>13000000</v>
      </c>
    </row>
    <row r="16" spans="7:16" x14ac:dyDescent="0.25">
      <c r="G16" s="14" t="s">
        <v>114</v>
      </c>
      <c r="H16" s="14">
        <v>7</v>
      </c>
    </row>
    <row r="17" spans="7:8" x14ac:dyDescent="0.25">
      <c r="G17" s="14" t="s">
        <v>32</v>
      </c>
      <c r="H17" s="14">
        <v>6</v>
      </c>
    </row>
    <row r="18" spans="7:8" x14ac:dyDescent="0.25">
      <c r="G18" s="14" t="s">
        <v>113</v>
      </c>
      <c r="H18" s="14">
        <v>5</v>
      </c>
    </row>
    <row r="19" spans="7:8" x14ac:dyDescent="0.25">
      <c r="G19" s="14" t="s">
        <v>38</v>
      </c>
      <c r="H19" s="14">
        <v>5</v>
      </c>
    </row>
    <row r="20" spans="7:8" x14ac:dyDescent="0.25">
      <c r="G20" s="14" t="s">
        <v>115</v>
      </c>
      <c r="H20" s="14">
        <v>5</v>
      </c>
    </row>
    <row r="21" spans="7:8" x14ac:dyDescent="0.25">
      <c r="G21" s="14" t="s">
        <v>40</v>
      </c>
      <c r="H21" s="14">
        <v>4</v>
      </c>
    </row>
  </sheetData>
  <sortState xmlns:xlrd2="http://schemas.microsoft.com/office/spreadsheetml/2017/richdata2" ref="N5:P15">
    <sortCondition descending="1" ref="P5:P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35E9-D2B5-4E1F-A1D1-80321E97093B}">
  <sheetPr codeName="Sheet8"/>
  <dimension ref="B1:K20"/>
  <sheetViews>
    <sheetView workbookViewId="0">
      <selection activeCell="J21" sqref="J21"/>
    </sheetView>
  </sheetViews>
  <sheetFormatPr defaultRowHeight="15" x14ac:dyDescent="0.25"/>
  <cols>
    <col min="2" max="2" width="14" bestFit="1" customWidth="1"/>
    <col min="5" max="5" width="10.5703125" customWidth="1"/>
    <col min="6" max="6" width="11.5703125" bestFit="1" customWidth="1"/>
    <col min="7" max="7" width="11.5703125" customWidth="1"/>
    <col min="8" max="8" width="3.42578125" customWidth="1"/>
    <col min="9" max="9" width="13.42578125" bestFit="1" customWidth="1"/>
    <col min="10" max="10" width="10.7109375" bestFit="1" customWidth="1"/>
  </cols>
  <sheetData>
    <row r="1" spans="2:11" x14ac:dyDescent="0.25">
      <c r="B1" s="36">
        <v>57500000</v>
      </c>
      <c r="C1" s="30" t="s">
        <v>30</v>
      </c>
    </row>
    <row r="2" spans="2:11" x14ac:dyDescent="0.25">
      <c r="B2" t="s">
        <v>15</v>
      </c>
    </row>
    <row r="3" spans="2:11" ht="14.25" customHeight="1" x14ac:dyDescent="0.25">
      <c r="B3" s="16" t="s">
        <v>55</v>
      </c>
      <c r="C3" s="16" t="s">
        <v>88</v>
      </c>
      <c r="D3" s="16" t="s">
        <v>91</v>
      </c>
      <c r="E3" s="16" t="s">
        <v>87</v>
      </c>
      <c r="F3" s="16" t="s">
        <v>89</v>
      </c>
      <c r="G3" s="16" t="s">
        <v>52</v>
      </c>
      <c r="I3" s="16" t="s">
        <v>94</v>
      </c>
      <c r="J3" s="16" t="s">
        <v>90</v>
      </c>
      <c r="K3" s="16" t="s">
        <v>52</v>
      </c>
    </row>
    <row r="4" spans="2:11" x14ac:dyDescent="0.25">
      <c r="B4" s="1" t="s">
        <v>83</v>
      </c>
      <c r="C4" s="14">
        <v>35</v>
      </c>
      <c r="D4" s="14">
        <v>3</v>
      </c>
      <c r="E4" s="27">
        <v>300000</v>
      </c>
      <c r="F4" s="31">
        <f t="shared" ref="F4:F10" si="0">(C4*E4)*D4</f>
        <v>31500000</v>
      </c>
      <c r="G4" s="32">
        <f>F4/$B$1</f>
        <v>0.54782608695652169</v>
      </c>
      <c r="I4" s="31">
        <f t="shared" ref="I4:I10" si="1">J4/(C4*D4)</f>
        <v>301374.8</v>
      </c>
      <c r="J4" s="31">
        <v>31644354</v>
      </c>
      <c r="K4" s="32">
        <f t="shared" ref="K4:K10" si="2">J4/$B$1</f>
        <v>0.55033659130434787</v>
      </c>
    </row>
    <row r="5" spans="2:11" x14ac:dyDescent="0.25">
      <c r="B5" s="1" t="s">
        <v>84</v>
      </c>
      <c r="C5" s="14">
        <v>35</v>
      </c>
      <c r="D5" s="14">
        <v>3</v>
      </c>
      <c r="E5" s="27">
        <v>185000</v>
      </c>
      <c r="F5" s="31">
        <f t="shared" si="0"/>
        <v>19425000</v>
      </c>
      <c r="G5" s="32">
        <f t="shared" ref="G5:G10" si="3">F5/$B$1</f>
        <v>0.33782608695652172</v>
      </c>
      <c r="I5" s="31">
        <f t="shared" si="1"/>
        <v>185109.6</v>
      </c>
      <c r="J5" s="31">
        <v>19436508</v>
      </c>
      <c r="K5" s="32">
        <f t="shared" si="2"/>
        <v>0.33802622608695654</v>
      </c>
    </row>
    <row r="6" spans="2:11" x14ac:dyDescent="0.25">
      <c r="B6" s="1" t="s">
        <v>82</v>
      </c>
      <c r="C6" s="14">
        <v>7</v>
      </c>
      <c r="D6" s="14">
        <v>1</v>
      </c>
      <c r="E6" s="27">
        <v>350000</v>
      </c>
      <c r="F6" s="31">
        <f t="shared" si="0"/>
        <v>2450000</v>
      </c>
      <c r="G6" s="32">
        <f t="shared" si="3"/>
        <v>4.2608695652173914E-2</v>
      </c>
      <c r="I6" s="31">
        <f t="shared" si="1"/>
        <v>371428.57142857142</v>
      </c>
      <c r="J6" s="31">
        <v>2600000</v>
      </c>
      <c r="K6" s="32">
        <f t="shared" si="2"/>
        <v>4.5217391304347827E-2</v>
      </c>
    </row>
    <row r="7" spans="2:11" x14ac:dyDescent="0.25">
      <c r="B7" s="1" t="s">
        <v>85</v>
      </c>
      <c r="C7" s="14">
        <v>13</v>
      </c>
      <c r="D7" s="14">
        <v>1</v>
      </c>
      <c r="E7" s="34">
        <v>300000</v>
      </c>
      <c r="F7" s="31">
        <f t="shared" si="0"/>
        <v>3900000</v>
      </c>
      <c r="G7" s="32">
        <f t="shared" si="3"/>
        <v>6.7826086956521744E-2</v>
      </c>
      <c r="I7" s="35">
        <f t="shared" si="1"/>
        <v>272153.84615384613</v>
      </c>
      <c r="J7" s="31">
        <v>3538000</v>
      </c>
      <c r="K7" s="32">
        <f t="shared" si="2"/>
        <v>6.1530434782608695E-2</v>
      </c>
    </row>
    <row r="8" spans="2:11" x14ac:dyDescent="0.25">
      <c r="B8" s="1" t="s">
        <v>86</v>
      </c>
      <c r="C8" s="14">
        <v>13</v>
      </c>
      <c r="D8" s="14">
        <v>1</v>
      </c>
      <c r="E8" s="34">
        <v>260000</v>
      </c>
      <c r="F8" s="31">
        <f t="shared" si="0"/>
        <v>3380000</v>
      </c>
      <c r="G8" s="32">
        <f t="shared" si="3"/>
        <v>5.8782608695652175E-2</v>
      </c>
      <c r="I8" s="35">
        <f t="shared" si="1"/>
        <v>152900</v>
      </c>
      <c r="J8" s="31">
        <v>1987700</v>
      </c>
      <c r="K8" s="32">
        <f t="shared" si="2"/>
        <v>3.4568695652173916E-2</v>
      </c>
    </row>
    <row r="9" spans="2:11" x14ac:dyDescent="0.25">
      <c r="B9" s="1" t="s">
        <v>92</v>
      </c>
      <c r="C9" s="14">
        <v>4</v>
      </c>
      <c r="D9" s="14">
        <v>21</v>
      </c>
      <c r="E9" s="27">
        <v>222000</v>
      </c>
      <c r="F9" s="31">
        <f t="shared" si="0"/>
        <v>18648000</v>
      </c>
      <c r="G9" s="32">
        <f t="shared" si="3"/>
        <v>0.32431304347826084</v>
      </c>
      <c r="I9" s="31">
        <f t="shared" si="1"/>
        <v>0</v>
      </c>
      <c r="J9" s="31"/>
      <c r="K9" s="32">
        <f t="shared" si="2"/>
        <v>0</v>
      </c>
    </row>
    <row r="10" spans="2:11" x14ac:dyDescent="0.25">
      <c r="B10" s="1" t="s">
        <v>93</v>
      </c>
      <c r="C10" s="14">
        <v>4</v>
      </c>
      <c r="D10" s="14">
        <v>21</v>
      </c>
      <c r="E10" s="27">
        <v>132000</v>
      </c>
      <c r="F10" s="31">
        <f t="shared" si="0"/>
        <v>11088000</v>
      </c>
      <c r="G10" s="33">
        <f t="shared" si="3"/>
        <v>0.19283478260869566</v>
      </c>
      <c r="I10" s="31">
        <f t="shared" si="1"/>
        <v>0</v>
      </c>
      <c r="J10" s="1"/>
      <c r="K10" s="32">
        <f t="shared" si="2"/>
        <v>0</v>
      </c>
    </row>
    <row r="12" spans="2:11" x14ac:dyDescent="0.25">
      <c r="B12" t="s">
        <v>14</v>
      </c>
    </row>
    <row r="13" spans="2:11" x14ac:dyDescent="0.25">
      <c r="B13" s="16" t="s">
        <v>55</v>
      </c>
      <c r="C13" s="16" t="s">
        <v>88</v>
      </c>
      <c r="D13" s="16" t="s">
        <v>91</v>
      </c>
      <c r="E13" s="16" t="s">
        <v>87</v>
      </c>
      <c r="F13" s="16" t="s">
        <v>89</v>
      </c>
      <c r="G13" s="16" t="s">
        <v>52</v>
      </c>
      <c r="I13" s="16" t="s">
        <v>94</v>
      </c>
      <c r="J13" s="16" t="s">
        <v>90</v>
      </c>
      <c r="K13" s="16" t="s">
        <v>52</v>
      </c>
    </row>
    <row r="14" spans="2:11" x14ac:dyDescent="0.25">
      <c r="B14" s="1" t="s">
        <v>83</v>
      </c>
      <c r="C14" s="14"/>
      <c r="D14" s="14">
        <v>3</v>
      </c>
      <c r="E14" s="27">
        <v>300000</v>
      </c>
      <c r="F14" s="31">
        <f t="shared" ref="F14:F20" si="4">(C14*E14)*D14</f>
        <v>0</v>
      </c>
      <c r="G14" s="32">
        <f>F14/$B$1</f>
        <v>0</v>
      </c>
      <c r="I14" s="31" t="e">
        <f t="shared" ref="I14:I20" si="5">J14/(C14*D14)</f>
        <v>#DIV/0!</v>
      </c>
      <c r="J14" s="31">
        <v>31644354</v>
      </c>
      <c r="K14" s="32">
        <f t="shared" ref="K14:K20" si="6">J14/$B$1</f>
        <v>0.55033659130434787</v>
      </c>
    </row>
    <row r="15" spans="2:11" x14ac:dyDescent="0.25">
      <c r="B15" s="1" t="s">
        <v>84</v>
      </c>
      <c r="C15" s="14"/>
      <c r="D15" s="14">
        <v>3</v>
      </c>
      <c r="E15" s="27">
        <v>185000</v>
      </c>
      <c r="F15" s="31">
        <f t="shared" si="4"/>
        <v>0</v>
      </c>
      <c r="G15" s="32">
        <f t="shared" ref="G15:G20" si="7">F15/$B$1</f>
        <v>0</v>
      </c>
      <c r="I15" s="31" t="e">
        <f t="shared" si="5"/>
        <v>#DIV/0!</v>
      </c>
      <c r="J15" s="31">
        <v>19436508</v>
      </c>
      <c r="K15" s="32">
        <f t="shared" si="6"/>
        <v>0.33802622608695654</v>
      </c>
    </row>
    <row r="16" spans="2:11" x14ac:dyDescent="0.25">
      <c r="B16" s="1" t="s">
        <v>82</v>
      </c>
      <c r="C16" s="14"/>
      <c r="D16" s="14">
        <v>1</v>
      </c>
      <c r="E16" s="27">
        <v>350000</v>
      </c>
      <c r="F16" s="31">
        <f t="shared" si="4"/>
        <v>0</v>
      </c>
      <c r="G16" s="32">
        <f t="shared" si="7"/>
        <v>0</v>
      </c>
      <c r="I16" s="31" t="e">
        <f t="shared" si="5"/>
        <v>#DIV/0!</v>
      </c>
      <c r="J16" s="31">
        <v>2600000</v>
      </c>
      <c r="K16" s="32">
        <f t="shared" si="6"/>
        <v>4.5217391304347827E-2</v>
      </c>
    </row>
    <row r="17" spans="2:11" x14ac:dyDescent="0.25">
      <c r="B17" s="1" t="s">
        <v>85</v>
      </c>
      <c r="C17" s="14"/>
      <c r="D17" s="14">
        <v>1</v>
      </c>
      <c r="E17" s="34">
        <v>300000</v>
      </c>
      <c r="F17" s="31">
        <f t="shared" si="4"/>
        <v>0</v>
      </c>
      <c r="G17" s="32">
        <f t="shared" si="7"/>
        <v>0</v>
      </c>
      <c r="I17" s="35" t="e">
        <f t="shared" si="5"/>
        <v>#DIV/0!</v>
      </c>
      <c r="J17" s="31">
        <v>3538000</v>
      </c>
      <c r="K17" s="32">
        <f t="shared" si="6"/>
        <v>6.1530434782608695E-2</v>
      </c>
    </row>
    <row r="18" spans="2:11" x14ac:dyDescent="0.25">
      <c r="B18" s="1" t="s">
        <v>86</v>
      </c>
      <c r="C18" s="14"/>
      <c r="D18" s="14">
        <v>1</v>
      </c>
      <c r="E18" s="34">
        <v>260000</v>
      </c>
      <c r="F18" s="31">
        <f t="shared" si="4"/>
        <v>0</v>
      </c>
      <c r="G18" s="32">
        <f t="shared" si="7"/>
        <v>0</v>
      </c>
      <c r="I18" s="35" t="e">
        <f t="shared" si="5"/>
        <v>#DIV/0!</v>
      </c>
      <c r="J18" s="31">
        <v>1987700</v>
      </c>
      <c r="K18" s="32">
        <f t="shared" si="6"/>
        <v>3.4568695652173916E-2</v>
      </c>
    </row>
    <row r="19" spans="2:11" x14ac:dyDescent="0.25">
      <c r="B19" s="1" t="s">
        <v>92</v>
      </c>
      <c r="C19" s="14"/>
      <c r="D19" s="14">
        <v>21</v>
      </c>
      <c r="E19" s="27">
        <v>222000</v>
      </c>
      <c r="F19" s="31">
        <f t="shared" si="4"/>
        <v>0</v>
      </c>
      <c r="G19" s="32">
        <f t="shared" si="7"/>
        <v>0</v>
      </c>
      <c r="I19" s="31" t="e">
        <f t="shared" si="5"/>
        <v>#DIV/0!</v>
      </c>
      <c r="J19" s="31"/>
      <c r="K19" s="32">
        <f t="shared" si="6"/>
        <v>0</v>
      </c>
    </row>
    <row r="20" spans="2:11" x14ac:dyDescent="0.25">
      <c r="B20" s="1" t="s">
        <v>93</v>
      </c>
      <c r="C20" s="14"/>
      <c r="D20" s="14">
        <v>21</v>
      </c>
      <c r="E20" s="27">
        <v>132000</v>
      </c>
      <c r="F20" s="31">
        <f t="shared" si="4"/>
        <v>0</v>
      </c>
      <c r="G20" s="33">
        <f t="shared" si="7"/>
        <v>0</v>
      </c>
      <c r="I20" s="31" t="e">
        <f t="shared" si="5"/>
        <v>#DIV/0!</v>
      </c>
      <c r="J20" s="1"/>
      <c r="K20" s="32">
        <f t="shared" si="6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A108-9368-4EEA-8EB6-70820168F51F}">
  <sheetPr codeName="Sheet9"/>
  <dimension ref="C2:I8"/>
  <sheetViews>
    <sheetView workbookViewId="0">
      <selection activeCell="J21" sqref="J21"/>
    </sheetView>
  </sheetViews>
  <sheetFormatPr defaultRowHeight="15" x14ac:dyDescent="0.25"/>
  <cols>
    <col min="3" max="3" width="10.5703125" customWidth="1"/>
    <col min="4" max="4" width="11.5703125" customWidth="1"/>
    <col min="5" max="5" width="13.140625" customWidth="1"/>
    <col min="6" max="6" width="12.85546875" customWidth="1"/>
    <col min="7" max="7" width="13.42578125" customWidth="1"/>
    <col min="8" max="8" width="11.85546875" customWidth="1"/>
    <col min="9" max="9" width="12.5703125" customWidth="1"/>
  </cols>
  <sheetData>
    <row r="2" spans="3:9" x14ac:dyDescent="0.25">
      <c r="C2" s="69" t="s">
        <v>98</v>
      </c>
      <c r="D2" s="68" t="s">
        <v>14</v>
      </c>
      <c r="E2" s="68"/>
      <c r="F2" s="68" t="s">
        <v>15</v>
      </c>
      <c r="G2" s="68"/>
      <c r="H2" s="68" t="s">
        <v>81</v>
      </c>
      <c r="I2" s="68"/>
    </row>
    <row r="3" spans="3:9" x14ac:dyDescent="0.25">
      <c r="C3" s="69"/>
      <c r="D3" s="16" t="s">
        <v>96</v>
      </c>
      <c r="E3" s="16" t="s">
        <v>97</v>
      </c>
      <c r="F3" s="16" t="s">
        <v>96</v>
      </c>
      <c r="G3" s="16" t="s">
        <v>97</v>
      </c>
      <c r="H3" s="16" t="s">
        <v>96</v>
      </c>
      <c r="I3" s="16" t="s">
        <v>97</v>
      </c>
    </row>
    <row r="4" spans="3:9" x14ac:dyDescent="0.25">
      <c r="C4" s="1" t="s">
        <v>1</v>
      </c>
      <c r="D4" s="27">
        <v>300000</v>
      </c>
      <c r="E4" s="27">
        <v>210000</v>
      </c>
      <c r="F4" s="27">
        <v>300000</v>
      </c>
      <c r="G4" s="27">
        <v>185000</v>
      </c>
      <c r="H4" s="27" t="s">
        <v>101</v>
      </c>
      <c r="I4" s="27" t="s">
        <v>101</v>
      </c>
    </row>
    <row r="5" spans="3:9" x14ac:dyDescent="0.25">
      <c r="C5" s="1" t="s">
        <v>95</v>
      </c>
      <c r="D5" s="27">
        <v>310000</v>
      </c>
      <c r="E5" s="27">
        <v>235000</v>
      </c>
      <c r="F5" s="27" t="s">
        <v>101</v>
      </c>
      <c r="G5" s="27" t="s">
        <v>101</v>
      </c>
      <c r="H5" s="27">
        <v>310000</v>
      </c>
      <c r="I5" s="27"/>
    </row>
    <row r="6" spans="3:9" x14ac:dyDescent="0.25">
      <c r="C6" s="1" t="s">
        <v>0</v>
      </c>
      <c r="D6" s="27">
        <v>300000</v>
      </c>
      <c r="E6" s="27">
        <v>230000</v>
      </c>
      <c r="F6" s="27">
        <v>300000</v>
      </c>
      <c r="G6" s="27">
        <v>200000</v>
      </c>
      <c r="H6" s="27" t="s">
        <v>101</v>
      </c>
      <c r="I6" s="27" t="s">
        <v>101</v>
      </c>
    </row>
    <row r="7" spans="3:9" x14ac:dyDescent="0.25">
      <c r="C7" s="1" t="s">
        <v>99</v>
      </c>
      <c r="D7" s="27">
        <v>350000</v>
      </c>
      <c r="E7" s="27" t="s">
        <v>101</v>
      </c>
      <c r="F7" s="27" t="s">
        <v>101</v>
      </c>
      <c r="G7" s="27" t="s">
        <v>101</v>
      </c>
      <c r="H7" s="27" t="s">
        <v>101</v>
      </c>
      <c r="I7" s="27" t="s">
        <v>101</v>
      </c>
    </row>
    <row r="8" spans="3:9" x14ac:dyDescent="0.25">
      <c r="C8" s="1" t="s">
        <v>100</v>
      </c>
      <c r="D8" s="27">
        <v>275000</v>
      </c>
      <c r="E8" s="27">
        <v>150000</v>
      </c>
      <c r="F8" s="27" t="s">
        <v>101</v>
      </c>
      <c r="G8" s="27" t="s">
        <v>101</v>
      </c>
      <c r="H8" s="27" t="s">
        <v>101</v>
      </c>
      <c r="I8" s="27" t="s">
        <v>101</v>
      </c>
    </row>
  </sheetData>
  <mergeCells count="4">
    <mergeCell ref="H2:I2"/>
    <mergeCell ref="F2:G2"/>
    <mergeCell ref="D2:E2"/>
    <mergeCell ref="C2:C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Margin</vt:lpstr>
      <vt:lpstr>Mon</vt:lpstr>
      <vt:lpstr>Tue(NF)</vt:lpstr>
      <vt:lpstr>Wed</vt:lpstr>
      <vt:lpstr>Thu (SNX)</vt:lpstr>
      <vt:lpstr>Sheet1</vt:lpstr>
      <vt:lpstr>Fri</vt:lpstr>
      <vt:lpstr>OI QTY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 Jajoo</dc:creator>
  <cp:lastModifiedBy>RItes Jajoo</cp:lastModifiedBy>
  <dcterms:created xsi:type="dcterms:W3CDTF">2025-07-18T09:37:15Z</dcterms:created>
  <dcterms:modified xsi:type="dcterms:W3CDTF">2026-04-17T09:38:40Z</dcterms:modified>
</cp:coreProperties>
</file>