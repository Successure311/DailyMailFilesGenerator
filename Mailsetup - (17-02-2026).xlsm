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KC\FILES FOR MAIL\"/>
    </mc:Choice>
  </mc:AlternateContent>
  <xr:revisionPtr revIDLastSave="0" documentId="13_ncr:1_{F9A50228-DB36-451C-9BCA-97B7BFFD5B4F}" xr6:coauthVersionLast="47" xr6:coauthVersionMax="47" xr10:uidLastSave="{00000000-0000-0000-0000-000000000000}"/>
  <bookViews>
    <workbookView xWindow="28680" yWindow="1935" windowWidth="20730" windowHeight="11040" tabRatio="791" activeTab="1" xr2:uid="{C12AB212-8B60-43BA-9988-383B7D1935D8}"/>
  </bookViews>
  <sheets>
    <sheet name="Back" sheetId="28" r:id="rId1"/>
    <sheet name="Strategy List" sheetId="30" r:id="rId2"/>
    <sheet name="Lot List" sheetId="33" r:id="rId3"/>
    <sheet name="OI QTY" sheetId="22" state="hidden" r:id="rId4"/>
    <sheet name="Inputs" sheetId="29" r:id="rId5"/>
    <sheet name="Margin" sheetId="1" r:id="rId6"/>
    <sheet name="Mon" sheetId="27" r:id="rId7"/>
    <sheet name="Tue(NF)" sheetId="23" r:id="rId8"/>
    <sheet name="Wed" sheetId="26" r:id="rId9"/>
    <sheet name="Thu (SNX)" sheetId="21" r:id="rId10"/>
    <sheet name="Fri" sheetId="24" r:id="rId11"/>
    <sheet name="YJJ02" sheetId="47" r:id="rId12"/>
    <sheet name="MOSTI23247" sheetId="52" r:id="rId13"/>
    <sheet name="MOSTI23372" sheetId="53" r:id="rId14"/>
    <sheet name="SAT2484" sheetId="54" r:id="rId15"/>
    <sheet name="MOSTI22960" sheetId="31" r:id="rId16"/>
    <sheet name="OWN" sheetId="35" r:id="rId17"/>
    <sheet name="ITC2332" sheetId="36" r:id="rId18"/>
    <sheet name="MOSTI23482" sheetId="37" r:id="rId19"/>
    <sheet name="MOSTI23035" sheetId="38" r:id="rId20"/>
    <sheet name="ITC2142" sheetId="39" r:id="rId21"/>
    <sheet name="ITC2095" sheetId="40" r:id="rId22"/>
    <sheet name="YJJ01" sheetId="41" r:id="rId23"/>
    <sheet name="YJJ03" sheetId="42" r:id="rId24"/>
    <sheet name="ITC2328" sheetId="43" r:id="rId25"/>
    <sheet name="MOSTI22967" sheetId="44" r:id="rId26"/>
    <sheet name="ITC2274" sheetId="45" r:id="rId27"/>
    <sheet name="ITC2348" sheetId="46" r:id="rId28"/>
    <sheet name="ITC2089" sheetId="48" r:id="rId29"/>
    <sheet name="MOSTI22962" sheetId="49" r:id="rId30"/>
    <sheet name="EA896332" sheetId="50" r:id="rId31"/>
    <sheet name="Sheet2" sheetId="14" state="hidden" r:id="rId32"/>
    <sheet name="Sheet3" sheetId="15" state="hidden" r:id="rId33"/>
  </sheets>
  <functionGroups builtInGroupCount="19"/>
  <definedNames>
    <definedName name="_xlnm._FilterDatabase" localSheetId="10" hidden="1">Fri!$A$5:$N$38</definedName>
    <definedName name="_xlnm._FilterDatabase" localSheetId="2" hidden="1">'Lot List'!$B$1:$F$581</definedName>
    <definedName name="_xlnm._FilterDatabase" localSheetId="6" hidden="1">Mon!$A$5:$L$38</definedName>
    <definedName name="_xlnm._FilterDatabase" localSheetId="9" hidden="1">'Thu (SNX)'!$A$5:$P$38</definedName>
    <definedName name="_xlnm._FilterDatabase" localSheetId="7" hidden="1">'Tue(NF)'!$A$5:$N$38</definedName>
    <definedName name="_xlnm._FilterDatabase" localSheetId="8" hidden="1">Wed!$A$5:$N$38</definedName>
    <definedName name="_xlpm.ClientID" hidden="1" xlm="1">#NAME?</definedName>
    <definedName name="_xlpm.col_with" hidden="1" xlm="1">#NAME?</definedName>
    <definedName name="_xlpm.col_without" hidden="1" xlm="1">#NAME?</definedName>
    <definedName name="_xlpm.Day_Type" hidden="1" xlm="1">#NAME?</definedName>
    <definedName name="_xlpm.filter_cond" hidden="1" xlm="1">#NAME?</definedName>
    <definedName name="_xlpm.hedge_flag" hidden="1" xlm="1">#NAME?</definedName>
    <definedName name="_xlpm.index_name" hidden="1" xlm="1">#NAME?</definedName>
    <definedName name="_xlpm.index_val" hidden="1" xlm="1">#NAME?</definedName>
    <definedName name="_xlpm.result" hidden="1" xlm="1">#NAME?</definedName>
    <definedName name="_xlpm.strategy_name" hidden="1" xlm="1">#NAME?</definedName>
    <definedName name="_xlpm.strategy_val" hidden="1" xlm="1">#NAME?</definedName>
    <definedName name="Alloted" localSheetId="30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 localSheetId="28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 localSheetId="21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 localSheetId="20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 localSheetId="26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 localSheetId="24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 localSheetId="27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 localSheetId="29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 localSheetId="25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 localSheetId="22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 localSheetId="11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 localSheetId="23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Alloted">_xlfn.LAMBDA(_xlpm.hedge_flag,_xlpm.index_name,_xlpm.strategy_name,     _xlfn.LET(         _xlpm.col_with,  Margin[Strategy allotment % with hedge],         _xlpm.col_without, Margin[Strategy allotment % without hedge],         _xlpm.filter_cond, (Margin[Index] = _xlpm.index_name) * (Margin[Strategy] = _xlpm.strategy_name),         _xlpm.result,         IF(_xlpm.hedge_flag = "W.H",             _xlfn._xlws.FILTER(_xlpm.col_with, _xlpm.filter_cond),             _xlfn._xlws.FILTER(_xlpm.col_without, _xlpm.filter_cond)         ),         IFERROR(_xlpm.result, 0)     ) )</definedName>
    <definedName name="BANKNIFTY">Back!$C$3:$C$13</definedName>
    <definedName name="Client_Margin" localSheetId="30">_xlfn.LAMBDA(_xlpm.ClientID,_xlfn._xlws.FILTER(Fund[Margin],Fund[Client Id]=_xlpm.ClientID))</definedName>
    <definedName name="Client_Margin" localSheetId="28">_xlfn.LAMBDA(_xlpm.ClientID,_xlfn._xlws.FILTER(Fund[Margin],Fund[Client Id]=_xlpm.ClientID))</definedName>
    <definedName name="Client_Margin" localSheetId="21">_xlfn.LAMBDA(_xlpm.ClientID,_xlfn._xlws.FILTER(Fund[Margin],Fund[Client Id]=_xlpm.ClientID))</definedName>
    <definedName name="Client_Margin" localSheetId="20">_xlfn.LAMBDA(_xlpm.ClientID,_xlfn._xlws.FILTER(Fund[Margin],Fund[Client Id]=_xlpm.ClientID))</definedName>
    <definedName name="Client_Margin" localSheetId="26">_xlfn.LAMBDA(_xlpm.ClientID,_xlfn._xlws.FILTER(Fund[Margin],Fund[Client Id]=_xlpm.ClientID))</definedName>
    <definedName name="Client_Margin" localSheetId="24">_xlfn.LAMBDA(_xlpm.ClientID,_xlfn._xlws.FILTER(Fund[Margin],Fund[Client Id]=_xlpm.ClientID))</definedName>
    <definedName name="Client_Margin" localSheetId="27">_xlfn.LAMBDA(_xlpm.ClientID,_xlfn._xlws.FILTER(Fund[Margin],Fund[Client Id]=_xlpm.ClientID))</definedName>
    <definedName name="Client_Margin" localSheetId="29">_xlfn.LAMBDA(_xlpm.ClientID,_xlfn._xlws.FILTER(Fund[Margin],Fund[Client Id]=_xlpm.ClientID))</definedName>
    <definedName name="Client_Margin" localSheetId="25">_xlfn.LAMBDA(_xlpm.ClientID,_xlfn._xlws.FILTER(Fund[Margin],Fund[Client Id]=_xlpm.ClientID))</definedName>
    <definedName name="Client_Margin" localSheetId="22">_xlfn.LAMBDA(_xlpm.ClientID,_xlfn._xlws.FILTER(Fund[Margin],Fund[Client Id]=_xlpm.ClientID))</definedName>
    <definedName name="Client_Margin" localSheetId="11">_xlfn.LAMBDA(_xlpm.ClientID,_xlfn._xlws.FILTER(Fund[Margin],Fund[Client Id]=_xlpm.ClientID))</definedName>
    <definedName name="Client_Margin" localSheetId="23">_xlfn.LAMBDA(_xlpm.ClientID,_xlfn._xlws.FILTER(Fund[Margin],Fund[Client Id]=_xlpm.ClientID))</definedName>
    <definedName name="Client_Margin">_xlfn.LAMBDA(_xlpm.ClientID,_xlfn._xlws.FILTER(Fund[Margin],Fund[Client Id]=_xlpm.ClientID))</definedName>
    <definedName name="Get_Margin" localSheetId="30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 localSheetId="28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 localSheetId="21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 localSheetId="20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 localSheetId="26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 localSheetId="24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 localSheetId="27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 localSheetId="29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 localSheetId="25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 localSheetId="22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 localSheetId="11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 localSheetId="23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Get_Margin">_xlfn.LAMBDA(_xlpm.hedge_flag,_xlpm.index_val,_xlpm.strategy_val,_xlpm.Day_Type,_xlfn._xlws.FILTER(INDEX(Margin[],0,MATCH(_xlpm.Day_Type&amp;"_"&amp;_xlpm.hedge_flag,Margin[#Headers],0)),(Margin[Index]=_xlpm.index_val)*(Margin[Strategy]=_xlpm.strategy_val)))</definedName>
    <definedName name="INDEX">Back!$I$1:$I$4</definedName>
    <definedName name="NIFTY">Back!$B$3:$B$14</definedName>
    <definedName name="SENSEX">Back!$D$3:$D$13</definedName>
    <definedName name="solver_adj" localSheetId="10" hidden="1">Fri!$H$6</definedName>
    <definedName name="solver_adj" localSheetId="6" hidden="1">Mon!$H$6</definedName>
    <definedName name="solver_adj" localSheetId="9" hidden="1">'Thu (SNX)'!$H$6</definedName>
    <definedName name="solver_adj" localSheetId="7" hidden="1">'Tue(NF)'!$H$6</definedName>
    <definedName name="solver_adj" localSheetId="8" hidden="1">Wed!$H$6</definedName>
    <definedName name="solver_eng" localSheetId="10" hidden="1">1</definedName>
    <definedName name="solver_eng" localSheetId="6" hidden="1">1</definedName>
    <definedName name="solver_eng" localSheetId="9" hidden="1">1</definedName>
    <definedName name="solver_eng" localSheetId="7" hidden="1">1</definedName>
    <definedName name="solver_eng" localSheetId="8" hidden="1">1</definedName>
    <definedName name="solver_neg" localSheetId="10" hidden="1">1</definedName>
    <definedName name="solver_neg" localSheetId="6" hidden="1">1</definedName>
    <definedName name="solver_neg" localSheetId="9" hidden="1">1</definedName>
    <definedName name="solver_neg" localSheetId="7" hidden="1">1</definedName>
    <definedName name="solver_neg" localSheetId="8" hidden="1">1</definedName>
    <definedName name="solver_num" localSheetId="10" hidden="1">0</definedName>
    <definedName name="solver_num" localSheetId="6" hidden="1">0</definedName>
    <definedName name="solver_num" localSheetId="9" hidden="1">0</definedName>
    <definedName name="solver_num" localSheetId="7" hidden="1">0</definedName>
    <definedName name="solver_num" localSheetId="8" hidden="1">0</definedName>
    <definedName name="solver_opt" localSheetId="10" hidden="1">Fri!$H$4</definedName>
    <definedName name="solver_opt" localSheetId="6" hidden="1">Mon!$H$4</definedName>
    <definedName name="solver_opt" localSheetId="9" hidden="1">'Thu (SNX)'!$H$4</definedName>
    <definedName name="solver_opt" localSheetId="7" hidden="1">'Tue(NF)'!$H$4</definedName>
    <definedName name="solver_opt" localSheetId="8" hidden="1">Wed!$H$4</definedName>
    <definedName name="solver_typ" localSheetId="10" hidden="1">1</definedName>
    <definedName name="solver_typ" localSheetId="6" hidden="1">1</definedName>
    <definedName name="solver_typ" localSheetId="9" hidden="1">1</definedName>
    <definedName name="solver_typ" localSheetId="7" hidden="1">1</definedName>
    <definedName name="solver_typ" localSheetId="8" hidden="1">1</definedName>
    <definedName name="solver_val" localSheetId="10" hidden="1">0</definedName>
    <definedName name="solver_val" localSheetId="6" hidden="1">0</definedName>
    <definedName name="solver_val" localSheetId="9" hidden="1">0</definedName>
    <definedName name="solver_val" localSheetId="7" hidden="1">0</definedName>
    <definedName name="solver_val" localSheetId="8" hidden="1">0</definedName>
    <definedName name="solver_ver" localSheetId="10" hidden="1">3</definedName>
    <definedName name="solver_ver" localSheetId="6" hidden="1">3</definedName>
    <definedName name="solver_ver" localSheetId="9" hidden="1">3</definedName>
    <definedName name="solver_ver" localSheetId="7" hidden="1">3</definedName>
    <definedName name="solver_ver" localSheetId="8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7" i="30" l="1" a="1"/>
  <c r="I167" i="30" s="1"/>
  <c r="I168" i="30" a="1"/>
  <c r="I168" i="30" s="1"/>
  <c r="I169" i="30" a="1"/>
  <c r="I169" i="30" s="1"/>
  <c r="I108" i="30" a="1"/>
  <c r="I108" i="30" s="1"/>
  <c r="I109" i="30" a="1"/>
  <c r="I109" i="30" s="1"/>
  <c r="I110" i="30" a="1"/>
  <c r="I110" i="30" s="1"/>
  <c r="Q76" i="54" a="1"/>
  <c r="Q76" i="54" s="1"/>
  <c r="Q77" i="54" a="1"/>
  <c r="Q77" i="54" s="1"/>
  <c r="Q78" i="54" a="1"/>
  <c r="Q78" i="54" s="1"/>
  <c r="Q79" i="54" a="1"/>
  <c r="Q79" i="54" s="1"/>
  <c r="Q80" i="54" a="1"/>
  <c r="Q80" i="54" s="1"/>
  <c r="Q81" i="54" a="1"/>
  <c r="Q81" i="54" s="1"/>
  <c r="Q82" i="54" a="1"/>
  <c r="Q82" i="54" s="1"/>
  <c r="Q83" i="54" a="1"/>
  <c r="Q83" i="54" s="1"/>
  <c r="Q84" i="54" a="1"/>
  <c r="Q84" i="54" s="1"/>
  <c r="Q85" i="54" a="1"/>
  <c r="Q85" i="54" s="1"/>
  <c r="Q86" i="54" a="1"/>
  <c r="Q86" i="54" s="1"/>
  <c r="Q87" i="54" a="1"/>
  <c r="Q87" i="54" s="1"/>
  <c r="Q88" i="54" a="1"/>
  <c r="Q88" i="54" s="1"/>
  <c r="Q89" i="54" a="1"/>
  <c r="Q89" i="54" s="1"/>
  <c r="Q90" i="54" a="1"/>
  <c r="Q90" i="54" s="1"/>
  <c r="Q91" i="54" a="1"/>
  <c r="Q91" i="54" s="1"/>
  <c r="Q92" i="54" a="1"/>
  <c r="Q92" i="54" s="1"/>
  <c r="Q93" i="54" a="1"/>
  <c r="Q93" i="54" s="1"/>
  <c r="Q94" i="54" a="1"/>
  <c r="Q94" i="54" s="1"/>
  <c r="Q95" i="54" a="1"/>
  <c r="Q95" i="54" s="1"/>
  <c r="Q96" i="54" a="1"/>
  <c r="Q96" i="54" s="1"/>
  <c r="Q97" i="54" a="1"/>
  <c r="Q97" i="54" s="1"/>
  <c r="Q98" i="54" a="1"/>
  <c r="Q98" i="54" s="1"/>
  <c r="Q99" i="54" a="1"/>
  <c r="Q99" i="54" s="1"/>
  <c r="Q100" i="54" a="1"/>
  <c r="Q100" i="54" s="1"/>
  <c r="Q101" i="54" a="1"/>
  <c r="Q101" i="54" s="1"/>
  <c r="Q102" i="54" a="1"/>
  <c r="Q102" i="54" s="1"/>
  <c r="Q103" i="54" a="1"/>
  <c r="Q103" i="54" s="1"/>
  <c r="Q104" i="54" a="1"/>
  <c r="Q104" i="54" s="1"/>
  <c r="Q105" i="54" a="1"/>
  <c r="Q105" i="54" s="1"/>
  <c r="Q106" i="54" a="1"/>
  <c r="Q106" i="54" s="1"/>
  <c r="Q107" i="54" a="1"/>
  <c r="Q107" i="54" s="1"/>
  <c r="Q108" i="54" a="1"/>
  <c r="Q108" i="54" s="1"/>
  <c r="Q109" i="54" a="1"/>
  <c r="Q109" i="54" s="1"/>
  <c r="Q110" i="54" a="1"/>
  <c r="Q110" i="54" s="1"/>
  <c r="Q111" i="54" a="1"/>
  <c r="Q111" i="54" s="1"/>
  <c r="Q112" i="54" a="1"/>
  <c r="Q112" i="54" s="1"/>
  <c r="Q113" i="54" a="1"/>
  <c r="Q113" i="54" s="1"/>
  <c r="Q114" i="54" a="1"/>
  <c r="Q114" i="54" s="1"/>
  <c r="Q115" i="54" a="1"/>
  <c r="Q115" i="54" s="1"/>
  <c r="Q116" i="54" a="1"/>
  <c r="Q116" i="54" s="1"/>
  <c r="Q117" i="54" a="1"/>
  <c r="Q117" i="54" s="1"/>
  <c r="Q118" i="54" a="1"/>
  <c r="Q118" i="54" s="1"/>
  <c r="Q119" i="54" a="1"/>
  <c r="Q119" i="54" s="1"/>
  <c r="Q120" i="54" a="1"/>
  <c r="Q120" i="54" s="1"/>
  <c r="Q121" i="54" a="1"/>
  <c r="Q121" i="54" s="1"/>
  <c r="Q122" i="54" a="1"/>
  <c r="Q122" i="54" s="1"/>
  <c r="Q123" i="54" a="1"/>
  <c r="Q123" i="54" s="1"/>
  <c r="Q124" i="54" a="1"/>
  <c r="Q124" i="54" s="1"/>
  <c r="Q125" i="54" a="1"/>
  <c r="Q125" i="54" s="1"/>
  <c r="Q126" i="54" a="1"/>
  <c r="Q126" i="54" s="1"/>
  <c r="Q127" i="54" a="1"/>
  <c r="Q127" i="54" s="1"/>
  <c r="Q128" i="54" a="1"/>
  <c r="Q128" i="54" s="1"/>
  <c r="Q129" i="54" a="1"/>
  <c r="Q129" i="54" s="1"/>
  <c r="Q130" i="54" a="1"/>
  <c r="Q130" i="54" s="1"/>
  <c r="Q131" i="54" a="1"/>
  <c r="Q131" i="54" s="1"/>
  <c r="Q132" i="54" a="1"/>
  <c r="Q132" i="54" s="1"/>
  <c r="Q133" i="54" a="1"/>
  <c r="Q133" i="54" s="1"/>
  <c r="Q134" i="54" a="1"/>
  <c r="Q134" i="54" s="1"/>
  <c r="Q135" i="54" a="1"/>
  <c r="Q135" i="54" s="1"/>
  <c r="Q136" i="54" a="1"/>
  <c r="Q136" i="54" s="1"/>
  <c r="Q137" i="54" a="1"/>
  <c r="Q137" i="54" s="1"/>
  <c r="Q138" i="54" a="1"/>
  <c r="Q138" i="54" s="1"/>
  <c r="Q139" i="54" a="1"/>
  <c r="Q139" i="54" s="1"/>
  <c r="Q140" i="54" a="1"/>
  <c r="Q140" i="54" s="1"/>
  <c r="Q141" i="54" a="1"/>
  <c r="Q141" i="54" s="1"/>
  <c r="Q142" i="54" a="1"/>
  <c r="Q142" i="54" s="1"/>
  <c r="Q143" i="54" a="1"/>
  <c r="Q143" i="54" s="1"/>
  <c r="Q144" i="54" a="1"/>
  <c r="Q144" i="54" s="1"/>
  <c r="Q145" i="54" a="1"/>
  <c r="Q145" i="54" s="1"/>
  <c r="Q146" i="54" a="1"/>
  <c r="Q146" i="54" s="1"/>
  <c r="Q147" i="54" a="1"/>
  <c r="Q147" i="54" s="1"/>
  <c r="Q148" i="54" a="1"/>
  <c r="Q148" i="54" s="1"/>
  <c r="Q149" i="54" a="1"/>
  <c r="Q149" i="54" s="1"/>
  <c r="Q150" i="54" a="1"/>
  <c r="Q150" i="54" s="1"/>
  <c r="Q151" i="54" a="1"/>
  <c r="Q151" i="54" s="1"/>
  <c r="Q152" i="54" a="1"/>
  <c r="Q152" i="54" s="1"/>
  <c r="Q153" i="54" a="1"/>
  <c r="Q153" i="54" s="1"/>
  <c r="Q154" i="54" a="1"/>
  <c r="Q154" i="54" s="1"/>
  <c r="Q155" i="54" a="1"/>
  <c r="Q155" i="54" s="1"/>
  <c r="Q156" i="54" a="1"/>
  <c r="Q156" i="54" s="1"/>
  <c r="Q157" i="54" a="1"/>
  <c r="Q157" i="54" s="1"/>
  <c r="Q158" i="54" a="1"/>
  <c r="Q158" i="54" s="1"/>
  <c r="Q159" i="54" a="1"/>
  <c r="Q159" i="54" s="1"/>
  <c r="Q160" i="54" a="1"/>
  <c r="Q160" i="54" s="1"/>
  <c r="Q161" i="54" a="1"/>
  <c r="Q161" i="54" s="1"/>
  <c r="Q162" i="54" a="1"/>
  <c r="Q162" i="54" s="1"/>
  <c r="Q163" i="54" a="1"/>
  <c r="Q163" i="54" s="1"/>
  <c r="Q164" i="54" a="1"/>
  <c r="Q164" i="54" s="1"/>
  <c r="Q165" i="54" a="1"/>
  <c r="Q165" i="54" s="1"/>
  <c r="Q166" i="54" a="1"/>
  <c r="Q166" i="54" s="1"/>
  <c r="Q167" i="54" a="1"/>
  <c r="Q167" i="54" s="1"/>
  <c r="Q168" i="54" a="1"/>
  <c r="Q168" i="54" s="1"/>
  <c r="Q169" i="54" a="1"/>
  <c r="Q169" i="54" s="1"/>
  <c r="Q170" i="54" a="1"/>
  <c r="Q170" i="54" s="1"/>
  <c r="Q171" i="54" a="1"/>
  <c r="Q171" i="54" s="1"/>
  <c r="Q172" i="54" a="1"/>
  <c r="Q172" i="54" s="1"/>
  <c r="Q173" i="54" a="1"/>
  <c r="Q173" i="54" s="1"/>
  <c r="Q174" i="54" a="1"/>
  <c r="Q174" i="54" s="1"/>
  <c r="Q175" i="54" a="1"/>
  <c r="Q175" i="54" s="1"/>
  <c r="Q176" i="54" a="1"/>
  <c r="Q176" i="54" s="1"/>
  <c r="Q177" i="54" a="1"/>
  <c r="Q177" i="54" s="1"/>
  <c r="Q178" i="54" a="1"/>
  <c r="Q178" i="54" s="1"/>
  <c r="Q179" i="54" a="1"/>
  <c r="Q179" i="54" s="1"/>
  <c r="Q180" i="54" a="1"/>
  <c r="Q180" i="54" s="1"/>
  <c r="Q181" i="54" a="1"/>
  <c r="Q181" i="54" s="1"/>
  <c r="Q182" i="54" a="1"/>
  <c r="Q182" i="54" s="1"/>
  <c r="Q183" i="54" a="1"/>
  <c r="Q183" i="54" s="1"/>
  <c r="Q184" i="54" a="1"/>
  <c r="Q184" i="54" s="1"/>
  <c r="Q185" i="54" a="1"/>
  <c r="Q185" i="54" s="1"/>
  <c r="Q186" i="54" a="1"/>
  <c r="Q186" i="54" s="1"/>
  <c r="Q187" i="54" a="1"/>
  <c r="Q187" i="54" s="1"/>
  <c r="Q188" i="54" a="1"/>
  <c r="Q188" i="54" s="1"/>
  <c r="Q189" i="54" a="1"/>
  <c r="Q189" i="54" s="1"/>
  <c r="Q190" i="54" a="1"/>
  <c r="Q190" i="54" s="1"/>
  <c r="Q191" i="54" a="1"/>
  <c r="Q191" i="54" s="1"/>
  <c r="Q192" i="54" a="1"/>
  <c r="Q192" i="54" s="1"/>
  <c r="Q193" i="54" a="1"/>
  <c r="Q193" i="54" s="1"/>
  <c r="Q194" i="54" a="1"/>
  <c r="Q194" i="54" s="1"/>
  <c r="Q195" i="54" a="1"/>
  <c r="Q195" i="54" s="1"/>
  <c r="Q196" i="54" a="1"/>
  <c r="Q196" i="54" s="1"/>
  <c r="Q197" i="54" a="1"/>
  <c r="Q197" i="54" s="1"/>
  <c r="Q198" i="54" a="1"/>
  <c r="Q198" i="54" s="1"/>
  <c r="Q199" i="54" a="1"/>
  <c r="Q199" i="54" s="1"/>
  <c r="Q200" i="54" a="1"/>
  <c r="Q200" i="54" s="1"/>
  <c r="Q201" i="54" a="1"/>
  <c r="Q201" i="54" s="1"/>
  <c r="Q202" i="54" a="1"/>
  <c r="Q202" i="54" s="1"/>
  <c r="Q203" i="54" a="1"/>
  <c r="Q203" i="54" s="1"/>
  <c r="Q204" i="54" a="1"/>
  <c r="Q204" i="54" s="1"/>
  <c r="Q205" i="54" a="1"/>
  <c r="Q205" i="54" s="1"/>
  <c r="Q206" i="54" a="1"/>
  <c r="Q206" i="54" s="1"/>
  <c r="Q207" i="54" a="1"/>
  <c r="Q207" i="54" s="1"/>
  <c r="Q208" i="54" a="1"/>
  <c r="Q208" i="54" s="1"/>
  <c r="Q209" i="54" a="1"/>
  <c r="Q209" i="54" s="1"/>
  <c r="Q210" i="54" a="1"/>
  <c r="Q210" i="54" s="1"/>
  <c r="Q211" i="54" a="1"/>
  <c r="Q211" i="54" s="1"/>
  <c r="Q212" i="54" a="1"/>
  <c r="Q212" i="54" s="1"/>
  <c r="Q213" i="54" a="1"/>
  <c r="Q213" i="54" s="1"/>
  <c r="Q214" i="54" a="1"/>
  <c r="Q214" i="54" s="1"/>
  <c r="Q215" i="54" a="1"/>
  <c r="Q215" i="54" s="1"/>
  <c r="Q216" i="54" a="1"/>
  <c r="Q216" i="54" s="1"/>
  <c r="Q217" i="54" a="1"/>
  <c r="Q217" i="54" s="1"/>
  <c r="Q218" i="54" a="1"/>
  <c r="Q218" i="54" s="1"/>
  <c r="Q219" i="54" a="1"/>
  <c r="Q219" i="54" s="1"/>
  <c r="Q220" i="54" a="1"/>
  <c r="Q220" i="54" s="1"/>
  <c r="Q221" i="54" a="1"/>
  <c r="Q221" i="54" s="1"/>
  <c r="Q222" i="54" a="1"/>
  <c r="Q222" i="54" s="1"/>
  <c r="Q223" i="54" a="1"/>
  <c r="Q223" i="54" s="1"/>
  <c r="Q224" i="54" a="1"/>
  <c r="Q224" i="54" s="1"/>
  <c r="Q225" i="54" a="1"/>
  <c r="Q225" i="54" s="1"/>
  <c r="Q226" i="54" a="1"/>
  <c r="Q226" i="54" s="1"/>
  <c r="Q227" i="54" a="1"/>
  <c r="Q227" i="54" s="1"/>
  <c r="Q228" i="54" a="1"/>
  <c r="Q228" i="54" s="1"/>
  <c r="Q229" i="54" a="1"/>
  <c r="Q229" i="54" s="1"/>
  <c r="Q230" i="54" a="1"/>
  <c r="Q230" i="54" s="1"/>
  <c r="Q231" i="54" a="1"/>
  <c r="Q231" i="54" s="1"/>
  <c r="Q232" i="54" a="1"/>
  <c r="Q232" i="54" s="1"/>
  <c r="Q233" i="54" a="1"/>
  <c r="Q233" i="54" s="1"/>
  <c r="Q234" i="54" a="1"/>
  <c r="Q234" i="54" s="1"/>
  <c r="Q235" i="54" a="1"/>
  <c r="Q235" i="54" s="1"/>
  <c r="Q236" i="54" a="1"/>
  <c r="Q236" i="54" s="1"/>
  <c r="Q237" i="54" a="1"/>
  <c r="Q237" i="54" s="1"/>
  <c r="Q238" i="54" a="1"/>
  <c r="Q238" i="54" s="1"/>
  <c r="Q239" i="54" a="1"/>
  <c r="Q239" i="54" s="1"/>
  <c r="Q240" i="54" a="1"/>
  <c r="Q240" i="54" s="1"/>
  <c r="Q241" i="54" a="1"/>
  <c r="Q241" i="54" s="1"/>
  <c r="Q242" i="54" a="1"/>
  <c r="Q242" i="54" s="1"/>
  <c r="Q243" i="54" a="1"/>
  <c r="Q243" i="54" s="1"/>
  <c r="Q244" i="54" a="1"/>
  <c r="Q244" i="54" s="1"/>
  <c r="Q245" i="54" a="1"/>
  <c r="Q245" i="54" s="1"/>
  <c r="Q246" i="54" a="1"/>
  <c r="Q246" i="54" s="1"/>
  <c r="Q247" i="54" a="1"/>
  <c r="Q247" i="54" s="1"/>
  <c r="Q248" i="54" a="1"/>
  <c r="Q248" i="54" s="1"/>
  <c r="Q249" i="54" a="1"/>
  <c r="Q249" i="54" s="1"/>
  <c r="Q250" i="54" a="1"/>
  <c r="Q250" i="54" s="1"/>
  <c r="Q251" i="54" a="1"/>
  <c r="Q251" i="54" s="1"/>
  <c r="Q252" i="54" a="1"/>
  <c r="Q252" i="54" s="1"/>
  <c r="Q253" i="54" a="1"/>
  <c r="Q253" i="54" s="1"/>
  <c r="Q254" i="54" a="1"/>
  <c r="Q254" i="54" s="1"/>
  <c r="Q255" i="54" a="1"/>
  <c r="Q255" i="54" s="1"/>
  <c r="Q256" i="54" a="1"/>
  <c r="Q256" i="54" s="1"/>
  <c r="Q257" i="54" a="1"/>
  <c r="Q257" i="54" s="1"/>
  <c r="Q258" i="54" a="1"/>
  <c r="Q258" i="54" s="1"/>
  <c r="Q259" i="54" a="1"/>
  <c r="Q259" i="54" s="1"/>
  <c r="Q260" i="54" a="1"/>
  <c r="Q260" i="54" s="1"/>
  <c r="Q261" i="54" a="1"/>
  <c r="Q261" i="54" s="1"/>
  <c r="Q262" i="54" a="1"/>
  <c r="Q262" i="54" s="1"/>
  <c r="Q263" i="54" a="1"/>
  <c r="Q263" i="54" s="1"/>
  <c r="Q264" i="54" a="1"/>
  <c r="Q264" i="54" s="1"/>
  <c r="Q265" i="54" a="1"/>
  <c r="Q265" i="54" s="1"/>
  <c r="Q266" i="54" a="1"/>
  <c r="Q266" i="54" s="1"/>
  <c r="Q267" i="54" a="1"/>
  <c r="Q267" i="54" s="1"/>
  <c r="Q268" i="54" a="1"/>
  <c r="Q268" i="54" s="1"/>
  <c r="Q269" i="54" a="1"/>
  <c r="Q269" i="54" s="1"/>
  <c r="Q270" i="54" a="1"/>
  <c r="Q270" i="54" s="1"/>
  <c r="Q271" i="54" a="1"/>
  <c r="Q271" i="54" s="1"/>
  <c r="Q272" i="54" a="1"/>
  <c r="Q272" i="54" s="1"/>
  <c r="Q273" i="54" a="1"/>
  <c r="Q273" i="54" s="1"/>
  <c r="Q274" i="54" a="1"/>
  <c r="Q274" i="54" s="1"/>
  <c r="Q275" i="54" a="1"/>
  <c r="Q275" i="54" s="1"/>
  <c r="Q276" i="54" a="1"/>
  <c r="Q276" i="54" s="1"/>
  <c r="Q277" i="54" a="1"/>
  <c r="Q277" i="54" s="1"/>
  <c r="C76" i="54"/>
  <c r="C77" i="54"/>
  <c r="C78" i="54"/>
  <c r="C79" i="54"/>
  <c r="C80" i="54"/>
  <c r="C81" i="54"/>
  <c r="C82" i="54"/>
  <c r="C83" i="54"/>
  <c r="C84" i="54"/>
  <c r="C85" i="54"/>
  <c r="C86" i="54"/>
  <c r="C87" i="54"/>
  <c r="C88" i="54"/>
  <c r="C89" i="54"/>
  <c r="C90" i="54"/>
  <c r="C91" i="54"/>
  <c r="C92" i="54"/>
  <c r="C93" i="54"/>
  <c r="C94" i="54"/>
  <c r="C95" i="54"/>
  <c r="C96" i="54"/>
  <c r="C97" i="54"/>
  <c r="C98" i="54"/>
  <c r="C99" i="54"/>
  <c r="C100" i="54"/>
  <c r="C101" i="54"/>
  <c r="C102" i="54"/>
  <c r="C103" i="54"/>
  <c r="C104" i="54"/>
  <c r="C105" i="54"/>
  <c r="C106" i="54"/>
  <c r="C107" i="54"/>
  <c r="C108" i="54"/>
  <c r="C109" i="54"/>
  <c r="C110" i="54"/>
  <c r="C111" i="54"/>
  <c r="C112" i="54"/>
  <c r="C113" i="54"/>
  <c r="C114" i="54"/>
  <c r="C115" i="54"/>
  <c r="C116" i="54"/>
  <c r="C117" i="54"/>
  <c r="C118" i="54"/>
  <c r="C119" i="54"/>
  <c r="C120" i="54"/>
  <c r="C121" i="54"/>
  <c r="C122" i="54"/>
  <c r="C123" i="54"/>
  <c r="C124" i="54"/>
  <c r="C125" i="54"/>
  <c r="C126" i="54"/>
  <c r="C127" i="54"/>
  <c r="C128" i="54"/>
  <c r="C129" i="54"/>
  <c r="C130" i="54"/>
  <c r="C131" i="54"/>
  <c r="C132" i="54"/>
  <c r="C133" i="54"/>
  <c r="C134" i="54"/>
  <c r="C135" i="54"/>
  <c r="C136" i="54"/>
  <c r="C137" i="54"/>
  <c r="C138" i="54"/>
  <c r="C139" i="54"/>
  <c r="C140" i="54"/>
  <c r="C141" i="54"/>
  <c r="C142" i="54"/>
  <c r="C143" i="54"/>
  <c r="C144" i="54"/>
  <c r="C145" i="54"/>
  <c r="C146" i="54"/>
  <c r="C147" i="54"/>
  <c r="C148" i="54"/>
  <c r="C149" i="54"/>
  <c r="C150" i="54"/>
  <c r="C151" i="54"/>
  <c r="C152" i="54"/>
  <c r="C153" i="54"/>
  <c r="C154" i="54"/>
  <c r="C155" i="54"/>
  <c r="C156" i="54"/>
  <c r="C157" i="54"/>
  <c r="C158" i="54"/>
  <c r="C159" i="54"/>
  <c r="C160" i="54"/>
  <c r="C161" i="54"/>
  <c r="C162" i="54"/>
  <c r="C163" i="54"/>
  <c r="C164" i="54"/>
  <c r="C165" i="54"/>
  <c r="C166" i="54"/>
  <c r="C167" i="54"/>
  <c r="C168" i="54"/>
  <c r="C169" i="54"/>
  <c r="C170" i="54"/>
  <c r="C171" i="54"/>
  <c r="C172" i="54"/>
  <c r="C173" i="54"/>
  <c r="C174" i="54"/>
  <c r="C175" i="54"/>
  <c r="C176" i="54"/>
  <c r="C177" i="54"/>
  <c r="C178" i="54"/>
  <c r="C179" i="54"/>
  <c r="C180" i="54"/>
  <c r="C181" i="54"/>
  <c r="C182" i="54"/>
  <c r="C183" i="54"/>
  <c r="C184" i="54"/>
  <c r="C185" i="54"/>
  <c r="C186" i="54"/>
  <c r="C187" i="54"/>
  <c r="C188" i="54"/>
  <c r="C189" i="54"/>
  <c r="C190" i="54"/>
  <c r="C191" i="54"/>
  <c r="C192" i="54"/>
  <c r="C193" i="54"/>
  <c r="C194" i="54"/>
  <c r="C195" i="54"/>
  <c r="C196" i="54"/>
  <c r="C197" i="54"/>
  <c r="C198" i="54"/>
  <c r="C199" i="54"/>
  <c r="C200" i="54"/>
  <c r="C201" i="54"/>
  <c r="C202" i="54"/>
  <c r="C203" i="54"/>
  <c r="C204" i="54"/>
  <c r="C205" i="54"/>
  <c r="C206" i="54"/>
  <c r="C207" i="54"/>
  <c r="C208" i="54"/>
  <c r="C209" i="54"/>
  <c r="C210" i="54"/>
  <c r="C211" i="54"/>
  <c r="C212" i="54"/>
  <c r="C213" i="54"/>
  <c r="C214" i="54"/>
  <c r="C215" i="54"/>
  <c r="C216" i="54"/>
  <c r="C217" i="54"/>
  <c r="C218" i="54"/>
  <c r="C219" i="54"/>
  <c r="C220" i="54"/>
  <c r="C221" i="54"/>
  <c r="C222" i="54"/>
  <c r="C223" i="54"/>
  <c r="C224" i="54"/>
  <c r="C225" i="54"/>
  <c r="C226" i="54"/>
  <c r="C227" i="54"/>
  <c r="C228" i="54"/>
  <c r="C229" i="54"/>
  <c r="C230" i="54"/>
  <c r="C231" i="54"/>
  <c r="C232" i="54"/>
  <c r="C233" i="54"/>
  <c r="C234" i="54"/>
  <c r="C235" i="54"/>
  <c r="C236" i="54"/>
  <c r="C237" i="54"/>
  <c r="C238" i="54"/>
  <c r="C239" i="54"/>
  <c r="C240" i="54"/>
  <c r="C241" i="54"/>
  <c r="C242" i="54"/>
  <c r="C243" i="54"/>
  <c r="C244" i="54"/>
  <c r="C245" i="54"/>
  <c r="C246" i="54"/>
  <c r="C247" i="54"/>
  <c r="C248" i="54"/>
  <c r="C249" i="54"/>
  <c r="C250" i="54"/>
  <c r="C251" i="54"/>
  <c r="C252" i="54"/>
  <c r="C253" i="54"/>
  <c r="C254" i="54"/>
  <c r="C255" i="54"/>
  <c r="C256" i="54"/>
  <c r="C257" i="54"/>
  <c r="C258" i="54"/>
  <c r="C259" i="54"/>
  <c r="C260" i="54"/>
  <c r="C261" i="54"/>
  <c r="C262" i="54"/>
  <c r="C263" i="54"/>
  <c r="C264" i="54"/>
  <c r="C265" i="54"/>
  <c r="C266" i="54"/>
  <c r="C267" i="54"/>
  <c r="C268" i="54"/>
  <c r="C269" i="54"/>
  <c r="C270" i="54"/>
  <c r="C271" i="54"/>
  <c r="C272" i="54"/>
  <c r="C273" i="54"/>
  <c r="C274" i="54"/>
  <c r="C275" i="54"/>
  <c r="C276" i="54"/>
  <c r="C277" i="54"/>
  <c r="Q76" i="53" a="1"/>
  <c r="Q76" i="53" s="1"/>
  <c r="Q77" i="53" a="1"/>
  <c r="Q77" i="53" s="1"/>
  <c r="Q78" i="53" a="1"/>
  <c r="Q78" i="53" s="1"/>
  <c r="Q79" i="53" a="1"/>
  <c r="Q79" i="53" s="1"/>
  <c r="Q80" i="53" a="1"/>
  <c r="Q80" i="53" s="1"/>
  <c r="Q81" i="53" a="1"/>
  <c r="Q81" i="53" s="1"/>
  <c r="Q82" i="53" a="1"/>
  <c r="Q82" i="53" s="1"/>
  <c r="Q83" i="53" a="1"/>
  <c r="Q83" i="53" s="1"/>
  <c r="Q84" i="53" a="1"/>
  <c r="Q84" i="53" s="1"/>
  <c r="Q85" i="53" a="1"/>
  <c r="Q85" i="53" s="1"/>
  <c r="Q86" i="53" a="1"/>
  <c r="Q86" i="53" s="1"/>
  <c r="Q87" i="53" a="1"/>
  <c r="Q87" i="53" s="1"/>
  <c r="Q88" i="53" a="1"/>
  <c r="Q88" i="53" s="1"/>
  <c r="Q89" i="53" a="1"/>
  <c r="Q89" i="53" s="1"/>
  <c r="Q90" i="53" a="1"/>
  <c r="Q90" i="53" s="1"/>
  <c r="Q91" i="53" a="1"/>
  <c r="Q91" i="53" s="1"/>
  <c r="Q92" i="53" a="1"/>
  <c r="Q92" i="53" s="1"/>
  <c r="Q93" i="53" a="1"/>
  <c r="Q93" i="53" s="1"/>
  <c r="Q94" i="53" a="1"/>
  <c r="Q94" i="53" s="1"/>
  <c r="Q95" i="53" a="1"/>
  <c r="Q95" i="53" s="1"/>
  <c r="Q96" i="53" a="1"/>
  <c r="Q96" i="53" s="1"/>
  <c r="Q97" i="53" a="1"/>
  <c r="Q97" i="53" s="1"/>
  <c r="Q98" i="53" a="1"/>
  <c r="Q98" i="53" s="1"/>
  <c r="Q99" i="53" a="1"/>
  <c r="Q99" i="53" s="1"/>
  <c r="Q100" i="53" a="1"/>
  <c r="Q100" i="53" s="1"/>
  <c r="Q101" i="53" a="1"/>
  <c r="Q101" i="53" s="1"/>
  <c r="Q102" i="53" a="1"/>
  <c r="Q102" i="53" s="1"/>
  <c r="Q103" i="53" a="1"/>
  <c r="Q103" i="53" s="1"/>
  <c r="Q104" i="53" a="1"/>
  <c r="Q104" i="53" s="1"/>
  <c r="Q105" i="53" a="1"/>
  <c r="Q105" i="53" s="1"/>
  <c r="Q106" i="53" a="1"/>
  <c r="Q106" i="53" s="1"/>
  <c r="Q107" i="53" a="1"/>
  <c r="Q107" i="53" s="1"/>
  <c r="Q108" i="53" a="1"/>
  <c r="Q108" i="53" s="1"/>
  <c r="Q109" i="53" a="1"/>
  <c r="Q109" i="53" s="1"/>
  <c r="Q110" i="53" a="1"/>
  <c r="Q110" i="53" s="1"/>
  <c r="Q111" i="53" a="1"/>
  <c r="Q111" i="53" s="1"/>
  <c r="Q112" i="53" a="1"/>
  <c r="Q112" i="53" s="1"/>
  <c r="Q113" i="53" a="1"/>
  <c r="Q113" i="53" s="1"/>
  <c r="Q114" i="53" a="1"/>
  <c r="Q114" i="53" s="1"/>
  <c r="Q115" i="53" a="1"/>
  <c r="Q115" i="53" s="1"/>
  <c r="Q116" i="53" a="1"/>
  <c r="Q116" i="53" s="1"/>
  <c r="Q117" i="53" a="1"/>
  <c r="Q117" i="53" s="1"/>
  <c r="Q118" i="53" a="1"/>
  <c r="Q118" i="53" s="1"/>
  <c r="Q119" i="53" a="1"/>
  <c r="Q119" i="53" s="1"/>
  <c r="Q120" i="53" a="1"/>
  <c r="Q120" i="53" s="1"/>
  <c r="Q121" i="53" a="1"/>
  <c r="Q121" i="53" s="1"/>
  <c r="Q122" i="53" a="1"/>
  <c r="Q122" i="53" s="1"/>
  <c r="Q123" i="53" a="1"/>
  <c r="Q123" i="53" s="1"/>
  <c r="Q124" i="53" a="1"/>
  <c r="Q124" i="53" s="1"/>
  <c r="Q125" i="53" a="1"/>
  <c r="Q125" i="53" s="1"/>
  <c r="Q126" i="53" a="1"/>
  <c r="Q126" i="53" s="1"/>
  <c r="Q127" i="53" a="1"/>
  <c r="Q127" i="53" s="1"/>
  <c r="Q128" i="53" a="1"/>
  <c r="Q128" i="53" s="1"/>
  <c r="Q129" i="53" a="1"/>
  <c r="Q129" i="53" s="1"/>
  <c r="Q130" i="53" a="1"/>
  <c r="Q130" i="53" s="1"/>
  <c r="Q131" i="53" a="1"/>
  <c r="Q131" i="53" s="1"/>
  <c r="Q132" i="53" a="1"/>
  <c r="Q132" i="53" s="1"/>
  <c r="Q133" i="53" a="1"/>
  <c r="Q133" i="53" s="1"/>
  <c r="Q134" i="53" a="1"/>
  <c r="Q134" i="53" s="1"/>
  <c r="Q135" i="53" a="1"/>
  <c r="Q135" i="53" s="1"/>
  <c r="Q136" i="53" a="1"/>
  <c r="Q136" i="53" s="1"/>
  <c r="Q137" i="53" a="1"/>
  <c r="Q137" i="53" s="1"/>
  <c r="Q138" i="53" a="1"/>
  <c r="Q138" i="53" s="1"/>
  <c r="Q139" i="53" a="1"/>
  <c r="Q139" i="53" s="1"/>
  <c r="Q140" i="53" a="1"/>
  <c r="Q140" i="53" s="1"/>
  <c r="Q141" i="53" a="1"/>
  <c r="Q141" i="53" s="1"/>
  <c r="Q142" i="53" a="1"/>
  <c r="Q142" i="53" s="1"/>
  <c r="Q143" i="53" a="1"/>
  <c r="Q143" i="53" s="1"/>
  <c r="Q144" i="53" a="1"/>
  <c r="Q144" i="53" s="1"/>
  <c r="Q145" i="53" a="1"/>
  <c r="Q145" i="53" s="1"/>
  <c r="Q146" i="53" a="1"/>
  <c r="Q146" i="53" s="1"/>
  <c r="Q147" i="53" a="1"/>
  <c r="Q147" i="53" s="1"/>
  <c r="Q148" i="53" a="1"/>
  <c r="Q148" i="53" s="1"/>
  <c r="Q149" i="53" a="1"/>
  <c r="Q149" i="53" s="1"/>
  <c r="Q150" i="53" a="1"/>
  <c r="Q150" i="53" s="1"/>
  <c r="Q151" i="53" a="1"/>
  <c r="Q151" i="53" s="1"/>
  <c r="Q152" i="53" a="1"/>
  <c r="Q152" i="53" s="1"/>
  <c r="Q153" i="53" a="1"/>
  <c r="Q153" i="53" s="1"/>
  <c r="Q154" i="53" a="1"/>
  <c r="Q154" i="53" s="1"/>
  <c r="Q155" i="53" a="1"/>
  <c r="Q155" i="53" s="1"/>
  <c r="Q156" i="53" a="1"/>
  <c r="Q156" i="53" s="1"/>
  <c r="Q157" i="53" a="1"/>
  <c r="Q157" i="53" s="1"/>
  <c r="Q158" i="53" a="1"/>
  <c r="Q158" i="53" s="1"/>
  <c r="Q159" i="53" a="1"/>
  <c r="Q159" i="53" s="1"/>
  <c r="Q160" i="53" a="1"/>
  <c r="Q160" i="53" s="1"/>
  <c r="Q161" i="53" a="1"/>
  <c r="Q161" i="53" s="1"/>
  <c r="Q162" i="53" a="1"/>
  <c r="Q162" i="53" s="1"/>
  <c r="Q163" i="53" a="1"/>
  <c r="Q163" i="53" s="1"/>
  <c r="Q164" i="53" a="1"/>
  <c r="Q164" i="53" s="1"/>
  <c r="Q165" i="53" a="1"/>
  <c r="Q165" i="53" s="1"/>
  <c r="Q166" i="53" a="1"/>
  <c r="Q166" i="53" s="1"/>
  <c r="Q167" i="53" a="1"/>
  <c r="Q167" i="53" s="1"/>
  <c r="Q168" i="53" a="1"/>
  <c r="Q168" i="53" s="1"/>
  <c r="Q169" i="53" a="1"/>
  <c r="Q169" i="53" s="1"/>
  <c r="Q170" i="53" a="1"/>
  <c r="Q170" i="53" s="1"/>
  <c r="Q171" i="53" a="1"/>
  <c r="Q171" i="53" s="1"/>
  <c r="Q172" i="53" a="1"/>
  <c r="Q172" i="53" s="1"/>
  <c r="Q173" i="53" a="1"/>
  <c r="Q173" i="53" s="1"/>
  <c r="Q174" i="53" a="1"/>
  <c r="Q174" i="53" s="1"/>
  <c r="Q175" i="53" a="1"/>
  <c r="Q175" i="53" s="1"/>
  <c r="Q176" i="53" a="1"/>
  <c r="Q176" i="53" s="1"/>
  <c r="Q177" i="53" a="1"/>
  <c r="Q177" i="53" s="1"/>
  <c r="Q178" i="53" a="1"/>
  <c r="Q178" i="53" s="1"/>
  <c r="Q179" i="53" a="1"/>
  <c r="Q179" i="53" s="1"/>
  <c r="Q180" i="53" a="1"/>
  <c r="Q180" i="53" s="1"/>
  <c r="Q181" i="53" a="1"/>
  <c r="Q181" i="53" s="1"/>
  <c r="Q182" i="53" a="1"/>
  <c r="Q182" i="53" s="1"/>
  <c r="Q183" i="53" a="1"/>
  <c r="Q183" i="53" s="1"/>
  <c r="Q184" i="53" a="1"/>
  <c r="Q184" i="53" s="1"/>
  <c r="Q185" i="53" a="1"/>
  <c r="Q185" i="53" s="1"/>
  <c r="Q186" i="53" a="1"/>
  <c r="Q186" i="53" s="1"/>
  <c r="Q187" i="53" a="1"/>
  <c r="Q187" i="53" s="1"/>
  <c r="Q188" i="53" a="1"/>
  <c r="Q188" i="53" s="1"/>
  <c r="Q189" i="53" a="1"/>
  <c r="Q189" i="53" s="1"/>
  <c r="Q190" i="53" a="1"/>
  <c r="Q190" i="53" s="1"/>
  <c r="Q191" i="53" a="1"/>
  <c r="Q191" i="53" s="1"/>
  <c r="Q192" i="53" a="1"/>
  <c r="Q192" i="53" s="1"/>
  <c r="Q193" i="53" a="1"/>
  <c r="Q193" i="53" s="1"/>
  <c r="Q194" i="53" a="1"/>
  <c r="Q194" i="53" s="1"/>
  <c r="Q195" i="53" a="1"/>
  <c r="Q195" i="53" s="1"/>
  <c r="Q196" i="53" a="1"/>
  <c r="Q196" i="53" s="1"/>
  <c r="Q197" i="53" a="1"/>
  <c r="Q197" i="53" s="1"/>
  <c r="Q198" i="53" a="1"/>
  <c r="Q198" i="53" s="1"/>
  <c r="Q199" i="53" a="1"/>
  <c r="Q199" i="53" s="1"/>
  <c r="Q200" i="53" a="1"/>
  <c r="Q200" i="53" s="1"/>
  <c r="Q201" i="53" a="1"/>
  <c r="Q201" i="53" s="1"/>
  <c r="Q202" i="53" a="1"/>
  <c r="Q202" i="53" s="1"/>
  <c r="Q203" i="53" a="1"/>
  <c r="Q203" i="53" s="1"/>
  <c r="Q204" i="53" a="1"/>
  <c r="Q204" i="53" s="1"/>
  <c r="Q205" i="53" a="1"/>
  <c r="Q205" i="53" s="1"/>
  <c r="Q206" i="53" a="1"/>
  <c r="Q206" i="53" s="1"/>
  <c r="Q207" i="53" a="1"/>
  <c r="Q207" i="53" s="1"/>
  <c r="Q208" i="53" a="1"/>
  <c r="Q208" i="53" s="1"/>
  <c r="Q209" i="53" a="1"/>
  <c r="Q209" i="53" s="1"/>
  <c r="Q210" i="53" a="1"/>
  <c r="Q210" i="53" s="1"/>
  <c r="Q211" i="53" a="1"/>
  <c r="Q211" i="53" s="1"/>
  <c r="Q212" i="53" a="1"/>
  <c r="Q212" i="53" s="1"/>
  <c r="Q213" i="53" a="1"/>
  <c r="Q213" i="53" s="1"/>
  <c r="Q214" i="53" a="1"/>
  <c r="Q214" i="53" s="1"/>
  <c r="Q215" i="53" a="1"/>
  <c r="Q215" i="53" s="1"/>
  <c r="Q216" i="53" a="1"/>
  <c r="Q216" i="53" s="1"/>
  <c r="Q217" i="53" a="1"/>
  <c r="Q217" i="53" s="1"/>
  <c r="Q218" i="53" a="1"/>
  <c r="Q218" i="53" s="1"/>
  <c r="Q219" i="53" a="1"/>
  <c r="Q219" i="53" s="1"/>
  <c r="Q220" i="53" a="1"/>
  <c r="Q220" i="53" s="1"/>
  <c r="Q221" i="53" a="1"/>
  <c r="Q221" i="53" s="1"/>
  <c r="Q222" i="53" a="1"/>
  <c r="Q222" i="53" s="1"/>
  <c r="Q223" i="53" a="1"/>
  <c r="Q223" i="53" s="1"/>
  <c r="Q224" i="53" a="1"/>
  <c r="Q224" i="53" s="1"/>
  <c r="Q225" i="53" a="1"/>
  <c r="Q225" i="53" s="1"/>
  <c r="Q226" i="53" a="1"/>
  <c r="Q226" i="53" s="1"/>
  <c r="Q227" i="53" a="1"/>
  <c r="Q227" i="53" s="1"/>
  <c r="Q228" i="53" a="1"/>
  <c r="Q228" i="53" s="1"/>
  <c r="Q229" i="53" a="1"/>
  <c r="Q229" i="53" s="1"/>
  <c r="Q230" i="53" a="1"/>
  <c r="Q230" i="53" s="1"/>
  <c r="Q231" i="53" a="1"/>
  <c r="Q231" i="53" s="1"/>
  <c r="Q232" i="53" a="1"/>
  <c r="Q232" i="53" s="1"/>
  <c r="Q233" i="53" a="1"/>
  <c r="Q233" i="53" s="1"/>
  <c r="Q234" i="53" a="1"/>
  <c r="Q234" i="53" s="1"/>
  <c r="Q235" i="53" a="1"/>
  <c r="Q235" i="53" s="1"/>
  <c r="Q236" i="53" a="1"/>
  <c r="Q236" i="53" s="1"/>
  <c r="Q237" i="53" a="1"/>
  <c r="Q237" i="53" s="1"/>
  <c r="Q238" i="53" a="1"/>
  <c r="Q238" i="53" s="1"/>
  <c r="Q239" i="53" a="1"/>
  <c r="Q239" i="53" s="1"/>
  <c r="Q240" i="53" a="1"/>
  <c r="Q240" i="53" s="1"/>
  <c r="Q241" i="53" a="1"/>
  <c r="Q241" i="53" s="1"/>
  <c r="Q242" i="53" a="1"/>
  <c r="Q242" i="53" s="1"/>
  <c r="Q243" i="53" a="1"/>
  <c r="Q243" i="53" s="1"/>
  <c r="Q244" i="53" a="1"/>
  <c r="Q244" i="53" s="1"/>
  <c r="Q245" i="53" a="1"/>
  <c r="Q245" i="53" s="1"/>
  <c r="Q246" i="53" a="1"/>
  <c r="Q246" i="53" s="1"/>
  <c r="Q247" i="53" a="1"/>
  <c r="Q247" i="53" s="1"/>
  <c r="Q248" i="53" a="1"/>
  <c r="Q248" i="53" s="1"/>
  <c r="Q249" i="53" a="1"/>
  <c r="Q249" i="53" s="1"/>
  <c r="Q250" i="53" a="1"/>
  <c r="Q250" i="53" s="1"/>
  <c r="Q251" i="53" a="1"/>
  <c r="Q251" i="53" s="1"/>
  <c r="Q252" i="53" a="1"/>
  <c r="Q252" i="53" s="1"/>
  <c r="Q253" i="53" a="1"/>
  <c r="Q253" i="53" s="1"/>
  <c r="Q254" i="53" a="1"/>
  <c r="Q254" i="53" s="1"/>
  <c r="Q255" i="53" a="1"/>
  <c r="Q255" i="53" s="1"/>
  <c r="Q256" i="53" a="1"/>
  <c r="Q256" i="53" s="1"/>
  <c r="Q257" i="53" a="1"/>
  <c r="Q257" i="53" s="1"/>
  <c r="Q258" i="53" a="1"/>
  <c r="Q258" i="53" s="1"/>
  <c r="Q259" i="53" a="1"/>
  <c r="Q259" i="53" s="1"/>
  <c r="Q260" i="53" a="1"/>
  <c r="Q260" i="53" s="1"/>
  <c r="Q261" i="53" a="1"/>
  <c r="Q261" i="53" s="1"/>
  <c r="Q262" i="53" a="1"/>
  <c r="Q262" i="53" s="1"/>
  <c r="Q263" i="53" a="1"/>
  <c r="Q263" i="53" s="1"/>
  <c r="Q264" i="53" a="1"/>
  <c r="Q264" i="53" s="1"/>
  <c r="Q265" i="53" a="1"/>
  <c r="Q265" i="53" s="1"/>
  <c r="Q266" i="53" a="1"/>
  <c r="Q266" i="53" s="1"/>
  <c r="Q267" i="53" a="1"/>
  <c r="Q267" i="53" s="1"/>
  <c r="Q268" i="53" a="1"/>
  <c r="Q268" i="53" s="1"/>
  <c r="Q269" i="53" a="1"/>
  <c r="Q269" i="53" s="1"/>
  <c r="Q270" i="53" a="1"/>
  <c r="Q270" i="53" s="1"/>
  <c r="Q271" i="53" a="1"/>
  <c r="Q271" i="53" s="1"/>
  <c r="Q272" i="53" a="1"/>
  <c r="Q272" i="53" s="1"/>
  <c r="Q273" i="53" a="1"/>
  <c r="Q273" i="53" s="1"/>
  <c r="Q274" i="53" a="1"/>
  <c r="Q274" i="53" s="1"/>
  <c r="Q275" i="53" a="1"/>
  <c r="Q275" i="53" s="1"/>
  <c r="Q276" i="53" a="1"/>
  <c r="Q276" i="53" s="1"/>
  <c r="Q277" i="53" a="1"/>
  <c r="Q277" i="53" s="1"/>
  <c r="Q278" i="53" a="1"/>
  <c r="Q278" i="53" s="1"/>
  <c r="Q279" i="53" a="1"/>
  <c r="Q279" i="53" s="1"/>
  <c r="Q280" i="53" a="1"/>
  <c r="Q280" i="53" s="1"/>
  <c r="Q281" i="53" a="1"/>
  <c r="Q281" i="53" s="1"/>
  <c r="Q282" i="53" a="1"/>
  <c r="Q282" i="53" s="1"/>
  <c r="Q283" i="53" a="1"/>
  <c r="Q283" i="53" s="1"/>
  <c r="Q284" i="53" a="1"/>
  <c r="Q284" i="53" s="1"/>
  <c r="Q285" i="53" a="1"/>
  <c r="Q285" i="53" s="1"/>
  <c r="Q286" i="53" a="1"/>
  <c r="Q286" i="53" s="1"/>
  <c r="Q287" i="53" a="1"/>
  <c r="Q287" i="53" s="1"/>
  <c r="Q288" i="53" a="1"/>
  <c r="Q288" i="53" s="1"/>
  <c r="Q289" i="53" a="1"/>
  <c r="Q289" i="53" s="1"/>
  <c r="Q290" i="53" a="1"/>
  <c r="Q290" i="53" s="1"/>
  <c r="Q291" i="53" a="1"/>
  <c r="Q291" i="53" s="1"/>
  <c r="Q292" i="53" a="1"/>
  <c r="Q292" i="53" s="1"/>
  <c r="Q293" i="53" a="1"/>
  <c r="Q293" i="53" s="1"/>
  <c r="Q294" i="53" a="1"/>
  <c r="Q294" i="53" s="1"/>
  <c r="Q295" i="53" a="1"/>
  <c r="Q295" i="53" s="1"/>
  <c r="Q296" i="53" a="1"/>
  <c r="Q296" i="53" s="1"/>
  <c r="Q297" i="53" a="1"/>
  <c r="Q297" i="53" s="1"/>
  <c r="Q298" i="53" a="1"/>
  <c r="Q298" i="53" s="1"/>
  <c r="Q299" i="53" a="1"/>
  <c r="Q299" i="53" s="1"/>
  <c r="Q300" i="53" a="1"/>
  <c r="Q300" i="53" s="1"/>
  <c r="Q301" i="53" a="1"/>
  <c r="Q301" i="53" s="1"/>
  <c r="Q302" i="53" a="1"/>
  <c r="Q302" i="53" s="1"/>
  <c r="Q303" i="53" a="1"/>
  <c r="Q303" i="53" s="1"/>
  <c r="Q304" i="53" a="1"/>
  <c r="Q304" i="53" s="1"/>
  <c r="Q305" i="53" a="1"/>
  <c r="Q305" i="53" s="1"/>
  <c r="Q306" i="53" a="1"/>
  <c r="Q306" i="53" s="1"/>
  <c r="Q307" i="53" a="1"/>
  <c r="Q307" i="53" s="1"/>
  <c r="Q308" i="53" a="1"/>
  <c r="Q308" i="53" s="1"/>
  <c r="Q309" i="53" a="1"/>
  <c r="Q309" i="53" s="1"/>
  <c r="Q310" i="53" a="1"/>
  <c r="Q310" i="53" s="1"/>
  <c r="Q311" i="53" a="1"/>
  <c r="Q311" i="53" s="1"/>
  <c r="Q312" i="53" a="1"/>
  <c r="Q312" i="53" s="1"/>
  <c r="Q313" i="53" a="1"/>
  <c r="Q313" i="53" s="1"/>
  <c r="Q314" i="53" a="1"/>
  <c r="Q314" i="53" s="1"/>
  <c r="Q315" i="53" a="1"/>
  <c r="Q315" i="53" s="1"/>
  <c r="Q316" i="53" a="1"/>
  <c r="Q316" i="53" s="1"/>
  <c r="Q317" i="53" a="1"/>
  <c r="Q317" i="53" s="1"/>
  <c r="Q318" i="53" a="1"/>
  <c r="Q318" i="53" s="1"/>
  <c r="Q319" i="53" a="1"/>
  <c r="Q319" i="53" s="1"/>
  <c r="Q320" i="53" a="1"/>
  <c r="Q320" i="53" s="1"/>
  <c r="Q321" i="53" a="1"/>
  <c r="Q321" i="53" s="1"/>
  <c r="Q322" i="53" a="1"/>
  <c r="Q322" i="53" s="1"/>
  <c r="Q323" i="53" a="1"/>
  <c r="Q323" i="53" s="1"/>
  <c r="Q324" i="53" a="1"/>
  <c r="Q324" i="53" s="1"/>
  <c r="Q325" i="53" a="1"/>
  <c r="Q325" i="53" s="1"/>
  <c r="Q326" i="53" a="1"/>
  <c r="Q326" i="53" s="1"/>
  <c r="Q327" i="53" a="1"/>
  <c r="Q327" i="53" s="1"/>
  <c r="Q328" i="53" a="1"/>
  <c r="Q328" i="53" s="1"/>
  <c r="Q329" i="53" a="1"/>
  <c r="Q329" i="53" s="1"/>
  <c r="Q330" i="53" a="1"/>
  <c r="Q330" i="53" s="1"/>
  <c r="Q331" i="53" a="1"/>
  <c r="Q331" i="53" s="1"/>
  <c r="Q332" i="53" a="1"/>
  <c r="Q332" i="53" s="1"/>
  <c r="Q333" i="53" a="1"/>
  <c r="Q333" i="53" s="1"/>
  <c r="Q334" i="53" a="1"/>
  <c r="Q334" i="53" s="1"/>
  <c r="Q335" i="53" a="1"/>
  <c r="Q335" i="53" s="1"/>
  <c r="Q336" i="53" a="1"/>
  <c r="Q336" i="53" s="1"/>
  <c r="Q337" i="53" a="1"/>
  <c r="Q337" i="53" s="1"/>
  <c r="Q338" i="53" a="1"/>
  <c r="Q338" i="53" s="1"/>
  <c r="Q339" i="53" a="1"/>
  <c r="Q339" i="53" s="1"/>
  <c r="Q340" i="53" a="1"/>
  <c r="Q340" i="53" s="1"/>
  <c r="Q341" i="53" a="1"/>
  <c r="Q341" i="53" s="1"/>
  <c r="Q342" i="53" a="1"/>
  <c r="Q342" i="53" s="1"/>
  <c r="Q343" i="53" a="1"/>
  <c r="Q343" i="53" s="1"/>
  <c r="Q344" i="53" a="1"/>
  <c r="Q344" i="53" s="1"/>
  <c r="Q345" i="53" a="1"/>
  <c r="Q345" i="53" s="1"/>
  <c r="Q346" i="53" a="1"/>
  <c r="Q346" i="53" s="1"/>
  <c r="Q347" i="53" a="1"/>
  <c r="Q347" i="53" s="1"/>
  <c r="Q348" i="53" a="1"/>
  <c r="Q348" i="53" s="1"/>
  <c r="Q349" i="53" a="1"/>
  <c r="Q349" i="53" s="1"/>
  <c r="Q350" i="53" a="1"/>
  <c r="Q350" i="53" s="1"/>
  <c r="Q351" i="53" a="1"/>
  <c r="Q351" i="53" s="1"/>
  <c r="Q352" i="53" a="1"/>
  <c r="Q352" i="53" s="1"/>
  <c r="Q353" i="53" a="1"/>
  <c r="Q353" i="53" s="1"/>
  <c r="Q354" i="53" a="1"/>
  <c r="Q354" i="53" s="1"/>
  <c r="Q355" i="53" a="1"/>
  <c r="Q355" i="53" s="1"/>
  <c r="Q356" i="53" a="1"/>
  <c r="Q356" i="53" s="1"/>
  <c r="Q357" i="53" a="1"/>
  <c r="Q357" i="53" s="1"/>
  <c r="Q358" i="53" a="1"/>
  <c r="Q358" i="53" s="1"/>
  <c r="Q359" i="53" a="1"/>
  <c r="Q359" i="53" s="1"/>
  <c r="Q360" i="53" a="1"/>
  <c r="Q360" i="53" s="1"/>
  <c r="Q361" i="53" a="1"/>
  <c r="Q361" i="53" s="1"/>
  <c r="Q362" i="53" a="1"/>
  <c r="Q362" i="53" s="1"/>
  <c r="Q363" i="53" a="1"/>
  <c r="Q363" i="53" s="1"/>
  <c r="Q364" i="53" a="1"/>
  <c r="Q364" i="53" s="1"/>
  <c r="Q365" i="53" a="1"/>
  <c r="Q365" i="53" s="1"/>
  <c r="Q366" i="53" a="1"/>
  <c r="Q366" i="53" s="1"/>
  <c r="Q367" i="53" a="1"/>
  <c r="Q367" i="53" s="1"/>
  <c r="Q368" i="53" a="1"/>
  <c r="Q368" i="53" s="1"/>
  <c r="Q369" i="53" a="1"/>
  <c r="Q369" i="53" s="1"/>
  <c r="Q370" i="53" a="1"/>
  <c r="Q370" i="53" s="1"/>
  <c r="Q371" i="53" a="1"/>
  <c r="Q371" i="53" s="1"/>
  <c r="Q372" i="53" a="1"/>
  <c r="Q372" i="53" s="1"/>
  <c r="Q373" i="53" a="1"/>
  <c r="Q373" i="53" s="1"/>
  <c r="Q374" i="53" a="1"/>
  <c r="Q374" i="53" s="1"/>
  <c r="Q375" i="53" a="1"/>
  <c r="Q375" i="53" s="1"/>
  <c r="C76" i="53"/>
  <c r="C77" i="53"/>
  <c r="C78" i="53"/>
  <c r="C79" i="53"/>
  <c r="C80" i="53"/>
  <c r="C81" i="53"/>
  <c r="C82" i="53"/>
  <c r="C83" i="53"/>
  <c r="C84" i="53"/>
  <c r="C85" i="53"/>
  <c r="C86" i="53"/>
  <c r="C87" i="53"/>
  <c r="C88" i="53"/>
  <c r="C89" i="53"/>
  <c r="C90" i="53"/>
  <c r="C91" i="53"/>
  <c r="C92" i="53"/>
  <c r="C93" i="53"/>
  <c r="C94" i="53"/>
  <c r="C95" i="53"/>
  <c r="C96" i="53"/>
  <c r="C97" i="53"/>
  <c r="C98" i="53"/>
  <c r="C99" i="53"/>
  <c r="C100" i="53"/>
  <c r="C101" i="53"/>
  <c r="C102" i="53"/>
  <c r="C103" i="53"/>
  <c r="C104" i="53"/>
  <c r="C105" i="53"/>
  <c r="C106" i="53"/>
  <c r="C107" i="53"/>
  <c r="C108" i="53"/>
  <c r="C109" i="53"/>
  <c r="C110" i="53"/>
  <c r="C111" i="53"/>
  <c r="C112" i="53"/>
  <c r="C113" i="53"/>
  <c r="C114" i="53"/>
  <c r="C115" i="53"/>
  <c r="C116" i="53"/>
  <c r="C117" i="53"/>
  <c r="C118" i="53"/>
  <c r="C119" i="53"/>
  <c r="C120" i="53"/>
  <c r="C121" i="53"/>
  <c r="C122" i="53"/>
  <c r="C123" i="53"/>
  <c r="C124" i="53"/>
  <c r="C125" i="53"/>
  <c r="C126" i="53"/>
  <c r="C127" i="53"/>
  <c r="C128" i="53"/>
  <c r="C129" i="53"/>
  <c r="C130" i="53"/>
  <c r="C131" i="53"/>
  <c r="C132" i="53"/>
  <c r="C133" i="53"/>
  <c r="C134" i="53"/>
  <c r="C135" i="53"/>
  <c r="C136" i="53"/>
  <c r="C137" i="53"/>
  <c r="C138" i="53"/>
  <c r="C139" i="53"/>
  <c r="C140" i="53"/>
  <c r="C141" i="53"/>
  <c r="C142" i="53"/>
  <c r="C143" i="53"/>
  <c r="C144" i="53"/>
  <c r="C145" i="53"/>
  <c r="C146" i="53"/>
  <c r="C147" i="53"/>
  <c r="C148" i="53"/>
  <c r="C149" i="53"/>
  <c r="C150" i="53"/>
  <c r="C151" i="53"/>
  <c r="C152" i="53"/>
  <c r="C153" i="53"/>
  <c r="C154" i="53"/>
  <c r="C155" i="53"/>
  <c r="C156" i="53"/>
  <c r="C157" i="53"/>
  <c r="C158" i="53"/>
  <c r="C159" i="53"/>
  <c r="C160" i="53"/>
  <c r="C161" i="53"/>
  <c r="C162" i="53"/>
  <c r="C163" i="53"/>
  <c r="C164" i="53"/>
  <c r="C165" i="53"/>
  <c r="C166" i="53"/>
  <c r="C167" i="53"/>
  <c r="C168" i="53"/>
  <c r="C169" i="53"/>
  <c r="C170" i="53"/>
  <c r="C171" i="53"/>
  <c r="C172" i="53"/>
  <c r="C173" i="53"/>
  <c r="C174" i="53"/>
  <c r="C175" i="53"/>
  <c r="C176" i="53"/>
  <c r="C177" i="53"/>
  <c r="C178" i="53"/>
  <c r="C179" i="53"/>
  <c r="C180" i="53"/>
  <c r="C181" i="53"/>
  <c r="C182" i="53"/>
  <c r="C183" i="53"/>
  <c r="C184" i="53"/>
  <c r="C185" i="53"/>
  <c r="C186" i="53"/>
  <c r="C187" i="53"/>
  <c r="C188" i="53"/>
  <c r="C189" i="53"/>
  <c r="C190" i="53"/>
  <c r="C191" i="53"/>
  <c r="C192" i="53"/>
  <c r="C193" i="53"/>
  <c r="C194" i="53"/>
  <c r="C195" i="53"/>
  <c r="C196" i="53"/>
  <c r="C197" i="53"/>
  <c r="C198" i="53"/>
  <c r="C199" i="53"/>
  <c r="C200" i="53"/>
  <c r="C201" i="53"/>
  <c r="C202" i="53"/>
  <c r="C203" i="53"/>
  <c r="C204" i="53"/>
  <c r="C205" i="53"/>
  <c r="C206" i="53"/>
  <c r="C207" i="53"/>
  <c r="C208" i="53"/>
  <c r="C209" i="53"/>
  <c r="C210" i="53"/>
  <c r="C211" i="53"/>
  <c r="C212" i="53"/>
  <c r="C213" i="53"/>
  <c r="C214" i="53"/>
  <c r="C215" i="53"/>
  <c r="C216" i="53"/>
  <c r="C217" i="53"/>
  <c r="C218" i="53"/>
  <c r="C219" i="53"/>
  <c r="C220" i="53"/>
  <c r="C221" i="53"/>
  <c r="C222" i="53"/>
  <c r="C223" i="53"/>
  <c r="C224" i="53"/>
  <c r="C225" i="53"/>
  <c r="C226" i="53"/>
  <c r="C227" i="53"/>
  <c r="C228" i="53"/>
  <c r="C229" i="53"/>
  <c r="C230" i="53"/>
  <c r="C231" i="53"/>
  <c r="C232" i="53"/>
  <c r="C233" i="53"/>
  <c r="C234" i="53"/>
  <c r="C235" i="53"/>
  <c r="C236" i="53"/>
  <c r="C237" i="53"/>
  <c r="C238" i="53"/>
  <c r="C239" i="53"/>
  <c r="C240" i="53"/>
  <c r="C241" i="53"/>
  <c r="C242" i="53"/>
  <c r="C243" i="53"/>
  <c r="C244" i="53"/>
  <c r="C245" i="53"/>
  <c r="C246" i="53"/>
  <c r="C247" i="53"/>
  <c r="C248" i="53"/>
  <c r="C249" i="53"/>
  <c r="C250" i="53"/>
  <c r="C251" i="53"/>
  <c r="C252" i="53"/>
  <c r="C253" i="53"/>
  <c r="C254" i="53"/>
  <c r="C255" i="53"/>
  <c r="C256" i="53"/>
  <c r="C257" i="53"/>
  <c r="C258" i="53"/>
  <c r="C259" i="53"/>
  <c r="C260" i="53"/>
  <c r="C261" i="53"/>
  <c r="C262" i="53"/>
  <c r="C263" i="53"/>
  <c r="C264" i="53"/>
  <c r="C265" i="53"/>
  <c r="C266" i="53"/>
  <c r="C267" i="53"/>
  <c r="C268" i="53"/>
  <c r="C269" i="53"/>
  <c r="C270" i="53"/>
  <c r="C271" i="53"/>
  <c r="C272" i="53"/>
  <c r="C273" i="53"/>
  <c r="C274" i="53"/>
  <c r="C275" i="53"/>
  <c r="C276" i="53"/>
  <c r="C277" i="53"/>
  <c r="C278" i="53"/>
  <c r="C279" i="53"/>
  <c r="C280" i="53"/>
  <c r="C281" i="53"/>
  <c r="C282" i="53"/>
  <c r="C283" i="53"/>
  <c r="C284" i="53"/>
  <c r="C285" i="53"/>
  <c r="C286" i="53"/>
  <c r="C287" i="53"/>
  <c r="C288" i="53"/>
  <c r="C289" i="53"/>
  <c r="C290" i="53"/>
  <c r="C291" i="53"/>
  <c r="C292" i="53"/>
  <c r="C293" i="53"/>
  <c r="C294" i="53"/>
  <c r="C295" i="53"/>
  <c r="C296" i="53"/>
  <c r="C297" i="53"/>
  <c r="C298" i="53"/>
  <c r="C299" i="53"/>
  <c r="C300" i="53"/>
  <c r="C301" i="53"/>
  <c r="C302" i="53"/>
  <c r="C303" i="53"/>
  <c r="C304" i="53"/>
  <c r="C305" i="53"/>
  <c r="C306" i="53"/>
  <c r="C307" i="53"/>
  <c r="C308" i="53"/>
  <c r="C309" i="53"/>
  <c r="C310" i="53"/>
  <c r="C311" i="53"/>
  <c r="C312" i="53"/>
  <c r="C313" i="53"/>
  <c r="C314" i="53"/>
  <c r="C315" i="53"/>
  <c r="C316" i="53"/>
  <c r="C317" i="53"/>
  <c r="C318" i="53"/>
  <c r="C319" i="53"/>
  <c r="C320" i="53"/>
  <c r="C321" i="53"/>
  <c r="C322" i="53"/>
  <c r="C323" i="53"/>
  <c r="C324" i="53"/>
  <c r="C325" i="53"/>
  <c r="C326" i="53"/>
  <c r="C327" i="53"/>
  <c r="C328" i="53"/>
  <c r="C329" i="53"/>
  <c r="C330" i="53"/>
  <c r="C331" i="53"/>
  <c r="C332" i="53"/>
  <c r="C333" i="53"/>
  <c r="C334" i="53"/>
  <c r="C335" i="53"/>
  <c r="C336" i="53"/>
  <c r="C337" i="53"/>
  <c r="C338" i="53"/>
  <c r="C339" i="53"/>
  <c r="C340" i="53"/>
  <c r="C341" i="53"/>
  <c r="C342" i="53"/>
  <c r="C343" i="53"/>
  <c r="C344" i="53"/>
  <c r="C345" i="53"/>
  <c r="C346" i="53"/>
  <c r="C347" i="53"/>
  <c r="C348" i="53"/>
  <c r="C349" i="53"/>
  <c r="C350" i="53"/>
  <c r="C351" i="53"/>
  <c r="C352" i="53"/>
  <c r="C353" i="53"/>
  <c r="C354" i="53"/>
  <c r="C355" i="53"/>
  <c r="C356" i="53"/>
  <c r="C357" i="53"/>
  <c r="C358" i="53"/>
  <c r="C359" i="53"/>
  <c r="C360" i="53"/>
  <c r="C361" i="53"/>
  <c r="C362" i="53"/>
  <c r="C363" i="53"/>
  <c r="C364" i="53"/>
  <c r="C365" i="53"/>
  <c r="C366" i="53"/>
  <c r="C367" i="53"/>
  <c r="C368" i="53"/>
  <c r="C369" i="53"/>
  <c r="C370" i="53"/>
  <c r="C371" i="53"/>
  <c r="C372" i="53"/>
  <c r="C373" i="53"/>
  <c r="C374" i="53"/>
  <c r="C375" i="53"/>
  <c r="C376" i="53"/>
  <c r="C377" i="53"/>
  <c r="C378" i="53"/>
  <c r="C379" i="53"/>
  <c r="C380" i="53"/>
  <c r="C381" i="53"/>
  <c r="C382" i="53"/>
  <c r="C383" i="53"/>
  <c r="C384" i="53"/>
  <c r="C385" i="53"/>
  <c r="Q218" i="52" a="1"/>
  <c r="Q218" i="52" s="1"/>
  <c r="Q219" i="52" a="1"/>
  <c r="Q219" i="52" s="1"/>
  <c r="Q220" i="52" a="1"/>
  <c r="Q220" i="52" s="1"/>
  <c r="Q221" i="52" a="1"/>
  <c r="Q221" i="52" s="1"/>
  <c r="Q222" i="52" a="1"/>
  <c r="Q222" i="52" s="1"/>
  <c r="Q223" i="52" a="1"/>
  <c r="Q223" i="52" s="1"/>
  <c r="Q224" i="52" a="1"/>
  <c r="Q224" i="52" s="1"/>
  <c r="Q225" i="52" a="1"/>
  <c r="Q225" i="52" s="1"/>
  <c r="Q226" i="52" a="1"/>
  <c r="Q226" i="52" s="1"/>
  <c r="Q227" i="52" a="1"/>
  <c r="Q227" i="52" s="1"/>
  <c r="Q228" i="52" a="1"/>
  <c r="Q228" i="52" s="1"/>
  <c r="Q229" i="52" a="1"/>
  <c r="Q229" i="52" s="1"/>
  <c r="Q230" i="52" a="1"/>
  <c r="Q230" i="52" s="1"/>
  <c r="Q231" i="52" a="1"/>
  <c r="Q231" i="52" s="1"/>
  <c r="Q232" i="52" a="1"/>
  <c r="Q232" i="52" s="1"/>
  <c r="Q233" i="52" a="1"/>
  <c r="Q233" i="52" s="1"/>
  <c r="Q234" i="52" a="1"/>
  <c r="Q234" i="52" s="1"/>
  <c r="Q235" i="52" a="1"/>
  <c r="Q235" i="52" s="1"/>
  <c r="Q236" i="52" a="1"/>
  <c r="Q236" i="52" s="1"/>
  <c r="Q237" i="52" a="1"/>
  <c r="Q237" i="52" s="1"/>
  <c r="Q238" i="52" a="1"/>
  <c r="Q238" i="52" s="1"/>
  <c r="Q239" i="52" a="1"/>
  <c r="Q239" i="52" s="1"/>
  <c r="Q240" i="52" a="1"/>
  <c r="Q240" i="52" s="1"/>
  <c r="Q241" i="52" a="1"/>
  <c r="Q241" i="52" s="1"/>
  <c r="Q242" i="52" a="1"/>
  <c r="Q242" i="52" s="1"/>
  <c r="Q243" i="52" a="1"/>
  <c r="Q243" i="52" s="1"/>
  <c r="Q244" i="52" a="1"/>
  <c r="Q244" i="52" s="1"/>
  <c r="Q245" i="52" a="1"/>
  <c r="Q245" i="52" s="1"/>
  <c r="Q246" i="52" a="1"/>
  <c r="Q246" i="52" s="1"/>
  <c r="Q247" i="52" a="1"/>
  <c r="Q247" i="52" s="1"/>
  <c r="Q248" i="52" a="1"/>
  <c r="Q248" i="52" s="1"/>
  <c r="Q249" i="52" a="1"/>
  <c r="Q249" i="52" s="1"/>
  <c r="Q250" i="52" a="1"/>
  <c r="Q250" i="52" s="1"/>
  <c r="Q251" i="52" a="1"/>
  <c r="Q251" i="52" s="1"/>
  <c r="Q252" i="52" a="1"/>
  <c r="Q252" i="52" s="1"/>
  <c r="Q253" i="52" a="1"/>
  <c r="Q253" i="52" s="1"/>
  <c r="Q254" i="52" a="1"/>
  <c r="Q254" i="52" s="1"/>
  <c r="Q255" i="52" a="1"/>
  <c r="Q255" i="52" s="1"/>
  <c r="Q256" i="52" a="1"/>
  <c r="Q256" i="52" s="1"/>
  <c r="Q257" i="52" a="1"/>
  <c r="Q257" i="52" s="1"/>
  <c r="Q258" i="52" a="1"/>
  <c r="Q258" i="52" s="1"/>
  <c r="Q259" i="52" a="1"/>
  <c r="Q259" i="52" s="1"/>
  <c r="Q260" i="52" a="1"/>
  <c r="Q260" i="52" s="1"/>
  <c r="Q261" i="52" a="1"/>
  <c r="Q261" i="52" s="1"/>
  <c r="Q262" i="52" a="1"/>
  <c r="Q262" i="52" s="1"/>
  <c r="Q263" i="52" a="1"/>
  <c r="Q263" i="52" s="1"/>
  <c r="Q264" i="52" a="1"/>
  <c r="Q264" i="52" s="1"/>
  <c r="Q265" i="52" a="1"/>
  <c r="Q265" i="52" s="1"/>
  <c r="Q266" i="52" a="1"/>
  <c r="Q266" i="52" s="1"/>
  <c r="Q267" i="52" a="1"/>
  <c r="Q267" i="52" s="1"/>
  <c r="Q268" i="52" a="1"/>
  <c r="Q268" i="52" s="1"/>
  <c r="Q269" i="52" a="1"/>
  <c r="Q269" i="52" s="1"/>
  <c r="Q270" i="52" a="1"/>
  <c r="Q270" i="52" s="1"/>
  <c r="Q271" i="52" a="1"/>
  <c r="Q271" i="52" s="1"/>
  <c r="Q272" i="52" a="1"/>
  <c r="Q272" i="52" s="1"/>
  <c r="Q273" i="52" a="1"/>
  <c r="Q273" i="52" s="1"/>
  <c r="Q274" i="52" a="1"/>
  <c r="Q274" i="52" s="1"/>
  <c r="Q275" i="52" a="1"/>
  <c r="Q275" i="52" s="1"/>
  <c r="Q276" i="52" a="1"/>
  <c r="Q276" i="52" s="1"/>
  <c r="Q277" i="52" a="1"/>
  <c r="Q277" i="52" s="1"/>
  <c r="Q278" i="52" a="1"/>
  <c r="Q278" i="52" s="1"/>
  <c r="Q279" i="52" a="1"/>
  <c r="Q279" i="52" s="1"/>
  <c r="Q280" i="52" a="1"/>
  <c r="Q280" i="52" s="1"/>
  <c r="Q281" i="52" a="1"/>
  <c r="Q281" i="52" s="1"/>
  <c r="Q282" i="52" a="1"/>
  <c r="Q282" i="52" s="1"/>
  <c r="Q283" i="52" a="1"/>
  <c r="Q283" i="52" s="1"/>
  <c r="Q284" i="52" a="1"/>
  <c r="Q284" i="52" s="1"/>
  <c r="Q285" i="52" a="1"/>
  <c r="Q285" i="52" s="1"/>
  <c r="Q286" i="52" a="1"/>
  <c r="Q286" i="52" s="1"/>
  <c r="Q287" i="52" a="1"/>
  <c r="Q287" i="52" s="1"/>
  <c r="Q288" i="52" a="1"/>
  <c r="Q288" i="52" s="1"/>
  <c r="Q289" i="52" a="1"/>
  <c r="Q289" i="52" s="1"/>
  <c r="Q290" i="52" a="1"/>
  <c r="Q290" i="52" s="1"/>
  <c r="Q291" i="52" a="1"/>
  <c r="Q291" i="52" s="1"/>
  <c r="Q292" i="52" a="1"/>
  <c r="Q292" i="52" s="1"/>
  <c r="Q293" i="52" a="1"/>
  <c r="Q293" i="52" s="1"/>
  <c r="Q294" i="52" a="1"/>
  <c r="Q294" i="52" s="1"/>
  <c r="Q295" i="52" a="1"/>
  <c r="Q295" i="52" s="1"/>
  <c r="Q296" i="52" a="1"/>
  <c r="Q296" i="52" s="1"/>
  <c r="Q297" i="52" a="1"/>
  <c r="Q297" i="52" s="1"/>
  <c r="Q298" i="52" a="1"/>
  <c r="Q298" i="52" s="1"/>
  <c r="Q299" i="52" a="1"/>
  <c r="Q299" i="52" s="1"/>
  <c r="Q300" i="52" a="1"/>
  <c r="Q300" i="52" s="1"/>
  <c r="Q301" i="52" a="1"/>
  <c r="Q301" i="52" s="1"/>
  <c r="Q302" i="52" a="1"/>
  <c r="Q302" i="52" s="1"/>
  <c r="Q303" i="52" a="1"/>
  <c r="Q303" i="52" s="1"/>
  <c r="Q304" i="52" a="1"/>
  <c r="Q304" i="52" s="1"/>
  <c r="Q305" i="52" a="1"/>
  <c r="Q305" i="52" s="1"/>
  <c r="Q306" i="52" a="1"/>
  <c r="Q306" i="52" s="1"/>
  <c r="Q307" i="52" a="1"/>
  <c r="Q307" i="52" s="1"/>
  <c r="Q308" i="52" a="1"/>
  <c r="Q308" i="52" s="1"/>
  <c r="Q309" i="52" a="1"/>
  <c r="Q309" i="52" s="1"/>
  <c r="Q310" i="52" a="1"/>
  <c r="Q310" i="52" s="1"/>
  <c r="Q311" i="52" a="1"/>
  <c r="Q311" i="52" s="1"/>
  <c r="Q312" i="52" a="1"/>
  <c r="Q312" i="52" s="1"/>
  <c r="Q313" i="52" a="1"/>
  <c r="Q313" i="52" s="1"/>
  <c r="Q314" i="52" a="1"/>
  <c r="Q314" i="52" s="1"/>
  <c r="Q315" i="52" a="1"/>
  <c r="Q315" i="52" s="1"/>
  <c r="Q316" i="52" a="1"/>
  <c r="Q316" i="52" s="1"/>
  <c r="Q317" i="52" a="1"/>
  <c r="Q317" i="52" s="1"/>
  <c r="Q318" i="52" a="1"/>
  <c r="Q318" i="52" s="1"/>
  <c r="Q319" i="52" a="1"/>
  <c r="Q319" i="52" s="1"/>
  <c r="Q320" i="52" a="1"/>
  <c r="Q320" i="52" s="1"/>
  <c r="Q321" i="52" a="1"/>
  <c r="Q321" i="52" s="1"/>
  <c r="Q322" i="52" a="1"/>
  <c r="Q322" i="52" s="1"/>
  <c r="Q323" i="52" a="1"/>
  <c r="Q323" i="52" s="1"/>
  <c r="Q324" i="52" a="1"/>
  <c r="Q324" i="52" s="1"/>
  <c r="Q325" i="52" a="1"/>
  <c r="Q325" i="52" s="1"/>
  <c r="Q326" i="52" a="1"/>
  <c r="Q326" i="52" s="1"/>
  <c r="Q327" i="52" a="1"/>
  <c r="Q327" i="52" s="1"/>
  <c r="Q328" i="52" a="1"/>
  <c r="Q328" i="52" s="1"/>
  <c r="Q329" i="52" a="1"/>
  <c r="Q329" i="52" s="1"/>
  <c r="Q330" i="52" a="1"/>
  <c r="Q330" i="52" s="1"/>
  <c r="Q331" i="52" a="1"/>
  <c r="Q331" i="52" s="1"/>
  <c r="Q332" i="52" a="1"/>
  <c r="Q332" i="52" s="1"/>
  <c r="Q333" i="52" a="1"/>
  <c r="Q333" i="52" s="1"/>
  <c r="Q334" i="52" a="1"/>
  <c r="Q334" i="52" s="1"/>
  <c r="Q335" i="52" a="1"/>
  <c r="Q335" i="52" s="1"/>
  <c r="Q336" i="52" a="1"/>
  <c r="Q336" i="52" s="1"/>
  <c r="Q337" i="52" a="1"/>
  <c r="Q337" i="52" s="1"/>
  <c r="Q338" i="52" a="1"/>
  <c r="Q338" i="52" s="1"/>
  <c r="Q339" i="52" a="1"/>
  <c r="Q339" i="52" s="1"/>
  <c r="Q340" i="52" a="1"/>
  <c r="Q340" i="52" s="1"/>
  <c r="Q341" i="52" a="1"/>
  <c r="Q341" i="52" s="1"/>
  <c r="Q342" i="52" a="1"/>
  <c r="Q342" i="52" s="1"/>
  <c r="Q343" i="52" a="1"/>
  <c r="Q343" i="52" s="1"/>
  <c r="Q344" i="52" a="1"/>
  <c r="Q344" i="52" s="1"/>
  <c r="Q345" i="52" a="1"/>
  <c r="Q345" i="52" s="1"/>
  <c r="Q346" i="52" a="1"/>
  <c r="Q346" i="52" s="1"/>
  <c r="Q347" i="52" a="1"/>
  <c r="Q347" i="52" s="1"/>
  <c r="Q348" i="52" a="1"/>
  <c r="Q348" i="52" s="1"/>
  <c r="Q349" i="52" a="1"/>
  <c r="Q349" i="52" s="1"/>
  <c r="Q350" i="52" a="1"/>
  <c r="Q350" i="52" s="1"/>
  <c r="Q351" i="52" a="1"/>
  <c r="Q351" i="52" s="1"/>
  <c r="Q352" i="52" a="1"/>
  <c r="Q352" i="52" s="1"/>
  <c r="Q353" i="52" a="1"/>
  <c r="Q353" i="52" s="1"/>
  <c r="Q354" i="52" a="1"/>
  <c r="Q354" i="52" s="1"/>
  <c r="Q355" i="52" a="1"/>
  <c r="Q355" i="52" s="1"/>
  <c r="Q356" i="52" a="1"/>
  <c r="Q356" i="52" s="1"/>
  <c r="Q357" i="52" a="1"/>
  <c r="Q357" i="52" s="1"/>
  <c r="Q358" i="52" a="1"/>
  <c r="Q358" i="52" s="1"/>
  <c r="Q359" i="52" a="1"/>
  <c r="Q359" i="52" s="1"/>
  <c r="Q360" i="52" a="1"/>
  <c r="Q360" i="52" s="1"/>
  <c r="Q361" i="52" a="1"/>
  <c r="Q361" i="52" s="1"/>
  <c r="Q362" i="52" a="1"/>
  <c r="Q362" i="52" s="1"/>
  <c r="Q363" i="52" a="1"/>
  <c r="Q363" i="52" s="1"/>
  <c r="Q364" i="52" a="1"/>
  <c r="Q364" i="52" s="1"/>
  <c r="Q365" i="52" a="1"/>
  <c r="Q365" i="52" s="1"/>
  <c r="Q366" i="52" a="1"/>
  <c r="Q366" i="52" s="1"/>
  <c r="Q367" i="52" a="1"/>
  <c r="Q367" i="52" s="1"/>
  <c r="Q368" i="52" a="1"/>
  <c r="Q368" i="52" s="1"/>
  <c r="Q369" i="52" a="1"/>
  <c r="Q369" i="52" s="1"/>
  <c r="Q370" i="52" a="1"/>
  <c r="Q370" i="52" s="1"/>
  <c r="Q371" i="52" a="1"/>
  <c r="Q371" i="52" s="1"/>
  <c r="Q372" i="52" a="1"/>
  <c r="Q372" i="52" s="1"/>
  <c r="Q373" i="52" a="1"/>
  <c r="Q373" i="52" s="1"/>
  <c r="Q374" i="52" a="1"/>
  <c r="Q374" i="52" s="1"/>
  <c r="Q375" i="52" a="1"/>
  <c r="Q375" i="52" s="1"/>
  <c r="Q376" i="52" a="1"/>
  <c r="Q376" i="52" s="1"/>
  <c r="Q377" i="52" a="1"/>
  <c r="Q377" i="52" s="1"/>
  <c r="Q378" i="52" a="1"/>
  <c r="Q378" i="52" s="1"/>
  <c r="Q379" i="52" a="1"/>
  <c r="Q379" i="52" s="1"/>
  <c r="Q380" i="52" a="1"/>
  <c r="Q380" i="52" s="1"/>
  <c r="Q76" i="52" a="1"/>
  <c r="Q76" i="52" s="1"/>
  <c r="Q77" i="52" a="1"/>
  <c r="Q77" i="52" s="1"/>
  <c r="Q78" i="52" a="1"/>
  <c r="Q78" i="52" s="1"/>
  <c r="Q79" i="52" a="1"/>
  <c r="Q79" i="52" s="1"/>
  <c r="Q80" i="52" a="1"/>
  <c r="Q80" i="52" s="1"/>
  <c r="Q81" i="52" a="1"/>
  <c r="Q81" i="52" s="1"/>
  <c r="Q82" i="52" a="1"/>
  <c r="Q82" i="52" s="1"/>
  <c r="Q83" i="52" a="1"/>
  <c r="Q83" i="52" s="1"/>
  <c r="Q84" i="52" a="1"/>
  <c r="Q84" i="52" s="1"/>
  <c r="Q85" i="52" a="1"/>
  <c r="Q85" i="52" s="1"/>
  <c r="Q86" i="52" a="1"/>
  <c r="Q86" i="52" s="1"/>
  <c r="Q87" i="52" a="1"/>
  <c r="Q87" i="52" s="1"/>
  <c r="Q88" i="52" a="1"/>
  <c r="Q88" i="52" s="1"/>
  <c r="Q89" i="52" a="1"/>
  <c r="Q89" i="52" s="1"/>
  <c r="Q90" i="52" a="1"/>
  <c r="Q90" i="52" s="1"/>
  <c r="Q91" i="52" a="1"/>
  <c r="Q91" i="52" s="1"/>
  <c r="Q92" i="52" a="1"/>
  <c r="Q92" i="52" s="1"/>
  <c r="Q93" i="52" a="1"/>
  <c r="Q93" i="52" s="1"/>
  <c r="Q94" i="52" a="1"/>
  <c r="Q94" i="52" s="1"/>
  <c r="Q95" i="52" a="1"/>
  <c r="Q95" i="52" s="1"/>
  <c r="Q96" i="52" a="1"/>
  <c r="Q96" i="52" s="1"/>
  <c r="Q97" i="52" a="1"/>
  <c r="Q97" i="52" s="1"/>
  <c r="Q98" i="52" a="1"/>
  <c r="Q98" i="52" s="1"/>
  <c r="Q99" i="52" a="1"/>
  <c r="Q99" i="52" s="1"/>
  <c r="Q100" i="52" a="1"/>
  <c r="Q100" i="52" s="1"/>
  <c r="Q101" i="52" a="1"/>
  <c r="Q101" i="52" s="1"/>
  <c r="Q102" i="52" a="1"/>
  <c r="Q102" i="52" s="1"/>
  <c r="Q103" i="52" a="1"/>
  <c r="Q103" i="52" s="1"/>
  <c r="Q104" i="52" a="1"/>
  <c r="Q104" i="52" s="1"/>
  <c r="Q105" i="52" a="1"/>
  <c r="Q105" i="52" s="1"/>
  <c r="Q106" i="52" a="1"/>
  <c r="Q106" i="52" s="1"/>
  <c r="Q107" i="52" a="1"/>
  <c r="Q107" i="52" s="1"/>
  <c r="Q108" i="52" a="1"/>
  <c r="Q108" i="52" s="1"/>
  <c r="Q109" i="52" a="1"/>
  <c r="Q109" i="52" s="1"/>
  <c r="Q110" i="52" a="1"/>
  <c r="Q110" i="52" s="1"/>
  <c r="Q111" i="52" a="1"/>
  <c r="Q111" i="52" s="1"/>
  <c r="Q112" i="52" a="1"/>
  <c r="Q112" i="52" s="1"/>
  <c r="Q113" i="52" a="1"/>
  <c r="Q113" i="52" s="1"/>
  <c r="Q114" i="52" a="1"/>
  <c r="Q114" i="52" s="1"/>
  <c r="Q115" i="52" a="1"/>
  <c r="Q115" i="52" s="1"/>
  <c r="Q116" i="52" a="1"/>
  <c r="Q116" i="52" s="1"/>
  <c r="Q117" i="52" a="1"/>
  <c r="Q117" i="52" s="1"/>
  <c r="Q118" i="52" a="1"/>
  <c r="Q118" i="52" s="1"/>
  <c r="Q119" i="52" a="1"/>
  <c r="Q119" i="52" s="1"/>
  <c r="Q120" i="52" a="1"/>
  <c r="Q120" i="52" s="1"/>
  <c r="Q121" i="52" a="1"/>
  <c r="Q121" i="52" s="1"/>
  <c r="Q122" i="52" a="1"/>
  <c r="Q122" i="52" s="1"/>
  <c r="Q123" i="52" a="1"/>
  <c r="Q123" i="52" s="1"/>
  <c r="Q124" i="52" a="1"/>
  <c r="Q124" i="52" s="1"/>
  <c r="Q125" i="52" a="1"/>
  <c r="Q125" i="52" s="1"/>
  <c r="Q126" i="52" a="1"/>
  <c r="Q126" i="52" s="1"/>
  <c r="Q127" i="52" a="1"/>
  <c r="Q127" i="52" s="1"/>
  <c r="Q128" i="52" a="1"/>
  <c r="Q128" i="52" s="1"/>
  <c r="Q129" i="52" a="1"/>
  <c r="Q129" i="52" s="1"/>
  <c r="Q130" i="52" a="1"/>
  <c r="Q130" i="52" s="1"/>
  <c r="Q131" i="52" a="1"/>
  <c r="Q131" i="52" s="1"/>
  <c r="Q132" i="52" a="1"/>
  <c r="Q132" i="52" s="1"/>
  <c r="Q133" i="52" a="1"/>
  <c r="Q133" i="52" s="1"/>
  <c r="Q134" i="52" a="1"/>
  <c r="Q134" i="52" s="1"/>
  <c r="Q135" i="52" a="1"/>
  <c r="Q135" i="52" s="1"/>
  <c r="Q136" i="52" a="1"/>
  <c r="Q136" i="52" s="1"/>
  <c r="Q137" i="52" a="1"/>
  <c r="Q137" i="52" s="1"/>
  <c r="Q138" i="52" a="1"/>
  <c r="Q138" i="52" s="1"/>
  <c r="Q139" i="52" a="1"/>
  <c r="Q139" i="52" s="1"/>
  <c r="Q140" i="52" a="1"/>
  <c r="Q140" i="52" s="1"/>
  <c r="Q141" i="52" a="1"/>
  <c r="Q141" i="52" s="1"/>
  <c r="Q142" i="52" a="1"/>
  <c r="Q142" i="52" s="1"/>
  <c r="Q143" i="52" a="1"/>
  <c r="Q143" i="52" s="1"/>
  <c r="Q144" i="52" a="1"/>
  <c r="Q144" i="52" s="1"/>
  <c r="Q145" i="52" a="1"/>
  <c r="Q145" i="52" s="1"/>
  <c r="Q146" i="52" a="1"/>
  <c r="Q146" i="52" s="1"/>
  <c r="Q147" i="52" a="1"/>
  <c r="Q147" i="52" s="1"/>
  <c r="Q148" i="52" a="1"/>
  <c r="Q148" i="52" s="1"/>
  <c r="Q149" i="52" a="1"/>
  <c r="Q149" i="52" s="1"/>
  <c r="Q150" i="52" a="1"/>
  <c r="Q150" i="52" s="1"/>
  <c r="Q151" i="52" a="1"/>
  <c r="Q151" i="52" s="1"/>
  <c r="Q152" i="52" a="1"/>
  <c r="Q152" i="52" s="1"/>
  <c r="Q153" i="52" a="1"/>
  <c r="Q153" i="52" s="1"/>
  <c r="Q154" i="52" a="1"/>
  <c r="Q154" i="52" s="1"/>
  <c r="Q155" i="52" a="1"/>
  <c r="Q155" i="52" s="1"/>
  <c r="Q156" i="52" a="1"/>
  <c r="Q156" i="52" s="1"/>
  <c r="Q157" i="52" a="1"/>
  <c r="Q157" i="52" s="1"/>
  <c r="Q158" i="52" a="1"/>
  <c r="Q158" i="52" s="1"/>
  <c r="Q159" i="52" a="1"/>
  <c r="Q159" i="52" s="1"/>
  <c r="Q160" i="52" a="1"/>
  <c r="Q160" i="52" s="1"/>
  <c r="Q161" i="52" a="1"/>
  <c r="Q161" i="52" s="1"/>
  <c r="Q162" i="52" a="1"/>
  <c r="Q162" i="52" s="1"/>
  <c r="Q163" i="52" a="1"/>
  <c r="Q163" i="52" s="1"/>
  <c r="Q164" i="52" a="1"/>
  <c r="Q164" i="52" s="1"/>
  <c r="Q165" i="52" a="1"/>
  <c r="Q165" i="52" s="1"/>
  <c r="Q166" i="52" a="1"/>
  <c r="Q166" i="52" s="1"/>
  <c r="Q167" i="52" a="1"/>
  <c r="Q167" i="52" s="1"/>
  <c r="Q168" i="52" a="1"/>
  <c r="Q168" i="52" s="1"/>
  <c r="Q169" i="52" a="1"/>
  <c r="Q169" i="52" s="1"/>
  <c r="Q170" i="52" a="1"/>
  <c r="Q170" i="52" s="1"/>
  <c r="Q171" i="52" a="1"/>
  <c r="Q171" i="52" s="1"/>
  <c r="Q172" i="52" a="1"/>
  <c r="Q172" i="52" s="1"/>
  <c r="Q173" i="52" a="1"/>
  <c r="Q173" i="52" s="1"/>
  <c r="Q174" i="52" a="1"/>
  <c r="Q174" i="52" s="1"/>
  <c r="Q175" i="52" a="1"/>
  <c r="Q175" i="52" s="1"/>
  <c r="Q176" i="52" a="1"/>
  <c r="Q176" i="52" s="1"/>
  <c r="Q177" i="52" a="1"/>
  <c r="Q177" i="52" s="1"/>
  <c r="Q178" i="52" a="1"/>
  <c r="Q178" i="52" s="1"/>
  <c r="Q179" i="52" a="1"/>
  <c r="Q179" i="52" s="1"/>
  <c r="Q180" i="52" a="1"/>
  <c r="Q180" i="52" s="1"/>
  <c r="Q181" i="52" a="1"/>
  <c r="Q181" i="52" s="1"/>
  <c r="Q182" i="52" a="1"/>
  <c r="Q182" i="52" s="1"/>
  <c r="Q183" i="52" a="1"/>
  <c r="Q183" i="52" s="1"/>
  <c r="Q184" i="52" a="1"/>
  <c r="Q184" i="52" s="1"/>
  <c r="Q185" i="52" a="1"/>
  <c r="Q185" i="52" s="1"/>
  <c r="Q186" i="52" a="1"/>
  <c r="Q186" i="52" s="1"/>
  <c r="Q187" i="52" a="1"/>
  <c r="Q187" i="52" s="1"/>
  <c r="Q188" i="52" a="1"/>
  <c r="Q188" i="52" s="1"/>
  <c r="Q189" i="52" a="1"/>
  <c r="Q189" i="52" s="1"/>
  <c r="Q190" i="52" a="1"/>
  <c r="Q190" i="52" s="1"/>
  <c r="Q191" i="52" a="1"/>
  <c r="Q191" i="52" s="1"/>
  <c r="Q192" i="52" a="1"/>
  <c r="Q192" i="52" s="1"/>
  <c r="Q193" i="52" a="1"/>
  <c r="Q193" i="52" s="1"/>
  <c r="Q194" i="52" a="1"/>
  <c r="Q194" i="52" s="1"/>
  <c r="Q195" i="52" a="1"/>
  <c r="Q195" i="52" s="1"/>
  <c r="Q196" i="52" a="1"/>
  <c r="Q196" i="52" s="1"/>
  <c r="Q197" i="52" a="1"/>
  <c r="Q197" i="52" s="1"/>
  <c r="Q198" i="52" a="1"/>
  <c r="Q198" i="52" s="1"/>
  <c r="Q199" i="52" a="1"/>
  <c r="Q199" i="52" s="1"/>
  <c r="Q200" i="52" a="1"/>
  <c r="Q200" i="52" s="1"/>
  <c r="Q201" i="52" a="1"/>
  <c r="Q201" i="52" s="1"/>
  <c r="Q202" i="52" a="1"/>
  <c r="Q202" i="52" s="1"/>
  <c r="Q203" i="52" a="1"/>
  <c r="Q203" i="52" s="1"/>
  <c r="Q204" i="52" a="1"/>
  <c r="Q204" i="52" s="1"/>
  <c r="Q205" i="52" a="1"/>
  <c r="Q205" i="52" s="1"/>
  <c r="Q206" i="52" a="1"/>
  <c r="Q206" i="52" s="1"/>
  <c r="Q207" i="52" a="1"/>
  <c r="Q207" i="52" s="1"/>
  <c r="Q208" i="52" a="1"/>
  <c r="Q208" i="52" s="1"/>
  <c r="Q209" i="52" a="1"/>
  <c r="Q209" i="52" s="1"/>
  <c r="Q210" i="52" a="1"/>
  <c r="Q210" i="52" s="1"/>
  <c r="Q211" i="52" a="1"/>
  <c r="Q211" i="52" s="1"/>
  <c r="Q212" i="52" a="1"/>
  <c r="Q212" i="52" s="1"/>
  <c r="Q213" i="52" a="1"/>
  <c r="Q213" i="52" s="1"/>
  <c r="Q214" i="52" a="1"/>
  <c r="Q214" i="52" s="1"/>
  <c r="Q215" i="52" a="1"/>
  <c r="Q215" i="52" s="1"/>
  <c r="Q216" i="52" a="1"/>
  <c r="Q216" i="52" s="1"/>
  <c r="Q217" i="52" a="1"/>
  <c r="Q217" i="52" s="1"/>
  <c r="C76" i="52"/>
  <c r="C77" i="52"/>
  <c r="C78" i="52"/>
  <c r="C79" i="52"/>
  <c r="C80" i="52"/>
  <c r="C81" i="52"/>
  <c r="C82" i="52"/>
  <c r="C83" i="52"/>
  <c r="C84" i="52"/>
  <c r="C85" i="52"/>
  <c r="C86" i="52"/>
  <c r="C87" i="52"/>
  <c r="C88" i="52"/>
  <c r="C89" i="52"/>
  <c r="C90" i="52"/>
  <c r="C91" i="52"/>
  <c r="C92" i="52"/>
  <c r="C93" i="52"/>
  <c r="C94" i="52"/>
  <c r="C95" i="52"/>
  <c r="C96" i="52"/>
  <c r="C97" i="52"/>
  <c r="C98" i="52"/>
  <c r="C99" i="52"/>
  <c r="C100" i="52"/>
  <c r="C101" i="52"/>
  <c r="C102" i="52"/>
  <c r="C103" i="52"/>
  <c r="C104" i="52"/>
  <c r="C105" i="52"/>
  <c r="C106" i="52"/>
  <c r="C107" i="52"/>
  <c r="C108" i="52"/>
  <c r="C109" i="52"/>
  <c r="C110" i="52"/>
  <c r="C111" i="52"/>
  <c r="C112" i="52"/>
  <c r="C113" i="52"/>
  <c r="C114" i="52"/>
  <c r="C115" i="52"/>
  <c r="C116" i="52"/>
  <c r="C117" i="52"/>
  <c r="C118" i="52"/>
  <c r="C119" i="52"/>
  <c r="C120" i="52"/>
  <c r="C121" i="52"/>
  <c r="C122" i="52"/>
  <c r="C123" i="52"/>
  <c r="C124" i="52"/>
  <c r="C125" i="52"/>
  <c r="C126" i="52"/>
  <c r="C127" i="52"/>
  <c r="C128" i="52"/>
  <c r="C129" i="52"/>
  <c r="C130" i="52"/>
  <c r="C131" i="52"/>
  <c r="C132" i="52"/>
  <c r="C133" i="52"/>
  <c r="C134" i="52"/>
  <c r="C135" i="52"/>
  <c r="C136" i="52"/>
  <c r="C137" i="52"/>
  <c r="C138" i="52"/>
  <c r="C139" i="52"/>
  <c r="C140" i="52"/>
  <c r="C141" i="52"/>
  <c r="C142" i="52"/>
  <c r="C143" i="52"/>
  <c r="C144" i="52"/>
  <c r="C145" i="52"/>
  <c r="C146" i="52"/>
  <c r="C147" i="52"/>
  <c r="C148" i="52"/>
  <c r="C149" i="52"/>
  <c r="C150" i="52"/>
  <c r="C151" i="52"/>
  <c r="C152" i="52"/>
  <c r="C153" i="52"/>
  <c r="C154" i="52"/>
  <c r="C155" i="52"/>
  <c r="C156" i="52"/>
  <c r="C157" i="52"/>
  <c r="C158" i="52"/>
  <c r="C159" i="52"/>
  <c r="C160" i="52"/>
  <c r="C161" i="52"/>
  <c r="C162" i="52"/>
  <c r="C163" i="52"/>
  <c r="C164" i="52"/>
  <c r="C165" i="52"/>
  <c r="C166" i="52"/>
  <c r="C167" i="52"/>
  <c r="C168" i="52"/>
  <c r="C169" i="52"/>
  <c r="C170" i="52"/>
  <c r="C171" i="52"/>
  <c r="C172" i="52"/>
  <c r="C173" i="52"/>
  <c r="C174" i="52"/>
  <c r="C175" i="52"/>
  <c r="C176" i="52"/>
  <c r="C177" i="52"/>
  <c r="C178" i="52"/>
  <c r="C179" i="52"/>
  <c r="C180" i="52"/>
  <c r="C181" i="52"/>
  <c r="C182" i="52"/>
  <c r="C183" i="52"/>
  <c r="C184" i="52"/>
  <c r="C185" i="52"/>
  <c r="C186" i="52"/>
  <c r="C187" i="52"/>
  <c r="C188" i="52"/>
  <c r="C189" i="52"/>
  <c r="C190" i="52"/>
  <c r="C191" i="52"/>
  <c r="C192" i="52"/>
  <c r="C193" i="52"/>
  <c r="C194" i="52"/>
  <c r="C195" i="52"/>
  <c r="C196" i="52"/>
  <c r="C197" i="52"/>
  <c r="C198" i="52"/>
  <c r="C199" i="52"/>
  <c r="C200" i="52"/>
  <c r="C201" i="52"/>
  <c r="C202" i="52"/>
  <c r="C203" i="52"/>
  <c r="C204" i="52"/>
  <c r="C205" i="52"/>
  <c r="C206" i="52"/>
  <c r="C207" i="52"/>
  <c r="C208" i="52"/>
  <c r="C209" i="52"/>
  <c r="C210" i="52"/>
  <c r="C211" i="52"/>
  <c r="C212" i="52"/>
  <c r="C213" i="52"/>
  <c r="C214" i="52"/>
  <c r="C215" i="52"/>
  <c r="C216" i="52"/>
  <c r="C217" i="52"/>
  <c r="C218" i="52"/>
  <c r="C219" i="52"/>
  <c r="C220" i="52"/>
  <c r="C221" i="52"/>
  <c r="C222" i="52"/>
  <c r="C223" i="52"/>
  <c r="C224" i="52"/>
  <c r="C225" i="52"/>
  <c r="C226" i="52"/>
  <c r="C227" i="52"/>
  <c r="C228" i="52"/>
  <c r="C229" i="52"/>
  <c r="C230" i="52"/>
  <c r="C231" i="52"/>
  <c r="C232" i="52"/>
  <c r="C233" i="52"/>
  <c r="C234" i="52"/>
  <c r="C235" i="52"/>
  <c r="C236" i="52"/>
  <c r="C237" i="52"/>
  <c r="C238" i="52"/>
  <c r="C239" i="52"/>
  <c r="C240" i="52"/>
  <c r="C241" i="52"/>
  <c r="C242" i="52"/>
  <c r="C243" i="52"/>
  <c r="C244" i="52"/>
  <c r="C245" i="52"/>
  <c r="C246" i="52"/>
  <c r="C247" i="52"/>
  <c r="C248" i="52"/>
  <c r="C249" i="52"/>
  <c r="C250" i="52"/>
  <c r="C251" i="52"/>
  <c r="C252" i="52"/>
  <c r="C253" i="52"/>
  <c r="C254" i="52"/>
  <c r="C255" i="52"/>
  <c r="C256" i="52"/>
  <c r="C257" i="52"/>
  <c r="C258" i="52"/>
  <c r="C259" i="52"/>
  <c r="C260" i="52"/>
  <c r="C261" i="52"/>
  <c r="C262" i="52"/>
  <c r="C263" i="52"/>
  <c r="C264" i="52"/>
  <c r="C265" i="52"/>
  <c r="C266" i="52"/>
  <c r="C267" i="52"/>
  <c r="C268" i="52"/>
  <c r="C269" i="52"/>
  <c r="C270" i="52"/>
  <c r="C271" i="52"/>
  <c r="C272" i="52"/>
  <c r="C273" i="52"/>
  <c r="C274" i="52"/>
  <c r="C275" i="52"/>
  <c r="C276" i="52"/>
  <c r="C277" i="52"/>
  <c r="C278" i="52"/>
  <c r="C279" i="52"/>
  <c r="C280" i="52"/>
  <c r="C281" i="52"/>
  <c r="C282" i="52"/>
  <c r="C283" i="52"/>
  <c r="C284" i="52"/>
  <c r="C285" i="52"/>
  <c r="C286" i="52"/>
  <c r="C287" i="52"/>
  <c r="C288" i="52"/>
  <c r="C289" i="52"/>
  <c r="C290" i="52"/>
  <c r="C291" i="52"/>
  <c r="C292" i="52"/>
  <c r="C293" i="52"/>
  <c r="C294" i="52"/>
  <c r="C295" i="52"/>
  <c r="C296" i="52"/>
  <c r="C297" i="52"/>
  <c r="C298" i="52"/>
  <c r="C299" i="52"/>
  <c r="C300" i="52"/>
  <c r="C301" i="52"/>
  <c r="C302" i="52"/>
  <c r="C303" i="52"/>
  <c r="C304" i="52"/>
  <c r="C305" i="52"/>
  <c r="C306" i="52"/>
  <c r="C307" i="52"/>
  <c r="C308" i="52"/>
  <c r="C309" i="52"/>
  <c r="C310" i="52"/>
  <c r="C311" i="52"/>
  <c r="C312" i="52"/>
  <c r="C313" i="52"/>
  <c r="C314" i="52"/>
  <c r="C315" i="52"/>
  <c r="C316" i="52"/>
  <c r="C317" i="52"/>
  <c r="C318" i="52"/>
  <c r="C319" i="52"/>
  <c r="C320" i="52"/>
  <c r="C321" i="52"/>
  <c r="C322" i="52"/>
  <c r="C323" i="52"/>
  <c r="C324" i="52"/>
  <c r="C325" i="52"/>
  <c r="C326" i="52"/>
  <c r="C327" i="52"/>
  <c r="C328" i="52"/>
  <c r="C329" i="52"/>
  <c r="C330" i="52"/>
  <c r="C331" i="52"/>
  <c r="C332" i="52"/>
  <c r="C333" i="52"/>
  <c r="C334" i="52"/>
  <c r="C335" i="52"/>
  <c r="C336" i="52"/>
  <c r="C337" i="52"/>
  <c r="C338" i="52"/>
  <c r="C339" i="52"/>
  <c r="C340" i="52"/>
  <c r="C341" i="52"/>
  <c r="C342" i="52"/>
  <c r="C343" i="52"/>
  <c r="C344" i="52"/>
  <c r="C345" i="52"/>
  <c r="C346" i="52"/>
  <c r="C347" i="52"/>
  <c r="C348" i="52"/>
  <c r="C349" i="52"/>
  <c r="C350" i="52"/>
  <c r="C351" i="52"/>
  <c r="C352" i="52"/>
  <c r="C353" i="52"/>
  <c r="C354" i="52"/>
  <c r="C355" i="52"/>
  <c r="C356" i="52"/>
  <c r="C357" i="52"/>
  <c r="C358" i="52"/>
  <c r="C359" i="52"/>
  <c r="C360" i="52"/>
  <c r="C361" i="52"/>
  <c r="C362" i="52"/>
  <c r="C363" i="52"/>
  <c r="C364" i="52"/>
  <c r="C365" i="52"/>
  <c r="C366" i="52"/>
  <c r="C367" i="52"/>
  <c r="C368" i="52"/>
  <c r="C369" i="52"/>
  <c r="C370" i="52"/>
  <c r="C371" i="52"/>
  <c r="C372" i="52"/>
  <c r="C373" i="52"/>
  <c r="C374" i="52"/>
  <c r="C375" i="52"/>
  <c r="C376" i="52"/>
  <c r="C377" i="52"/>
  <c r="C378" i="52"/>
  <c r="C379" i="52"/>
  <c r="C380" i="52"/>
  <c r="C381" i="52"/>
  <c r="C382" i="52"/>
  <c r="Q438" i="50" a="1"/>
  <c r="Q438" i="50" s="1"/>
  <c r="C438" i="50"/>
  <c r="Q437" i="50" a="1"/>
  <c r="Q437" i="50" s="1"/>
  <c r="C437" i="50"/>
  <c r="Q436" i="50" a="1"/>
  <c r="Q436" i="50" s="1"/>
  <c r="C436" i="50"/>
  <c r="Q435" i="50" a="1"/>
  <c r="Q435" i="50" s="1"/>
  <c r="C435" i="50"/>
  <c r="Q434" i="50" a="1"/>
  <c r="Q434" i="50" s="1"/>
  <c r="C434" i="50"/>
  <c r="Q433" i="50" a="1"/>
  <c r="Q433" i="50" s="1"/>
  <c r="C433" i="50"/>
  <c r="Q432" i="50" a="1"/>
  <c r="Q432" i="50" s="1"/>
  <c r="C432" i="50"/>
  <c r="Q431" i="50" a="1"/>
  <c r="Q431" i="50" s="1"/>
  <c r="C431" i="50"/>
  <c r="Q430" i="50" a="1"/>
  <c r="Q430" i="50" s="1"/>
  <c r="C430" i="50"/>
  <c r="Q429" i="50" a="1"/>
  <c r="Q429" i="50" s="1"/>
  <c r="C429" i="50"/>
  <c r="Q428" i="50" a="1"/>
  <c r="Q428" i="50" s="1"/>
  <c r="C428" i="50"/>
  <c r="Q427" i="50" a="1"/>
  <c r="Q427" i="50" s="1"/>
  <c r="C427" i="50"/>
  <c r="Q426" i="50" a="1"/>
  <c r="Q426" i="50" s="1"/>
  <c r="C426" i="50"/>
  <c r="Q425" i="50" a="1"/>
  <c r="Q425" i="50" s="1"/>
  <c r="C425" i="50"/>
  <c r="Q424" i="50" a="1"/>
  <c r="Q424" i="50" s="1"/>
  <c r="C424" i="50"/>
  <c r="Q423" i="50" a="1"/>
  <c r="Q423" i="50" s="1"/>
  <c r="C423" i="50"/>
  <c r="Q422" i="50" a="1"/>
  <c r="Q422" i="50" s="1"/>
  <c r="C422" i="50"/>
  <c r="Q421" i="50" a="1"/>
  <c r="Q421" i="50" s="1"/>
  <c r="C421" i="50"/>
  <c r="Q420" i="50" a="1"/>
  <c r="Q420" i="50" s="1"/>
  <c r="C420" i="50"/>
  <c r="Q419" i="50" a="1"/>
  <c r="Q419" i="50" s="1"/>
  <c r="C419" i="50"/>
  <c r="Q418" i="50" a="1"/>
  <c r="Q418" i="50" s="1"/>
  <c r="C418" i="50"/>
  <c r="Q417" i="50" a="1"/>
  <c r="Q417" i="50" s="1"/>
  <c r="C417" i="50"/>
  <c r="Q416" i="50" a="1"/>
  <c r="Q416" i="50" s="1"/>
  <c r="C416" i="50"/>
  <c r="Q415" i="50" a="1"/>
  <c r="Q415" i="50" s="1"/>
  <c r="C415" i="50"/>
  <c r="Q414" i="50" a="1"/>
  <c r="Q414" i="50" s="1"/>
  <c r="C414" i="50"/>
  <c r="Q413" i="50" a="1"/>
  <c r="Q413" i="50" s="1"/>
  <c r="C413" i="50"/>
  <c r="Q412" i="50" a="1"/>
  <c r="Q412" i="50" s="1"/>
  <c r="C412" i="50"/>
  <c r="Q411" i="50" a="1"/>
  <c r="Q411" i="50" s="1"/>
  <c r="C411" i="50"/>
  <c r="Q410" i="50" a="1"/>
  <c r="Q410" i="50" s="1"/>
  <c r="C410" i="50"/>
  <c r="Q409" i="50" a="1"/>
  <c r="Q409" i="50" s="1"/>
  <c r="C409" i="50"/>
  <c r="Q408" i="50" a="1"/>
  <c r="Q408" i="50" s="1"/>
  <c r="C408" i="50"/>
  <c r="Q407" i="50" a="1"/>
  <c r="Q407" i="50" s="1"/>
  <c r="C407" i="50"/>
  <c r="Q406" i="50" a="1"/>
  <c r="Q406" i="50" s="1"/>
  <c r="C406" i="50"/>
  <c r="Q405" i="50" a="1"/>
  <c r="Q405" i="50" s="1"/>
  <c r="C405" i="50"/>
  <c r="Q404" i="50" a="1"/>
  <c r="Q404" i="50" s="1"/>
  <c r="C404" i="50"/>
  <c r="Q403" i="50" a="1"/>
  <c r="Q403" i="50" s="1"/>
  <c r="C403" i="50"/>
  <c r="Q402" i="50" a="1"/>
  <c r="Q402" i="50" s="1"/>
  <c r="C402" i="50"/>
  <c r="Q401" i="50" a="1"/>
  <c r="Q401" i="50" s="1"/>
  <c r="C401" i="50"/>
  <c r="Q400" i="50" a="1"/>
  <c r="Q400" i="50" s="1"/>
  <c r="C400" i="50"/>
  <c r="Q399" i="50" a="1"/>
  <c r="Q399" i="50" s="1"/>
  <c r="C399" i="50"/>
  <c r="Q398" i="50" a="1"/>
  <c r="Q398" i="50" s="1"/>
  <c r="C398" i="50"/>
  <c r="Q397" i="50" a="1"/>
  <c r="Q397" i="50" s="1"/>
  <c r="C397" i="50"/>
  <c r="Q396" i="50" a="1"/>
  <c r="Q396" i="50" s="1"/>
  <c r="C396" i="50"/>
  <c r="Q395" i="50" a="1"/>
  <c r="Q395" i="50" s="1"/>
  <c r="C395" i="50"/>
  <c r="Q394" i="50" a="1"/>
  <c r="Q394" i="50" s="1"/>
  <c r="C394" i="50"/>
  <c r="Q393" i="50" a="1"/>
  <c r="Q393" i="50" s="1"/>
  <c r="C393" i="50"/>
  <c r="Q392" i="50" a="1"/>
  <c r="Q392" i="50" s="1"/>
  <c r="C392" i="50"/>
  <c r="Q391" i="50" a="1"/>
  <c r="Q391" i="50" s="1"/>
  <c r="C391" i="50"/>
  <c r="Q390" i="50" a="1"/>
  <c r="Q390" i="50" s="1"/>
  <c r="C390" i="50"/>
  <c r="Q389" i="50" a="1"/>
  <c r="Q389" i="50" s="1"/>
  <c r="C389" i="50"/>
  <c r="Q388" i="50" a="1"/>
  <c r="Q388" i="50" s="1"/>
  <c r="C388" i="50"/>
  <c r="Q387" i="50" a="1"/>
  <c r="Q387" i="50" s="1"/>
  <c r="C387" i="50"/>
  <c r="Q386" i="50" a="1"/>
  <c r="Q386" i="50" s="1"/>
  <c r="C386" i="50"/>
  <c r="Q385" i="50" a="1"/>
  <c r="Q385" i="50" s="1"/>
  <c r="C385" i="50"/>
  <c r="Q384" i="50" a="1"/>
  <c r="Q384" i="50" s="1"/>
  <c r="C384" i="50"/>
  <c r="Q383" i="50" a="1"/>
  <c r="Q383" i="50" s="1"/>
  <c r="C383" i="50"/>
  <c r="Q382" i="50" a="1"/>
  <c r="Q382" i="50" s="1"/>
  <c r="C382" i="50"/>
  <c r="Q381" i="50" a="1"/>
  <c r="Q381" i="50" s="1"/>
  <c r="C381" i="50"/>
  <c r="Q380" i="50" a="1"/>
  <c r="Q380" i="50" s="1"/>
  <c r="C380" i="50"/>
  <c r="Q379" i="50" a="1"/>
  <c r="Q379" i="50" s="1"/>
  <c r="C379" i="50"/>
  <c r="Q378" i="50" a="1"/>
  <c r="Q378" i="50" s="1"/>
  <c r="C378" i="50"/>
  <c r="Q377" i="50" a="1"/>
  <c r="Q377" i="50" s="1"/>
  <c r="C377" i="50"/>
  <c r="Q376" i="50" a="1"/>
  <c r="Q376" i="50" s="1"/>
  <c r="C376" i="50"/>
  <c r="Q375" i="50" a="1"/>
  <c r="Q375" i="50" s="1"/>
  <c r="C375" i="50"/>
  <c r="Q374" i="50" a="1"/>
  <c r="Q374" i="50" s="1"/>
  <c r="C374" i="50"/>
  <c r="Q373" i="50" a="1"/>
  <c r="Q373" i="50" s="1"/>
  <c r="C373" i="50"/>
  <c r="Q372" i="50" a="1"/>
  <c r="Q372" i="50" s="1"/>
  <c r="C372" i="50"/>
  <c r="Q371" i="50" a="1"/>
  <c r="Q371" i="50" s="1"/>
  <c r="C371" i="50"/>
  <c r="Q370" i="50" a="1"/>
  <c r="Q370" i="50" s="1"/>
  <c r="C370" i="50"/>
  <c r="Q369" i="50" a="1"/>
  <c r="Q369" i="50" s="1"/>
  <c r="C369" i="50"/>
  <c r="Q368" i="50" a="1"/>
  <c r="Q368" i="50" s="1"/>
  <c r="C368" i="50"/>
  <c r="Q367" i="50" a="1"/>
  <c r="Q367" i="50" s="1"/>
  <c r="C367" i="50"/>
  <c r="Q366" i="50" a="1"/>
  <c r="Q366" i="50" s="1"/>
  <c r="C366" i="50"/>
  <c r="Q365" i="50" a="1"/>
  <c r="Q365" i="50" s="1"/>
  <c r="C365" i="50"/>
  <c r="Q364" i="50" a="1"/>
  <c r="Q364" i="50" s="1"/>
  <c r="C364" i="50"/>
  <c r="Q363" i="50" a="1"/>
  <c r="Q363" i="50" s="1"/>
  <c r="C363" i="50"/>
  <c r="Q362" i="50" a="1"/>
  <c r="Q362" i="50" s="1"/>
  <c r="C362" i="50"/>
  <c r="Q361" i="50" a="1"/>
  <c r="Q361" i="50" s="1"/>
  <c r="C361" i="50"/>
  <c r="Q360" i="50" a="1"/>
  <c r="Q360" i="50" s="1"/>
  <c r="C360" i="50"/>
  <c r="Q359" i="50" a="1"/>
  <c r="Q359" i="50" s="1"/>
  <c r="C359" i="50"/>
  <c r="Q358" i="50" a="1"/>
  <c r="Q358" i="50" s="1"/>
  <c r="C358" i="50"/>
  <c r="Q357" i="50" a="1"/>
  <c r="Q357" i="50" s="1"/>
  <c r="C357" i="50"/>
  <c r="Q356" i="50" a="1"/>
  <c r="Q356" i="50" s="1"/>
  <c r="C356" i="50"/>
  <c r="Q355" i="50" a="1"/>
  <c r="Q355" i="50" s="1"/>
  <c r="C355" i="50"/>
  <c r="Q354" i="50" a="1"/>
  <c r="Q354" i="50" s="1"/>
  <c r="C354" i="50"/>
  <c r="Q353" i="50" a="1"/>
  <c r="Q353" i="50" s="1"/>
  <c r="C353" i="50"/>
  <c r="Q352" i="50" a="1"/>
  <c r="Q352" i="50" s="1"/>
  <c r="C352" i="50"/>
  <c r="Q351" i="50" a="1"/>
  <c r="Q351" i="50" s="1"/>
  <c r="C351" i="50"/>
  <c r="Q350" i="50" a="1"/>
  <c r="Q350" i="50" s="1"/>
  <c r="C350" i="50"/>
  <c r="Q349" i="50" a="1"/>
  <c r="Q349" i="50" s="1"/>
  <c r="C349" i="50"/>
  <c r="Q348" i="50" a="1"/>
  <c r="Q348" i="50" s="1"/>
  <c r="C348" i="50"/>
  <c r="Q347" i="50" a="1"/>
  <c r="Q347" i="50" s="1"/>
  <c r="C347" i="50"/>
  <c r="Q346" i="50" a="1"/>
  <c r="Q346" i="50" s="1"/>
  <c r="C346" i="50"/>
  <c r="Q345" i="50" a="1"/>
  <c r="Q345" i="50" s="1"/>
  <c r="C345" i="50"/>
  <c r="Q344" i="50" a="1"/>
  <c r="Q344" i="50" s="1"/>
  <c r="C344" i="50"/>
  <c r="Q343" i="50" a="1"/>
  <c r="Q343" i="50" s="1"/>
  <c r="C343" i="50"/>
  <c r="Q342" i="50" a="1"/>
  <c r="Q342" i="50" s="1"/>
  <c r="C342" i="50"/>
  <c r="Q341" i="50" a="1"/>
  <c r="Q341" i="50" s="1"/>
  <c r="C341" i="50"/>
  <c r="Q340" i="50" a="1"/>
  <c r="Q340" i="50" s="1"/>
  <c r="C340" i="50"/>
  <c r="Q339" i="50" a="1"/>
  <c r="Q339" i="50" s="1"/>
  <c r="C339" i="50"/>
  <c r="Q338" i="50" a="1"/>
  <c r="Q338" i="50" s="1"/>
  <c r="C338" i="50"/>
  <c r="Q337" i="50" a="1"/>
  <c r="Q337" i="50" s="1"/>
  <c r="C337" i="50"/>
  <c r="Q336" i="50" a="1"/>
  <c r="Q336" i="50" s="1"/>
  <c r="C336" i="50"/>
  <c r="Q335" i="50" a="1"/>
  <c r="Q335" i="50" s="1"/>
  <c r="C335" i="50"/>
  <c r="Q334" i="50" a="1"/>
  <c r="Q334" i="50" s="1"/>
  <c r="C334" i="50"/>
  <c r="Q333" i="50" a="1"/>
  <c r="Q333" i="50" s="1"/>
  <c r="C333" i="50"/>
  <c r="Q332" i="50" a="1"/>
  <c r="Q332" i="50" s="1"/>
  <c r="C332" i="50"/>
  <c r="Q331" i="50" a="1"/>
  <c r="Q331" i="50" s="1"/>
  <c r="C331" i="50"/>
  <c r="Q330" i="50" a="1"/>
  <c r="Q330" i="50" s="1"/>
  <c r="C330" i="50"/>
  <c r="Q329" i="50" a="1"/>
  <c r="Q329" i="50" s="1"/>
  <c r="C329" i="50"/>
  <c r="Q328" i="50" a="1"/>
  <c r="Q328" i="50" s="1"/>
  <c r="C328" i="50"/>
  <c r="Q327" i="50" a="1"/>
  <c r="Q327" i="50" s="1"/>
  <c r="C327" i="50"/>
  <c r="Q326" i="50" a="1"/>
  <c r="Q326" i="50" s="1"/>
  <c r="C326" i="50"/>
  <c r="Q325" i="50" a="1"/>
  <c r="Q325" i="50" s="1"/>
  <c r="C325" i="50"/>
  <c r="Q324" i="50" a="1"/>
  <c r="Q324" i="50" s="1"/>
  <c r="C324" i="50"/>
  <c r="Q323" i="50" a="1"/>
  <c r="Q323" i="50" s="1"/>
  <c r="C323" i="50"/>
  <c r="Q322" i="50" a="1"/>
  <c r="Q322" i="50" s="1"/>
  <c r="C322" i="50"/>
  <c r="Q321" i="50" a="1"/>
  <c r="Q321" i="50" s="1"/>
  <c r="C321" i="50"/>
  <c r="Q320" i="50" a="1"/>
  <c r="Q320" i="50" s="1"/>
  <c r="C320" i="50"/>
  <c r="Q319" i="50" a="1"/>
  <c r="Q319" i="50" s="1"/>
  <c r="C319" i="50"/>
  <c r="Q318" i="50" a="1"/>
  <c r="Q318" i="50" s="1"/>
  <c r="C318" i="50"/>
  <c r="Q317" i="50" a="1"/>
  <c r="Q317" i="50" s="1"/>
  <c r="C317" i="50"/>
  <c r="Q316" i="50" a="1"/>
  <c r="Q316" i="50" s="1"/>
  <c r="C316" i="50"/>
  <c r="Q315" i="50" a="1"/>
  <c r="Q315" i="50" s="1"/>
  <c r="C315" i="50"/>
  <c r="Q314" i="50" a="1"/>
  <c r="Q314" i="50" s="1"/>
  <c r="C314" i="50"/>
  <c r="Q313" i="50" a="1"/>
  <c r="Q313" i="50" s="1"/>
  <c r="C313" i="50"/>
  <c r="Q312" i="50" a="1"/>
  <c r="Q312" i="50" s="1"/>
  <c r="C312" i="50"/>
  <c r="Q311" i="50" a="1"/>
  <c r="Q311" i="50" s="1"/>
  <c r="C311" i="50"/>
  <c r="Q310" i="50" a="1"/>
  <c r="Q310" i="50" s="1"/>
  <c r="C310" i="50"/>
  <c r="Q309" i="50" a="1"/>
  <c r="Q309" i="50" s="1"/>
  <c r="C309" i="50"/>
  <c r="Q308" i="50" a="1"/>
  <c r="Q308" i="50" s="1"/>
  <c r="C308" i="50"/>
  <c r="Q307" i="50" a="1"/>
  <c r="Q307" i="50" s="1"/>
  <c r="C307" i="50"/>
  <c r="Q306" i="50" a="1"/>
  <c r="Q306" i="50" s="1"/>
  <c r="C306" i="50"/>
  <c r="Q305" i="50" a="1"/>
  <c r="Q305" i="50" s="1"/>
  <c r="C305" i="50"/>
  <c r="Q304" i="50" a="1"/>
  <c r="Q304" i="50" s="1"/>
  <c r="C304" i="50"/>
  <c r="Q303" i="50" a="1"/>
  <c r="Q303" i="50" s="1"/>
  <c r="C303" i="50"/>
  <c r="Q302" i="50" a="1"/>
  <c r="Q302" i="50" s="1"/>
  <c r="C302" i="50"/>
  <c r="Q301" i="50" a="1"/>
  <c r="Q301" i="50" s="1"/>
  <c r="C301" i="50"/>
  <c r="Q300" i="50" a="1"/>
  <c r="Q300" i="50" s="1"/>
  <c r="C300" i="50"/>
  <c r="Q299" i="50" a="1"/>
  <c r="Q299" i="50" s="1"/>
  <c r="C299" i="50"/>
  <c r="Q298" i="50" a="1"/>
  <c r="Q298" i="50" s="1"/>
  <c r="C298" i="50"/>
  <c r="Q297" i="50" a="1"/>
  <c r="Q297" i="50" s="1"/>
  <c r="C297" i="50"/>
  <c r="Q296" i="50" a="1"/>
  <c r="Q296" i="50" s="1"/>
  <c r="C296" i="50"/>
  <c r="Q295" i="50" a="1"/>
  <c r="Q295" i="50" s="1"/>
  <c r="C295" i="50"/>
  <c r="Q294" i="50" a="1"/>
  <c r="Q294" i="50" s="1"/>
  <c r="C294" i="50"/>
  <c r="Q293" i="50" a="1"/>
  <c r="Q293" i="50" s="1"/>
  <c r="C293" i="50"/>
  <c r="Q292" i="50" a="1"/>
  <c r="Q292" i="50" s="1"/>
  <c r="C292" i="50"/>
  <c r="Q291" i="50" a="1"/>
  <c r="Q291" i="50" s="1"/>
  <c r="C291" i="50"/>
  <c r="Q290" i="50" a="1"/>
  <c r="Q290" i="50" s="1"/>
  <c r="C290" i="50"/>
  <c r="Q289" i="50" a="1"/>
  <c r="Q289" i="50" s="1"/>
  <c r="C289" i="50"/>
  <c r="Q288" i="50" a="1"/>
  <c r="Q288" i="50" s="1"/>
  <c r="C288" i="50"/>
  <c r="Q287" i="50" a="1"/>
  <c r="Q287" i="50" s="1"/>
  <c r="C287" i="50"/>
  <c r="Q286" i="50" a="1"/>
  <c r="Q286" i="50" s="1"/>
  <c r="C286" i="50"/>
  <c r="Q285" i="50" a="1"/>
  <c r="Q285" i="50" s="1"/>
  <c r="C285" i="50"/>
  <c r="Q284" i="50" a="1"/>
  <c r="Q284" i="50" s="1"/>
  <c r="C284" i="50"/>
  <c r="Q283" i="50" a="1"/>
  <c r="Q283" i="50" s="1"/>
  <c r="C283" i="50"/>
  <c r="Q282" i="50" a="1"/>
  <c r="Q282" i="50" s="1"/>
  <c r="C282" i="50"/>
  <c r="Q281" i="50" a="1"/>
  <c r="Q281" i="50" s="1"/>
  <c r="C281" i="50"/>
  <c r="Q280" i="50" a="1"/>
  <c r="Q280" i="50" s="1"/>
  <c r="C280" i="50"/>
  <c r="Q279" i="50" a="1"/>
  <c r="Q279" i="50" s="1"/>
  <c r="C279" i="50"/>
  <c r="Q278" i="50" a="1"/>
  <c r="Q278" i="50" s="1"/>
  <c r="C278" i="50"/>
  <c r="Q277" i="50" a="1"/>
  <c r="Q277" i="50" s="1"/>
  <c r="C277" i="50"/>
  <c r="Q276" i="50" a="1"/>
  <c r="Q276" i="50" s="1"/>
  <c r="C276" i="50"/>
  <c r="Q275" i="50" a="1"/>
  <c r="Q275" i="50" s="1"/>
  <c r="C275" i="50"/>
  <c r="Q274" i="50" a="1"/>
  <c r="Q274" i="50" s="1"/>
  <c r="C274" i="50"/>
  <c r="Q273" i="50" a="1"/>
  <c r="Q273" i="50" s="1"/>
  <c r="C273" i="50"/>
  <c r="Q272" i="50" a="1"/>
  <c r="Q272" i="50" s="1"/>
  <c r="C272" i="50"/>
  <c r="Q271" i="50" a="1"/>
  <c r="Q271" i="50" s="1"/>
  <c r="C271" i="50"/>
  <c r="Q270" i="50" a="1"/>
  <c r="Q270" i="50" s="1"/>
  <c r="C270" i="50"/>
  <c r="Q269" i="50" a="1"/>
  <c r="Q269" i="50" s="1"/>
  <c r="C269" i="50"/>
  <c r="Q268" i="50" a="1"/>
  <c r="Q268" i="50" s="1"/>
  <c r="C268" i="50"/>
  <c r="Q267" i="50" a="1"/>
  <c r="Q267" i="50" s="1"/>
  <c r="C267" i="50"/>
  <c r="Q266" i="50" a="1"/>
  <c r="Q266" i="50" s="1"/>
  <c r="C266" i="50"/>
  <c r="Q265" i="50" a="1"/>
  <c r="Q265" i="50" s="1"/>
  <c r="C265" i="50"/>
  <c r="Q264" i="50" a="1"/>
  <c r="Q264" i="50" s="1"/>
  <c r="C264" i="50"/>
  <c r="Q263" i="50" a="1"/>
  <c r="Q263" i="50" s="1"/>
  <c r="C263" i="50"/>
  <c r="Q262" i="50" a="1"/>
  <c r="Q262" i="50" s="1"/>
  <c r="C262" i="50"/>
  <c r="Q261" i="50" a="1"/>
  <c r="Q261" i="50" s="1"/>
  <c r="C261" i="50"/>
  <c r="Q260" i="50" a="1"/>
  <c r="Q260" i="50" s="1"/>
  <c r="C260" i="50"/>
  <c r="Q259" i="50" a="1"/>
  <c r="Q259" i="50" s="1"/>
  <c r="C259" i="50"/>
  <c r="Q258" i="50" a="1"/>
  <c r="Q258" i="50" s="1"/>
  <c r="C258" i="50"/>
  <c r="Q257" i="50" a="1"/>
  <c r="Q257" i="50" s="1"/>
  <c r="C257" i="50"/>
  <c r="Q256" i="50" a="1"/>
  <c r="Q256" i="50" s="1"/>
  <c r="C256" i="50"/>
  <c r="Q255" i="50" a="1"/>
  <c r="Q255" i="50" s="1"/>
  <c r="C255" i="50"/>
  <c r="Q254" i="50" a="1"/>
  <c r="Q254" i="50" s="1"/>
  <c r="C254" i="50"/>
  <c r="Q253" i="50" a="1"/>
  <c r="Q253" i="50" s="1"/>
  <c r="C253" i="50"/>
  <c r="Q252" i="50" a="1"/>
  <c r="Q252" i="50" s="1"/>
  <c r="C252" i="50"/>
  <c r="Q251" i="50" a="1"/>
  <c r="Q251" i="50" s="1"/>
  <c r="C251" i="50"/>
  <c r="Q250" i="50" a="1"/>
  <c r="Q250" i="50" s="1"/>
  <c r="C250" i="50"/>
  <c r="Q249" i="50" a="1"/>
  <c r="Q249" i="50" s="1"/>
  <c r="C249" i="50"/>
  <c r="Q248" i="50" a="1"/>
  <c r="Q248" i="50" s="1"/>
  <c r="C248" i="50"/>
  <c r="Q247" i="50" a="1"/>
  <c r="Q247" i="50" s="1"/>
  <c r="C247" i="50"/>
  <c r="Q246" i="50" a="1"/>
  <c r="Q246" i="50" s="1"/>
  <c r="C246" i="50"/>
  <c r="Q245" i="50" a="1"/>
  <c r="Q245" i="50" s="1"/>
  <c r="C245" i="50"/>
  <c r="Q244" i="50" a="1"/>
  <c r="Q244" i="50" s="1"/>
  <c r="C244" i="50"/>
  <c r="Q243" i="50" a="1"/>
  <c r="Q243" i="50" s="1"/>
  <c r="C243" i="50"/>
  <c r="Q242" i="50" a="1"/>
  <c r="Q242" i="50" s="1"/>
  <c r="C242" i="50"/>
  <c r="Q241" i="50" a="1"/>
  <c r="Q241" i="50" s="1"/>
  <c r="C241" i="50"/>
  <c r="Q240" i="50" a="1"/>
  <c r="Q240" i="50" s="1"/>
  <c r="C240" i="50"/>
  <c r="Q239" i="50" a="1"/>
  <c r="Q239" i="50" s="1"/>
  <c r="C239" i="50"/>
  <c r="Q238" i="50" a="1"/>
  <c r="Q238" i="50" s="1"/>
  <c r="C238" i="50"/>
  <c r="Q237" i="50" a="1"/>
  <c r="Q237" i="50" s="1"/>
  <c r="C237" i="50"/>
  <c r="Q236" i="50" a="1"/>
  <c r="Q236" i="50" s="1"/>
  <c r="C236" i="50"/>
  <c r="Q235" i="50" a="1"/>
  <c r="Q235" i="50" s="1"/>
  <c r="C235" i="50"/>
  <c r="Q234" i="50" a="1"/>
  <c r="Q234" i="50" s="1"/>
  <c r="C234" i="50"/>
  <c r="Q233" i="50" a="1"/>
  <c r="Q233" i="50" s="1"/>
  <c r="C233" i="50"/>
  <c r="Q232" i="50" a="1"/>
  <c r="Q232" i="50" s="1"/>
  <c r="C232" i="50"/>
  <c r="Q231" i="50" a="1"/>
  <c r="Q231" i="50" s="1"/>
  <c r="C231" i="50"/>
  <c r="Q230" i="50" a="1"/>
  <c r="Q230" i="50" s="1"/>
  <c r="C230" i="50"/>
  <c r="Q229" i="50" a="1"/>
  <c r="Q229" i="50" s="1"/>
  <c r="C229" i="50"/>
  <c r="Q228" i="50" a="1"/>
  <c r="Q228" i="50" s="1"/>
  <c r="C228" i="50"/>
  <c r="Q227" i="50" a="1"/>
  <c r="Q227" i="50" s="1"/>
  <c r="C227" i="50"/>
  <c r="Q226" i="50" a="1"/>
  <c r="Q226" i="50" s="1"/>
  <c r="C226" i="50"/>
  <c r="Q225" i="50" a="1"/>
  <c r="Q225" i="50" s="1"/>
  <c r="C225" i="50"/>
  <c r="Q224" i="50" a="1"/>
  <c r="Q224" i="50" s="1"/>
  <c r="C224" i="50"/>
  <c r="Q223" i="50" a="1"/>
  <c r="Q223" i="50" s="1"/>
  <c r="C223" i="50"/>
  <c r="Q222" i="50" a="1"/>
  <c r="Q222" i="50" s="1"/>
  <c r="C222" i="50"/>
  <c r="Q221" i="50" a="1"/>
  <c r="Q221" i="50" s="1"/>
  <c r="C221" i="50"/>
  <c r="Q220" i="50" a="1"/>
  <c r="Q220" i="50" s="1"/>
  <c r="C220" i="50"/>
  <c r="Q219" i="50" a="1"/>
  <c r="Q219" i="50" s="1"/>
  <c r="C219" i="50"/>
  <c r="Q218" i="50" a="1"/>
  <c r="Q218" i="50" s="1"/>
  <c r="C218" i="50"/>
  <c r="Q217" i="50" a="1"/>
  <c r="Q217" i="50" s="1"/>
  <c r="C217" i="50"/>
  <c r="Q216" i="50" a="1"/>
  <c r="Q216" i="50" s="1"/>
  <c r="C216" i="50"/>
  <c r="Q215" i="50" a="1"/>
  <c r="Q215" i="50" s="1"/>
  <c r="C215" i="50"/>
  <c r="Q214" i="50" a="1"/>
  <c r="Q214" i="50" s="1"/>
  <c r="C214" i="50"/>
  <c r="Q213" i="50" a="1"/>
  <c r="Q213" i="50" s="1"/>
  <c r="C213" i="50"/>
  <c r="Q212" i="50" a="1"/>
  <c r="Q212" i="50" s="1"/>
  <c r="C212" i="50"/>
  <c r="Q211" i="50" a="1"/>
  <c r="Q211" i="50" s="1"/>
  <c r="C211" i="50"/>
  <c r="Q210" i="50" a="1"/>
  <c r="Q210" i="50" s="1"/>
  <c r="C210" i="50"/>
  <c r="Q209" i="50" a="1"/>
  <c r="Q209" i="50" s="1"/>
  <c r="C209" i="50"/>
  <c r="Q208" i="50" a="1"/>
  <c r="Q208" i="50" s="1"/>
  <c r="C208" i="50"/>
  <c r="Q207" i="50" a="1"/>
  <c r="Q207" i="50" s="1"/>
  <c r="C207" i="50"/>
  <c r="Q206" i="50" a="1"/>
  <c r="Q206" i="50" s="1"/>
  <c r="C206" i="50"/>
  <c r="Q205" i="50" a="1"/>
  <c r="Q205" i="50" s="1"/>
  <c r="C205" i="50"/>
  <c r="Q204" i="50" a="1"/>
  <c r="Q204" i="50" s="1"/>
  <c r="C204" i="50"/>
  <c r="Q203" i="50" a="1"/>
  <c r="Q203" i="50" s="1"/>
  <c r="C203" i="50"/>
  <c r="Q202" i="50" a="1"/>
  <c r="Q202" i="50" s="1"/>
  <c r="C202" i="50"/>
  <c r="Q201" i="50" a="1"/>
  <c r="Q201" i="50" s="1"/>
  <c r="C201" i="50"/>
  <c r="Q200" i="50" a="1"/>
  <c r="Q200" i="50" s="1"/>
  <c r="C200" i="50"/>
  <c r="Q199" i="50" a="1"/>
  <c r="Q199" i="50" s="1"/>
  <c r="C199" i="50"/>
  <c r="Q198" i="50" a="1"/>
  <c r="Q198" i="50" s="1"/>
  <c r="C198" i="50"/>
  <c r="Q197" i="50" a="1"/>
  <c r="Q197" i="50" s="1"/>
  <c r="C197" i="50"/>
  <c r="Q196" i="50" a="1"/>
  <c r="Q196" i="50" s="1"/>
  <c r="C196" i="50"/>
  <c r="Q195" i="50" a="1"/>
  <c r="Q195" i="50" s="1"/>
  <c r="C195" i="50"/>
  <c r="Q194" i="50" a="1"/>
  <c r="Q194" i="50" s="1"/>
  <c r="C194" i="50"/>
  <c r="Q193" i="50" a="1"/>
  <c r="Q193" i="50" s="1"/>
  <c r="C193" i="50"/>
  <c r="Q192" i="50" a="1"/>
  <c r="Q192" i="50" s="1"/>
  <c r="C192" i="50"/>
  <c r="Q191" i="50" a="1"/>
  <c r="Q191" i="50" s="1"/>
  <c r="C191" i="50"/>
  <c r="Q190" i="50" a="1"/>
  <c r="Q190" i="50" s="1"/>
  <c r="C190" i="50"/>
  <c r="Q189" i="50" a="1"/>
  <c r="Q189" i="50" s="1"/>
  <c r="C189" i="50"/>
  <c r="Q188" i="50" a="1"/>
  <c r="Q188" i="50" s="1"/>
  <c r="C188" i="50"/>
  <c r="Q187" i="50" a="1"/>
  <c r="Q187" i="50" s="1"/>
  <c r="C187" i="50"/>
  <c r="Q186" i="50" a="1"/>
  <c r="Q186" i="50" s="1"/>
  <c r="C186" i="50"/>
  <c r="Q185" i="50" a="1"/>
  <c r="Q185" i="50" s="1"/>
  <c r="C185" i="50"/>
  <c r="Q184" i="50" a="1"/>
  <c r="Q184" i="50" s="1"/>
  <c r="C184" i="50"/>
  <c r="Q183" i="50" a="1"/>
  <c r="Q183" i="50" s="1"/>
  <c r="C183" i="50"/>
  <c r="Q182" i="50" a="1"/>
  <c r="Q182" i="50" s="1"/>
  <c r="C182" i="50"/>
  <c r="Q181" i="50" a="1"/>
  <c r="Q181" i="50" s="1"/>
  <c r="C181" i="50"/>
  <c r="Q180" i="50" a="1"/>
  <c r="Q180" i="50" s="1"/>
  <c r="C180" i="50"/>
  <c r="Q179" i="50" a="1"/>
  <c r="Q179" i="50" s="1"/>
  <c r="C179" i="50"/>
  <c r="Q178" i="50" a="1"/>
  <c r="Q178" i="50" s="1"/>
  <c r="C178" i="50"/>
  <c r="Q177" i="50" a="1"/>
  <c r="Q177" i="50" s="1"/>
  <c r="C177" i="50"/>
  <c r="Q176" i="50" a="1"/>
  <c r="Q176" i="50" s="1"/>
  <c r="C176" i="50"/>
  <c r="Q175" i="50" a="1"/>
  <c r="Q175" i="50" s="1"/>
  <c r="C175" i="50"/>
  <c r="Q174" i="50" a="1"/>
  <c r="Q174" i="50" s="1"/>
  <c r="C174" i="50"/>
  <c r="Q173" i="50" a="1"/>
  <c r="Q173" i="50" s="1"/>
  <c r="C173" i="50"/>
  <c r="Q172" i="50" a="1"/>
  <c r="Q172" i="50" s="1"/>
  <c r="C172" i="50"/>
  <c r="Q171" i="50" a="1"/>
  <c r="Q171" i="50" s="1"/>
  <c r="C171" i="50"/>
  <c r="Q170" i="50" a="1"/>
  <c r="Q170" i="50" s="1"/>
  <c r="C170" i="50"/>
  <c r="Q169" i="50" a="1"/>
  <c r="Q169" i="50" s="1"/>
  <c r="C169" i="50"/>
  <c r="Q168" i="50" a="1"/>
  <c r="Q168" i="50" s="1"/>
  <c r="C168" i="50"/>
  <c r="Q167" i="50" a="1"/>
  <c r="Q167" i="50" s="1"/>
  <c r="C167" i="50"/>
  <c r="Q166" i="50" a="1"/>
  <c r="Q166" i="50" s="1"/>
  <c r="C166" i="50"/>
  <c r="Q165" i="50" a="1"/>
  <c r="Q165" i="50" s="1"/>
  <c r="C165" i="50"/>
  <c r="Q164" i="50" a="1"/>
  <c r="Q164" i="50" s="1"/>
  <c r="C164" i="50"/>
  <c r="Q163" i="50" a="1"/>
  <c r="Q163" i="50" s="1"/>
  <c r="C163" i="50"/>
  <c r="Q162" i="50" a="1"/>
  <c r="Q162" i="50" s="1"/>
  <c r="C162" i="50"/>
  <c r="Q161" i="50" a="1"/>
  <c r="Q161" i="50" s="1"/>
  <c r="C161" i="50"/>
  <c r="Q160" i="50" a="1"/>
  <c r="Q160" i="50" s="1"/>
  <c r="C160" i="50"/>
  <c r="Q159" i="50" a="1"/>
  <c r="Q159" i="50" s="1"/>
  <c r="C159" i="50"/>
  <c r="Q158" i="50" a="1"/>
  <c r="Q158" i="50" s="1"/>
  <c r="C158" i="50"/>
  <c r="Q157" i="50" a="1"/>
  <c r="Q157" i="50" s="1"/>
  <c r="C157" i="50"/>
  <c r="Q156" i="50" a="1"/>
  <c r="Q156" i="50" s="1"/>
  <c r="C156" i="50"/>
  <c r="Q155" i="50" a="1"/>
  <c r="Q155" i="50" s="1"/>
  <c r="C155" i="50"/>
  <c r="Q154" i="50" a="1"/>
  <c r="Q154" i="50" s="1"/>
  <c r="C154" i="50"/>
  <c r="Q153" i="50" a="1"/>
  <c r="Q153" i="50" s="1"/>
  <c r="C153" i="50"/>
  <c r="Q152" i="50" a="1"/>
  <c r="Q152" i="50" s="1"/>
  <c r="C152" i="50"/>
  <c r="Q151" i="50" a="1"/>
  <c r="Q151" i="50" s="1"/>
  <c r="C151" i="50"/>
  <c r="Q150" i="50" a="1"/>
  <c r="Q150" i="50" s="1"/>
  <c r="C150" i="50"/>
  <c r="Q149" i="50" a="1"/>
  <c r="Q149" i="50" s="1"/>
  <c r="C149" i="50"/>
  <c r="Q148" i="50" a="1"/>
  <c r="Q148" i="50" s="1"/>
  <c r="C148" i="50"/>
  <c r="Q147" i="50" a="1"/>
  <c r="Q147" i="50" s="1"/>
  <c r="C147" i="50"/>
  <c r="Q146" i="50" a="1"/>
  <c r="Q146" i="50" s="1"/>
  <c r="C146" i="50"/>
  <c r="Q145" i="50" a="1"/>
  <c r="Q145" i="50" s="1"/>
  <c r="C145" i="50"/>
  <c r="Q144" i="50" a="1"/>
  <c r="Q144" i="50" s="1"/>
  <c r="C144" i="50"/>
  <c r="Q143" i="50" a="1"/>
  <c r="Q143" i="50" s="1"/>
  <c r="C143" i="50"/>
  <c r="Q142" i="50" a="1"/>
  <c r="Q142" i="50" s="1"/>
  <c r="C142" i="50"/>
  <c r="Q141" i="50" a="1"/>
  <c r="Q141" i="50" s="1"/>
  <c r="C141" i="50"/>
  <c r="Q140" i="50" a="1"/>
  <c r="Q140" i="50" s="1"/>
  <c r="C140" i="50"/>
  <c r="Q139" i="50" a="1"/>
  <c r="Q139" i="50" s="1"/>
  <c r="C139" i="50"/>
  <c r="Q138" i="50" a="1"/>
  <c r="Q138" i="50" s="1"/>
  <c r="C138" i="50"/>
  <c r="Q137" i="50" a="1"/>
  <c r="Q137" i="50" s="1"/>
  <c r="C137" i="50"/>
  <c r="Q136" i="50" a="1"/>
  <c r="Q136" i="50" s="1"/>
  <c r="C136" i="50"/>
  <c r="Q135" i="50" a="1"/>
  <c r="Q135" i="50" s="1"/>
  <c r="C135" i="50"/>
  <c r="Q134" i="50" a="1"/>
  <c r="Q134" i="50" s="1"/>
  <c r="C134" i="50"/>
  <c r="Q133" i="50" a="1"/>
  <c r="Q133" i="50" s="1"/>
  <c r="C133" i="50"/>
  <c r="Q132" i="50" a="1"/>
  <c r="Q132" i="50" s="1"/>
  <c r="C132" i="50"/>
  <c r="Q131" i="50" a="1"/>
  <c r="Q131" i="50" s="1"/>
  <c r="C131" i="50"/>
  <c r="Q130" i="50" a="1"/>
  <c r="Q130" i="50" s="1"/>
  <c r="C130" i="50"/>
  <c r="Q129" i="50" a="1"/>
  <c r="Q129" i="50" s="1"/>
  <c r="C129" i="50"/>
  <c r="Q128" i="50" a="1"/>
  <c r="Q128" i="50" s="1"/>
  <c r="C128" i="50"/>
  <c r="Q127" i="50" a="1"/>
  <c r="Q127" i="50" s="1"/>
  <c r="C127" i="50"/>
  <c r="Q126" i="50" a="1"/>
  <c r="Q126" i="50" s="1"/>
  <c r="C126" i="50"/>
  <c r="Q125" i="50" a="1"/>
  <c r="Q125" i="50" s="1"/>
  <c r="C125" i="50"/>
  <c r="Q124" i="50" a="1"/>
  <c r="Q124" i="50" s="1"/>
  <c r="C124" i="50"/>
  <c r="Q123" i="50" a="1"/>
  <c r="Q123" i="50" s="1"/>
  <c r="C123" i="50"/>
  <c r="Q122" i="50" a="1"/>
  <c r="Q122" i="50" s="1"/>
  <c r="C122" i="50"/>
  <c r="Q121" i="50" a="1"/>
  <c r="Q121" i="50" s="1"/>
  <c r="C121" i="50"/>
  <c r="Q120" i="50" a="1"/>
  <c r="Q120" i="50" s="1"/>
  <c r="C120" i="50"/>
  <c r="Q119" i="50" a="1"/>
  <c r="Q119" i="50" s="1"/>
  <c r="C119" i="50"/>
  <c r="Q118" i="50" a="1"/>
  <c r="Q118" i="50" s="1"/>
  <c r="C118" i="50"/>
  <c r="Q117" i="50" a="1"/>
  <c r="Q117" i="50" s="1"/>
  <c r="C117" i="50"/>
  <c r="Q116" i="50" a="1"/>
  <c r="Q116" i="50" s="1"/>
  <c r="C116" i="50"/>
  <c r="Q115" i="50" a="1"/>
  <c r="Q115" i="50" s="1"/>
  <c r="C115" i="50"/>
  <c r="Q114" i="50" a="1"/>
  <c r="Q114" i="50" s="1"/>
  <c r="C114" i="50"/>
  <c r="Q113" i="50" a="1"/>
  <c r="Q113" i="50" s="1"/>
  <c r="C113" i="50"/>
  <c r="Q112" i="50" a="1"/>
  <c r="Q112" i="50" s="1"/>
  <c r="C112" i="50"/>
  <c r="Q111" i="50" a="1"/>
  <c r="Q111" i="50" s="1"/>
  <c r="C111" i="50"/>
  <c r="Q110" i="50" a="1"/>
  <c r="Q110" i="50" s="1"/>
  <c r="C110" i="50"/>
  <c r="Q109" i="50" a="1"/>
  <c r="Q109" i="50" s="1"/>
  <c r="C109" i="50"/>
  <c r="Q108" i="50" a="1"/>
  <c r="Q108" i="50" s="1"/>
  <c r="C108" i="50"/>
  <c r="Q107" i="50" a="1"/>
  <c r="Q107" i="50" s="1"/>
  <c r="C107" i="50"/>
  <c r="Q106" i="50" a="1"/>
  <c r="Q106" i="50" s="1"/>
  <c r="C106" i="50"/>
  <c r="Q105" i="50" a="1"/>
  <c r="Q105" i="50" s="1"/>
  <c r="C105" i="50"/>
  <c r="Q104" i="50" a="1"/>
  <c r="Q104" i="50" s="1"/>
  <c r="C104" i="50"/>
  <c r="Q103" i="50" a="1"/>
  <c r="Q103" i="50" s="1"/>
  <c r="C103" i="50"/>
  <c r="Q102" i="50" a="1"/>
  <c r="Q102" i="50" s="1"/>
  <c r="C102" i="50"/>
  <c r="Q101" i="50" a="1"/>
  <c r="Q101" i="50" s="1"/>
  <c r="C101" i="50"/>
  <c r="Q100" i="50" a="1"/>
  <c r="Q100" i="50" s="1"/>
  <c r="C100" i="50"/>
  <c r="Q99" i="50" a="1"/>
  <c r="Q99" i="50" s="1"/>
  <c r="C99" i="50"/>
  <c r="Q98" i="50" a="1"/>
  <c r="Q98" i="50" s="1"/>
  <c r="C98" i="50"/>
  <c r="Q97" i="50" a="1"/>
  <c r="Q97" i="50" s="1"/>
  <c r="C97" i="50"/>
  <c r="Q96" i="50" a="1"/>
  <c r="Q96" i="50" s="1"/>
  <c r="C96" i="50"/>
  <c r="Q95" i="50" a="1"/>
  <c r="Q95" i="50" s="1"/>
  <c r="C95" i="50"/>
  <c r="Q94" i="50" a="1"/>
  <c r="Q94" i="50" s="1"/>
  <c r="C94" i="50"/>
  <c r="Q93" i="50" a="1"/>
  <c r="Q93" i="50" s="1"/>
  <c r="C93" i="50"/>
  <c r="Q92" i="50" a="1"/>
  <c r="Q92" i="50" s="1"/>
  <c r="C92" i="50"/>
  <c r="Q91" i="50" a="1"/>
  <c r="Q91" i="50" s="1"/>
  <c r="C91" i="50"/>
  <c r="Q90" i="50" a="1"/>
  <c r="Q90" i="50" s="1"/>
  <c r="C90" i="50"/>
  <c r="Q89" i="50" a="1"/>
  <c r="Q89" i="50" s="1"/>
  <c r="C89" i="50"/>
  <c r="Q88" i="50" a="1"/>
  <c r="Q88" i="50" s="1"/>
  <c r="C88" i="50"/>
  <c r="Q87" i="50" a="1"/>
  <c r="Q87" i="50" s="1"/>
  <c r="C87" i="50"/>
  <c r="Q86" i="50" a="1"/>
  <c r="Q86" i="50" s="1"/>
  <c r="C86" i="50"/>
  <c r="Q85" i="50" a="1"/>
  <c r="Q85" i="50" s="1"/>
  <c r="C85" i="50"/>
  <c r="Q84" i="50" a="1"/>
  <c r="Q84" i="50" s="1"/>
  <c r="C84" i="50"/>
  <c r="Q83" i="50" a="1"/>
  <c r="Q83" i="50" s="1"/>
  <c r="C83" i="50"/>
  <c r="Q82" i="50" a="1"/>
  <c r="Q82" i="50" s="1"/>
  <c r="C82" i="50"/>
  <c r="Q81" i="50" a="1"/>
  <c r="Q81" i="50" s="1"/>
  <c r="C81" i="50"/>
  <c r="Q80" i="50" a="1"/>
  <c r="Q80" i="50" s="1"/>
  <c r="C80" i="50"/>
  <c r="Q79" i="50" a="1"/>
  <c r="Q79" i="50" s="1"/>
  <c r="C79" i="50"/>
  <c r="Q78" i="50" a="1"/>
  <c r="Q78" i="50" s="1"/>
  <c r="C78" i="50"/>
  <c r="Q77" i="50" a="1"/>
  <c r="Q77" i="50" s="1"/>
  <c r="C77" i="50"/>
  <c r="Q76" i="50" a="1"/>
  <c r="Q76" i="50" s="1"/>
  <c r="C76" i="50"/>
  <c r="Q76" i="47" a="1"/>
  <c r="Q76" i="47" s="1"/>
  <c r="Q77" i="47" a="1"/>
  <c r="Q77" i="47" s="1"/>
  <c r="Q78" i="47" a="1"/>
  <c r="Q78" i="47" s="1"/>
  <c r="Q79" i="47" a="1"/>
  <c r="Q79" i="47" s="1"/>
  <c r="Q80" i="47" a="1"/>
  <c r="Q80" i="47" s="1"/>
  <c r="Q81" i="47" a="1"/>
  <c r="Q81" i="47" s="1"/>
  <c r="Q82" i="47" a="1"/>
  <c r="Q82" i="47" s="1"/>
  <c r="Q83" i="47" a="1"/>
  <c r="Q83" i="47" s="1"/>
  <c r="Q84" i="47" a="1"/>
  <c r="Q84" i="47" s="1"/>
  <c r="Q85" i="47" a="1"/>
  <c r="Q85" i="47" s="1"/>
  <c r="Q86" i="47" a="1"/>
  <c r="Q86" i="47" s="1"/>
  <c r="Q87" i="47" a="1"/>
  <c r="Q87" i="47" s="1"/>
  <c r="Q88" i="47" a="1"/>
  <c r="Q88" i="47" s="1"/>
  <c r="Q89" i="47" a="1"/>
  <c r="Q89" i="47" s="1"/>
  <c r="Q90" i="47" a="1"/>
  <c r="Q90" i="47" s="1"/>
  <c r="Q91" i="47" a="1"/>
  <c r="Q91" i="47" s="1"/>
  <c r="Q92" i="47" a="1"/>
  <c r="Q92" i="47" s="1"/>
  <c r="Q93" i="47" a="1"/>
  <c r="Q93" i="47" s="1"/>
  <c r="Q94" i="47" a="1"/>
  <c r="Q94" i="47" s="1"/>
  <c r="Q95" i="47" a="1"/>
  <c r="Q95" i="47" s="1"/>
  <c r="Q96" i="47" a="1"/>
  <c r="Q96" i="47" s="1"/>
  <c r="Q97" i="47" a="1"/>
  <c r="Q97" i="47" s="1"/>
  <c r="Q98" i="47" a="1"/>
  <c r="Q98" i="47" s="1"/>
  <c r="Q99" i="47" a="1"/>
  <c r="Q99" i="47" s="1"/>
  <c r="Q100" i="47" a="1"/>
  <c r="Q100" i="47" s="1"/>
  <c r="Q101" i="47" a="1"/>
  <c r="Q101" i="47" s="1"/>
  <c r="Q102" i="47" a="1"/>
  <c r="Q102" i="47" s="1"/>
  <c r="Q103" i="47" a="1"/>
  <c r="Q103" i="47" s="1"/>
  <c r="Q104" i="47" a="1"/>
  <c r="Q104" i="47" s="1"/>
  <c r="Q105" i="47" a="1"/>
  <c r="Q105" i="47" s="1"/>
  <c r="Q106" i="47" a="1"/>
  <c r="Q106" i="47" s="1"/>
  <c r="Q107" i="47" a="1"/>
  <c r="Q107" i="47" s="1"/>
  <c r="Q108" i="47" a="1"/>
  <c r="Q108" i="47" s="1"/>
  <c r="Q109" i="47" a="1"/>
  <c r="Q109" i="47" s="1"/>
  <c r="Q110" i="47" a="1"/>
  <c r="Q110" i="47" s="1"/>
  <c r="Q111" i="47" a="1"/>
  <c r="Q111" i="47" s="1"/>
  <c r="Q112" i="47" a="1"/>
  <c r="Q112" i="47" s="1"/>
  <c r="Q113" i="47" a="1"/>
  <c r="Q113" i="47" s="1"/>
  <c r="Q114" i="47" a="1"/>
  <c r="Q114" i="47" s="1"/>
  <c r="Q115" i="47" a="1"/>
  <c r="Q115" i="47" s="1"/>
  <c r="Q116" i="47" a="1"/>
  <c r="Q116" i="47" s="1"/>
  <c r="Q117" i="47" a="1"/>
  <c r="Q117" i="47" s="1"/>
  <c r="Q118" i="47" a="1"/>
  <c r="Q118" i="47" s="1"/>
  <c r="Q119" i="47" a="1"/>
  <c r="Q119" i="47" s="1"/>
  <c r="Q120" i="47" a="1"/>
  <c r="Q120" i="47" s="1"/>
  <c r="Q121" i="47" a="1"/>
  <c r="Q121" i="47" s="1"/>
  <c r="Q122" i="47" a="1"/>
  <c r="Q122" i="47" s="1"/>
  <c r="Q123" i="47" a="1"/>
  <c r="Q123" i="47" s="1"/>
  <c r="Q124" i="47" a="1"/>
  <c r="Q124" i="47" s="1"/>
  <c r="Q125" i="47" a="1"/>
  <c r="Q125" i="47" s="1"/>
  <c r="Q126" i="47" a="1"/>
  <c r="Q126" i="47" s="1"/>
  <c r="Q127" i="47" a="1"/>
  <c r="Q127" i="47" s="1"/>
  <c r="Q128" i="47" a="1"/>
  <c r="Q128" i="47" s="1"/>
  <c r="Q129" i="47" a="1"/>
  <c r="Q129" i="47" s="1"/>
  <c r="Q130" i="47" a="1"/>
  <c r="Q130" i="47" s="1"/>
  <c r="Q131" i="47" a="1"/>
  <c r="Q131" i="47" s="1"/>
  <c r="Q132" i="47" a="1"/>
  <c r="Q132" i="47" s="1"/>
  <c r="Q133" i="47" a="1"/>
  <c r="Q133" i="47" s="1"/>
  <c r="Q134" i="47" a="1"/>
  <c r="Q134" i="47" s="1"/>
  <c r="Q135" i="47" a="1"/>
  <c r="Q135" i="47" s="1"/>
  <c r="Q136" i="47" a="1"/>
  <c r="Q136" i="47" s="1"/>
  <c r="Q137" i="47" a="1"/>
  <c r="Q137" i="47" s="1"/>
  <c r="Q138" i="47" a="1"/>
  <c r="Q138" i="47" s="1"/>
  <c r="Q139" i="47" a="1"/>
  <c r="Q139" i="47" s="1"/>
  <c r="Q140" i="47" a="1"/>
  <c r="Q140" i="47" s="1"/>
  <c r="Q141" i="47" a="1"/>
  <c r="Q141" i="47" s="1"/>
  <c r="Q142" i="47" a="1"/>
  <c r="Q142" i="47" s="1"/>
  <c r="Q143" i="47" a="1"/>
  <c r="Q143" i="47" s="1"/>
  <c r="Q144" i="47" a="1"/>
  <c r="Q144" i="47" s="1"/>
  <c r="Q145" i="47" a="1"/>
  <c r="Q145" i="47" s="1"/>
  <c r="Q146" i="47" a="1"/>
  <c r="Q146" i="47" s="1"/>
  <c r="Q147" i="47" a="1"/>
  <c r="Q147" i="47" s="1"/>
  <c r="Q148" i="47" a="1"/>
  <c r="Q148" i="47" s="1"/>
  <c r="Q149" i="47" a="1"/>
  <c r="Q149" i="47" s="1"/>
  <c r="Q150" i="47" a="1"/>
  <c r="Q150" i="47" s="1"/>
  <c r="Q151" i="47" a="1"/>
  <c r="Q151" i="47" s="1"/>
  <c r="Q152" i="47" a="1"/>
  <c r="Q152" i="47" s="1"/>
  <c r="Q153" i="47" a="1"/>
  <c r="Q153" i="47" s="1"/>
  <c r="Q154" i="47" a="1"/>
  <c r="Q154" i="47" s="1"/>
  <c r="Q155" i="47" a="1"/>
  <c r="Q155" i="47" s="1"/>
  <c r="Q156" i="47" a="1"/>
  <c r="Q156" i="47" s="1"/>
  <c r="Q157" i="47" a="1"/>
  <c r="Q157" i="47" s="1"/>
  <c r="Q158" i="47" a="1"/>
  <c r="Q158" i="47" s="1"/>
  <c r="Q159" i="47" a="1"/>
  <c r="Q159" i="47" s="1"/>
  <c r="Q160" i="47" a="1"/>
  <c r="Q160" i="47" s="1"/>
  <c r="Q161" i="47" a="1"/>
  <c r="Q161" i="47" s="1"/>
  <c r="Q162" i="47" a="1"/>
  <c r="Q162" i="47" s="1"/>
  <c r="Q163" i="47" a="1"/>
  <c r="Q163" i="47" s="1"/>
  <c r="Q164" i="47" a="1"/>
  <c r="Q164" i="47" s="1"/>
  <c r="Q165" i="47" a="1"/>
  <c r="Q165" i="47" s="1"/>
  <c r="Q166" i="47" a="1"/>
  <c r="Q166" i="47" s="1"/>
  <c r="Q167" i="47" a="1"/>
  <c r="Q167" i="47" s="1"/>
  <c r="Q168" i="47" a="1"/>
  <c r="Q168" i="47" s="1"/>
  <c r="Q169" i="47" a="1"/>
  <c r="Q169" i="47" s="1"/>
  <c r="Q170" i="47" a="1"/>
  <c r="Q170" i="47" s="1"/>
  <c r="Q171" i="47" a="1"/>
  <c r="Q171" i="47" s="1"/>
  <c r="Q172" i="47" a="1"/>
  <c r="Q172" i="47" s="1"/>
  <c r="Q173" i="47" a="1"/>
  <c r="Q173" i="47" s="1"/>
  <c r="Q174" i="47" a="1"/>
  <c r="Q174" i="47" s="1"/>
  <c r="Q175" i="47" a="1"/>
  <c r="Q175" i="47" s="1"/>
  <c r="Q176" i="47" a="1"/>
  <c r="Q176" i="47" s="1"/>
  <c r="Q177" i="47" a="1"/>
  <c r="Q177" i="47" s="1"/>
  <c r="Q178" i="47" a="1"/>
  <c r="Q178" i="47" s="1"/>
  <c r="Q179" i="47" a="1"/>
  <c r="Q179" i="47" s="1"/>
  <c r="Q180" i="47" a="1"/>
  <c r="Q180" i="47" s="1"/>
  <c r="Q181" i="47" a="1"/>
  <c r="Q181" i="47" s="1"/>
  <c r="Q182" i="47" a="1"/>
  <c r="Q182" i="47" s="1"/>
  <c r="Q183" i="47" a="1"/>
  <c r="Q183" i="47" s="1"/>
  <c r="Q184" i="47" a="1"/>
  <c r="Q184" i="47" s="1"/>
  <c r="Q185" i="47" a="1"/>
  <c r="Q185" i="47" s="1"/>
  <c r="Q186" i="47" a="1"/>
  <c r="Q186" i="47" s="1"/>
  <c r="Q187" i="47" a="1"/>
  <c r="Q187" i="47" s="1"/>
  <c r="Q188" i="47" a="1"/>
  <c r="Q188" i="47" s="1"/>
  <c r="Q189" i="47" a="1"/>
  <c r="Q189" i="47" s="1"/>
  <c r="Q190" i="47" a="1"/>
  <c r="Q190" i="47" s="1"/>
  <c r="Q191" i="47" a="1"/>
  <c r="Q191" i="47" s="1"/>
  <c r="Q192" i="47" a="1"/>
  <c r="Q192" i="47" s="1"/>
  <c r="Q193" i="47" a="1"/>
  <c r="Q193" i="47" s="1"/>
  <c r="Q194" i="47" a="1"/>
  <c r="Q194" i="47" s="1"/>
  <c r="Q195" i="47" a="1"/>
  <c r="Q195" i="47" s="1"/>
  <c r="Q196" i="47" a="1"/>
  <c r="Q196" i="47" s="1"/>
  <c r="Q197" i="47" a="1"/>
  <c r="Q197" i="47" s="1"/>
  <c r="Q198" i="47" a="1"/>
  <c r="Q198" i="47" s="1"/>
  <c r="Q199" i="47" a="1"/>
  <c r="Q199" i="47" s="1"/>
  <c r="Q200" i="47" a="1"/>
  <c r="Q200" i="47" s="1"/>
  <c r="Q201" i="47" a="1"/>
  <c r="Q201" i="47" s="1"/>
  <c r="Q202" i="47" a="1"/>
  <c r="Q202" i="47" s="1"/>
  <c r="Q203" i="47" a="1"/>
  <c r="Q203" i="47" s="1"/>
  <c r="Q204" i="47" a="1"/>
  <c r="Q204" i="47" s="1"/>
  <c r="Q205" i="47" a="1"/>
  <c r="Q205" i="47" s="1"/>
  <c r="Q206" i="47" a="1"/>
  <c r="Q206" i="47" s="1"/>
  <c r="Q207" i="47" a="1"/>
  <c r="Q207" i="47" s="1"/>
  <c r="Q208" i="47" a="1"/>
  <c r="Q208" i="47" s="1"/>
  <c r="Q209" i="47" a="1"/>
  <c r="Q209" i="47" s="1"/>
  <c r="Q210" i="47" a="1"/>
  <c r="Q210" i="47" s="1"/>
  <c r="Q211" i="47" a="1"/>
  <c r="Q211" i="47" s="1"/>
  <c r="Q212" i="47" a="1"/>
  <c r="Q212" i="47" s="1"/>
  <c r="Q213" i="47" a="1"/>
  <c r="Q213" i="47" s="1"/>
  <c r="Q214" i="47" a="1"/>
  <c r="Q214" i="47" s="1"/>
  <c r="Q215" i="47" a="1"/>
  <c r="Q215" i="47" s="1"/>
  <c r="Q216" i="47" a="1"/>
  <c r="Q216" i="47" s="1"/>
  <c r="Q217" i="47" a="1"/>
  <c r="Q217" i="47" s="1"/>
  <c r="Q218" i="47" a="1"/>
  <c r="Q218" i="47" s="1"/>
  <c r="Q219" i="47" a="1"/>
  <c r="Q219" i="47" s="1"/>
  <c r="Q220" i="47" a="1"/>
  <c r="Q220" i="47" s="1"/>
  <c r="Q221" i="47" a="1"/>
  <c r="Q221" i="47" s="1"/>
  <c r="Q222" i="47" a="1"/>
  <c r="Q222" i="47" s="1"/>
  <c r="Q223" i="47" a="1"/>
  <c r="Q223" i="47" s="1"/>
  <c r="Q224" i="47" a="1"/>
  <c r="Q224" i="47" s="1"/>
  <c r="Q225" i="47" a="1"/>
  <c r="Q225" i="47" s="1"/>
  <c r="Q226" i="47" a="1"/>
  <c r="Q226" i="47" s="1"/>
  <c r="Q227" i="47" a="1"/>
  <c r="Q227" i="47" s="1"/>
  <c r="Q228" i="47" a="1"/>
  <c r="Q228" i="47" s="1"/>
  <c r="Q229" i="47" a="1"/>
  <c r="Q229" i="47" s="1"/>
  <c r="Q230" i="47" a="1"/>
  <c r="Q230" i="47" s="1"/>
  <c r="Q231" i="47" a="1"/>
  <c r="Q231" i="47" s="1"/>
  <c r="Q232" i="47" a="1"/>
  <c r="Q232" i="47" s="1"/>
  <c r="Q233" i="47" a="1"/>
  <c r="Q233" i="47" s="1"/>
  <c r="Q234" i="47" a="1"/>
  <c r="Q234" i="47" s="1"/>
  <c r="Q235" i="47" a="1"/>
  <c r="Q235" i="47" s="1"/>
  <c r="Q236" i="47" a="1"/>
  <c r="Q236" i="47" s="1"/>
  <c r="Q237" i="47" a="1"/>
  <c r="Q237" i="47" s="1"/>
  <c r="Q238" i="47" a="1"/>
  <c r="Q238" i="47" s="1"/>
  <c r="Q239" i="47" a="1"/>
  <c r="Q239" i="47" s="1"/>
  <c r="Q240" i="47" a="1"/>
  <c r="Q240" i="47" s="1"/>
  <c r="Q241" i="47" a="1"/>
  <c r="Q241" i="47" s="1"/>
  <c r="Q242" i="47" a="1"/>
  <c r="Q242" i="47" s="1"/>
  <c r="Q243" i="47" a="1"/>
  <c r="Q243" i="47" s="1"/>
  <c r="Q244" i="47" a="1"/>
  <c r="Q244" i="47" s="1"/>
  <c r="Q245" i="47" a="1"/>
  <c r="Q245" i="47" s="1"/>
  <c r="Q246" i="47" a="1"/>
  <c r="Q246" i="47" s="1"/>
  <c r="Q247" i="47" a="1"/>
  <c r="Q247" i="47" s="1"/>
  <c r="Q248" i="47" a="1"/>
  <c r="Q248" i="47" s="1"/>
  <c r="Q249" i="47" a="1"/>
  <c r="Q249" i="47" s="1"/>
  <c r="Q250" i="47" a="1"/>
  <c r="Q250" i="47" s="1"/>
  <c r="Q251" i="47" a="1"/>
  <c r="Q251" i="47" s="1"/>
  <c r="Q252" i="47" a="1"/>
  <c r="Q252" i="47" s="1"/>
  <c r="Q253" i="47" a="1"/>
  <c r="Q253" i="47" s="1"/>
  <c r="Q254" i="47" a="1"/>
  <c r="Q254" i="47" s="1"/>
  <c r="Q255" i="47" a="1"/>
  <c r="Q255" i="47" s="1"/>
  <c r="Q256" i="47" a="1"/>
  <c r="Q256" i="47" s="1"/>
  <c r="Q257" i="47" a="1"/>
  <c r="Q257" i="47" s="1"/>
  <c r="Q258" i="47" a="1"/>
  <c r="Q258" i="47" s="1"/>
  <c r="Q259" i="47" a="1"/>
  <c r="Q259" i="47" s="1"/>
  <c r="Q260" i="47" a="1"/>
  <c r="Q260" i="47" s="1"/>
  <c r="Q261" i="47" a="1"/>
  <c r="Q261" i="47" s="1"/>
  <c r="Q262" i="47" a="1"/>
  <c r="Q262" i="47" s="1"/>
  <c r="Q263" i="47" a="1"/>
  <c r="Q263" i="47" s="1"/>
  <c r="Q264" i="47" a="1"/>
  <c r="Q264" i="47" s="1"/>
  <c r="Q265" i="47" a="1"/>
  <c r="Q265" i="47" s="1"/>
  <c r="Q266" i="47" a="1"/>
  <c r="Q266" i="47" s="1"/>
  <c r="Q267" i="47" a="1"/>
  <c r="Q267" i="47" s="1"/>
  <c r="Q268" i="47" a="1"/>
  <c r="Q268" i="47" s="1"/>
  <c r="Q269" i="47" a="1"/>
  <c r="Q269" i="47" s="1"/>
  <c r="Q270" i="47" a="1"/>
  <c r="Q270" i="47" s="1"/>
  <c r="Q271" i="47" a="1"/>
  <c r="Q271" i="47" s="1"/>
  <c r="Q272" i="47" a="1"/>
  <c r="Q272" i="47" s="1"/>
  <c r="Q273" i="47" a="1"/>
  <c r="Q273" i="47" s="1"/>
  <c r="Q274" i="47" a="1"/>
  <c r="Q274" i="47" s="1"/>
  <c r="Q275" i="47" a="1"/>
  <c r="Q275" i="47" s="1"/>
  <c r="Q276" i="47" a="1"/>
  <c r="Q276" i="47" s="1"/>
  <c r="Q277" i="47" a="1"/>
  <c r="Q277" i="47" s="1"/>
  <c r="Q278" i="47" a="1"/>
  <c r="Q278" i="47" s="1"/>
  <c r="Q279" i="47" a="1"/>
  <c r="Q279" i="47" s="1"/>
  <c r="Q280" i="47" a="1"/>
  <c r="Q280" i="47" s="1"/>
  <c r="Q281" i="47" a="1"/>
  <c r="Q281" i="47" s="1"/>
  <c r="Q282" i="47" a="1"/>
  <c r="Q282" i="47" s="1"/>
  <c r="Q283" i="47" a="1"/>
  <c r="Q283" i="47" s="1"/>
  <c r="Q284" i="47" a="1"/>
  <c r="Q284" i="47" s="1"/>
  <c r="Q285" i="47" a="1"/>
  <c r="Q285" i="47" s="1"/>
  <c r="Q286" i="47" a="1"/>
  <c r="Q286" i="47" s="1"/>
  <c r="Q287" i="47" a="1"/>
  <c r="Q287" i="47" s="1"/>
  <c r="Q288" i="47" a="1"/>
  <c r="Q288" i="47" s="1"/>
  <c r="Q289" i="47" a="1"/>
  <c r="Q289" i="47" s="1"/>
  <c r="Q290" i="47" a="1"/>
  <c r="Q290" i="47" s="1"/>
  <c r="Q291" i="47" a="1"/>
  <c r="Q291" i="47" s="1"/>
  <c r="Q292" i="47" a="1"/>
  <c r="Q292" i="47" s="1"/>
  <c r="Q293" i="47" a="1"/>
  <c r="Q293" i="47" s="1"/>
  <c r="Q294" i="47" a="1"/>
  <c r="Q294" i="47" s="1"/>
  <c r="Q295" i="47" a="1"/>
  <c r="Q295" i="47" s="1"/>
  <c r="Q296" i="47" a="1"/>
  <c r="Q296" i="47" s="1"/>
  <c r="Q297" i="47" a="1"/>
  <c r="Q297" i="47" s="1"/>
  <c r="Q298" i="47" a="1"/>
  <c r="Q298" i="47" s="1"/>
  <c r="Q299" i="47" a="1"/>
  <c r="Q299" i="47" s="1"/>
  <c r="Q300" i="47" a="1"/>
  <c r="Q300" i="47" s="1"/>
  <c r="Q301" i="47" a="1"/>
  <c r="Q301" i="47" s="1"/>
  <c r="Q302" i="47" a="1"/>
  <c r="Q302" i="47" s="1"/>
  <c r="Q303" i="47" a="1"/>
  <c r="Q303" i="47" s="1"/>
  <c r="Q304" i="47" a="1"/>
  <c r="Q304" i="47" s="1"/>
  <c r="Q305" i="47" a="1"/>
  <c r="Q305" i="47" s="1"/>
  <c r="Q306" i="47" a="1"/>
  <c r="Q306" i="47" s="1"/>
  <c r="Q307" i="47" a="1"/>
  <c r="Q307" i="47" s="1"/>
  <c r="Q308" i="47" a="1"/>
  <c r="Q308" i="47" s="1"/>
  <c r="Q309" i="47" a="1"/>
  <c r="Q309" i="47" s="1"/>
  <c r="Q310" i="47" a="1"/>
  <c r="Q310" i="47" s="1"/>
  <c r="Q311" i="47" a="1"/>
  <c r="Q311" i="47" s="1"/>
  <c r="Q312" i="47" a="1"/>
  <c r="Q312" i="47" s="1"/>
  <c r="Q313" i="47" a="1"/>
  <c r="Q313" i="47" s="1"/>
  <c r="Q314" i="47" a="1"/>
  <c r="Q314" i="47" s="1"/>
  <c r="Q315" i="47" a="1"/>
  <c r="Q315" i="47" s="1"/>
  <c r="Q316" i="47" a="1"/>
  <c r="Q316" i="47" s="1"/>
  <c r="Q317" i="47" a="1"/>
  <c r="Q317" i="47" s="1"/>
  <c r="Q318" i="47" a="1"/>
  <c r="Q318" i="47" s="1"/>
  <c r="Q319" i="47" a="1"/>
  <c r="Q319" i="47" s="1"/>
  <c r="Q320" i="47" a="1"/>
  <c r="Q320" i="47" s="1"/>
  <c r="Q321" i="47" a="1"/>
  <c r="Q321" i="47" s="1"/>
  <c r="Q322" i="47" a="1"/>
  <c r="Q322" i="47" s="1"/>
  <c r="Q323" i="47" a="1"/>
  <c r="Q323" i="47" s="1"/>
  <c r="Q324" i="47" a="1"/>
  <c r="Q324" i="47" s="1"/>
  <c r="Q325" i="47" a="1"/>
  <c r="Q325" i="47" s="1"/>
  <c r="Q326" i="47" a="1"/>
  <c r="Q326" i="47" s="1"/>
  <c r="Q327" i="47" a="1"/>
  <c r="Q327" i="47" s="1"/>
  <c r="Q328" i="47" a="1"/>
  <c r="Q328" i="47" s="1"/>
  <c r="Q329" i="47" a="1"/>
  <c r="Q329" i="47" s="1"/>
  <c r="Q330" i="47" a="1"/>
  <c r="Q330" i="47" s="1"/>
  <c r="Q331" i="47" a="1"/>
  <c r="Q331" i="47" s="1"/>
  <c r="Q332" i="47" a="1"/>
  <c r="Q332" i="47" s="1"/>
  <c r="Q333" i="47" a="1"/>
  <c r="Q333" i="47" s="1"/>
  <c r="Q334" i="47" a="1"/>
  <c r="Q334" i="47" s="1"/>
  <c r="Q335" i="47" a="1"/>
  <c r="Q335" i="47" s="1"/>
  <c r="Q336" i="47" a="1"/>
  <c r="Q336" i="47" s="1"/>
  <c r="Q337" i="47" a="1"/>
  <c r="Q337" i="47" s="1"/>
  <c r="Q338" i="47" a="1"/>
  <c r="Q338" i="47" s="1"/>
  <c r="Q339" i="47" a="1"/>
  <c r="Q339" i="47" s="1"/>
  <c r="Q340" i="47" a="1"/>
  <c r="Q340" i="47" s="1"/>
  <c r="Q341" i="47" a="1"/>
  <c r="Q341" i="47" s="1"/>
  <c r="Q342" i="47" a="1"/>
  <c r="Q342" i="47" s="1"/>
  <c r="Q343" i="47" a="1"/>
  <c r="Q343" i="47" s="1"/>
  <c r="Q344" i="47" a="1"/>
  <c r="Q344" i="47" s="1"/>
  <c r="Q345" i="47" a="1"/>
  <c r="Q345" i="47" s="1"/>
  <c r="Q346" i="47" a="1"/>
  <c r="Q346" i="47" s="1"/>
  <c r="Q347" i="47" a="1"/>
  <c r="Q347" i="47" s="1"/>
  <c r="Q348" i="47" a="1"/>
  <c r="Q348" i="47" s="1"/>
  <c r="Q349" i="47" a="1"/>
  <c r="Q349" i="47" s="1"/>
  <c r="Q350" i="47" a="1"/>
  <c r="Q350" i="47" s="1"/>
  <c r="Q351" i="47" a="1"/>
  <c r="Q351" i="47" s="1"/>
  <c r="Q352" i="47" a="1"/>
  <c r="Q352" i="47" s="1"/>
  <c r="Q353" i="47" a="1"/>
  <c r="Q353" i="47" s="1"/>
  <c r="Q354" i="47" a="1"/>
  <c r="Q354" i="47" s="1"/>
  <c r="Q355" i="47" a="1"/>
  <c r="Q355" i="47" s="1"/>
  <c r="Q356" i="47" a="1"/>
  <c r="Q356" i="47" s="1"/>
  <c r="Q357" i="47" a="1"/>
  <c r="Q357" i="47" s="1"/>
  <c r="Q358" i="47" a="1"/>
  <c r="Q358" i="47" s="1"/>
  <c r="Q359" i="47" a="1"/>
  <c r="Q359" i="47" s="1"/>
  <c r="Q360" i="47" a="1"/>
  <c r="Q360" i="47" s="1"/>
  <c r="Q361" i="47" a="1"/>
  <c r="Q361" i="47" s="1"/>
  <c r="Q362" i="47" a="1"/>
  <c r="Q362" i="47" s="1"/>
  <c r="Q363" i="47" a="1"/>
  <c r="Q363" i="47" s="1"/>
  <c r="Q364" i="47" a="1"/>
  <c r="Q364" i="47" s="1"/>
  <c r="Q365" i="47" a="1"/>
  <c r="Q365" i="47" s="1"/>
  <c r="Q366" i="47" a="1"/>
  <c r="Q366" i="47" s="1"/>
  <c r="Q367" i="47" a="1"/>
  <c r="Q367" i="47" s="1"/>
  <c r="Q368" i="47" a="1"/>
  <c r="Q368" i="47" s="1"/>
  <c r="Q369" i="47" a="1"/>
  <c r="Q369" i="47" s="1"/>
  <c r="Q370" i="47" a="1"/>
  <c r="Q370" i="47" s="1"/>
  <c r="Q371" i="47" a="1"/>
  <c r="Q371" i="47" s="1"/>
  <c r="Q372" i="47" a="1"/>
  <c r="Q372" i="47" s="1"/>
  <c r="Q373" i="47" a="1"/>
  <c r="Q373" i="47" s="1"/>
  <c r="Q374" i="47" a="1"/>
  <c r="Q374" i="47" s="1"/>
  <c r="Q375" i="47" a="1"/>
  <c r="Q375" i="47" s="1"/>
  <c r="Q376" i="47" a="1"/>
  <c r="Q376" i="47" s="1"/>
  <c r="Q377" i="47" a="1"/>
  <c r="Q377" i="47" s="1"/>
  <c r="Q378" i="47" a="1"/>
  <c r="Q378" i="47" s="1"/>
  <c r="Q379" i="47" a="1"/>
  <c r="Q379" i="47" s="1"/>
  <c r="Q380" i="47" a="1"/>
  <c r="Q380" i="47" s="1"/>
  <c r="Q381" i="47" a="1"/>
  <c r="Q381" i="47" s="1"/>
  <c r="Q382" i="47" a="1"/>
  <c r="Q382" i="47" s="1"/>
  <c r="Q383" i="47" a="1"/>
  <c r="Q383" i="47" s="1"/>
  <c r="Q384" i="47" a="1"/>
  <c r="Q384" i="47" s="1"/>
  <c r="Q385" i="47" a="1"/>
  <c r="Q385" i="47" s="1"/>
  <c r="Q386" i="47" a="1"/>
  <c r="Q386" i="47" s="1"/>
  <c r="Q387" i="47" a="1"/>
  <c r="Q387" i="47" s="1"/>
  <c r="Q388" i="47" a="1"/>
  <c r="Q388" i="47" s="1"/>
  <c r="Q389" i="47" a="1"/>
  <c r="Q389" i="47" s="1"/>
  <c r="Q390" i="47" a="1"/>
  <c r="Q390" i="47" s="1"/>
  <c r="Q391" i="47" a="1"/>
  <c r="Q391" i="47" s="1"/>
  <c r="Q392" i="47" a="1"/>
  <c r="Q392" i="47" s="1"/>
  <c r="Q393" i="47" a="1"/>
  <c r="Q393" i="47" s="1"/>
  <c r="Q394" i="47" a="1"/>
  <c r="Q394" i="47" s="1"/>
  <c r="Q395" i="47" a="1"/>
  <c r="Q395" i="47" s="1"/>
  <c r="Q396" i="47" a="1"/>
  <c r="Q396" i="47" s="1"/>
  <c r="Q397" i="47" a="1"/>
  <c r="Q397" i="47" s="1"/>
  <c r="Q398" i="47" a="1"/>
  <c r="Q398" i="47" s="1"/>
  <c r="Q399" i="47" a="1"/>
  <c r="Q399" i="47" s="1"/>
  <c r="Q400" i="47" a="1"/>
  <c r="Q400" i="47" s="1"/>
  <c r="Q401" i="47" a="1"/>
  <c r="Q401" i="47" s="1"/>
  <c r="Q402" i="47" a="1"/>
  <c r="Q402" i="47" s="1"/>
  <c r="Q403" i="47" a="1"/>
  <c r="Q403" i="47" s="1"/>
  <c r="Q404" i="47" a="1"/>
  <c r="Q404" i="47" s="1"/>
  <c r="Q405" i="47" a="1"/>
  <c r="Q405" i="47" s="1"/>
  <c r="Q406" i="47" a="1"/>
  <c r="Q406" i="47" s="1"/>
  <c r="Q407" i="47" a="1"/>
  <c r="Q407" i="47" s="1"/>
  <c r="Q408" i="47" a="1"/>
  <c r="Q408" i="47" s="1"/>
  <c r="Q409" i="47" a="1"/>
  <c r="Q409" i="47" s="1"/>
  <c r="Q410" i="47" a="1"/>
  <c r="Q410" i="47" s="1"/>
  <c r="Q411" i="47" a="1"/>
  <c r="Q411" i="47" s="1"/>
  <c r="Q412" i="47" a="1"/>
  <c r="Q412" i="47" s="1"/>
  <c r="Q413" i="47" a="1"/>
  <c r="Q413" i="47" s="1"/>
  <c r="Q414" i="47" a="1"/>
  <c r="Q414" i="47" s="1"/>
  <c r="Q415" i="47" a="1"/>
  <c r="Q415" i="47" s="1"/>
  <c r="Q416" i="47" a="1"/>
  <c r="Q416" i="47" s="1"/>
  <c r="Q417" i="47" a="1"/>
  <c r="Q417" i="47" s="1"/>
  <c r="Q418" i="47" a="1"/>
  <c r="Q418" i="47" s="1"/>
  <c r="Q419" i="47" a="1"/>
  <c r="Q419" i="47" s="1"/>
  <c r="Q420" i="47" a="1"/>
  <c r="Q420" i="47" s="1"/>
  <c r="Q421" i="47" a="1"/>
  <c r="Q421" i="47" s="1"/>
  <c r="Q422" i="47" a="1"/>
  <c r="Q422" i="47" s="1"/>
  <c r="Q423" i="47" a="1"/>
  <c r="Q423" i="47" s="1"/>
  <c r="Q424" i="47" a="1"/>
  <c r="Q424" i="47" s="1"/>
  <c r="Q425" i="47" a="1"/>
  <c r="Q425" i="47" s="1"/>
  <c r="Q426" i="47" a="1"/>
  <c r="Q426" i="47" s="1"/>
  <c r="Q427" i="47" a="1"/>
  <c r="Q427" i="47" s="1"/>
  <c r="Q428" i="47" a="1"/>
  <c r="Q428" i="47" s="1"/>
  <c r="Q429" i="47" a="1"/>
  <c r="Q429" i="47" s="1"/>
  <c r="Q430" i="47" a="1"/>
  <c r="Q430" i="47" s="1"/>
  <c r="Q431" i="47" a="1"/>
  <c r="Q431" i="47" s="1"/>
  <c r="Q432" i="47" a="1"/>
  <c r="Q432" i="47" s="1"/>
  <c r="Q433" i="47" a="1"/>
  <c r="Q433" i="47" s="1"/>
  <c r="Q434" i="47" a="1"/>
  <c r="Q434" i="47" s="1"/>
  <c r="Q435" i="47" a="1"/>
  <c r="Q435" i="47" s="1"/>
  <c r="Q436" i="47" a="1"/>
  <c r="Q436" i="47" s="1"/>
  <c r="Q437" i="47" a="1"/>
  <c r="Q437" i="47" s="1"/>
  <c r="Q438" i="47" a="1"/>
  <c r="Q438" i="47" s="1"/>
  <c r="Q438" i="49" a="1"/>
  <c r="Q438" i="49" s="1"/>
  <c r="C438" i="49"/>
  <c r="Q437" i="49" a="1"/>
  <c r="Q437" i="49" s="1"/>
  <c r="C437" i="49"/>
  <c r="Q436" i="49" a="1"/>
  <c r="Q436" i="49" s="1"/>
  <c r="C436" i="49"/>
  <c r="Q435" i="49" a="1"/>
  <c r="Q435" i="49" s="1"/>
  <c r="C435" i="49"/>
  <c r="Q434" i="49" a="1"/>
  <c r="Q434" i="49" s="1"/>
  <c r="C434" i="49"/>
  <c r="Q433" i="49" a="1"/>
  <c r="Q433" i="49" s="1"/>
  <c r="C433" i="49"/>
  <c r="Q432" i="49" a="1"/>
  <c r="Q432" i="49" s="1"/>
  <c r="C432" i="49"/>
  <c r="Q431" i="49" a="1"/>
  <c r="Q431" i="49" s="1"/>
  <c r="C431" i="49"/>
  <c r="Q430" i="49" a="1"/>
  <c r="Q430" i="49" s="1"/>
  <c r="C430" i="49"/>
  <c r="Q429" i="49" a="1"/>
  <c r="Q429" i="49" s="1"/>
  <c r="C429" i="49"/>
  <c r="Q428" i="49" a="1"/>
  <c r="Q428" i="49" s="1"/>
  <c r="C428" i="49"/>
  <c r="Q427" i="49" a="1"/>
  <c r="Q427" i="49" s="1"/>
  <c r="C427" i="49"/>
  <c r="Q426" i="49" a="1"/>
  <c r="Q426" i="49" s="1"/>
  <c r="C426" i="49"/>
  <c r="Q425" i="49" a="1"/>
  <c r="Q425" i="49" s="1"/>
  <c r="C425" i="49"/>
  <c r="Q424" i="49" a="1"/>
  <c r="Q424" i="49" s="1"/>
  <c r="C424" i="49"/>
  <c r="Q423" i="49" a="1"/>
  <c r="Q423" i="49" s="1"/>
  <c r="C423" i="49"/>
  <c r="Q422" i="49" a="1"/>
  <c r="Q422" i="49" s="1"/>
  <c r="C422" i="49"/>
  <c r="Q421" i="49" a="1"/>
  <c r="Q421" i="49" s="1"/>
  <c r="C421" i="49"/>
  <c r="Q420" i="49" a="1"/>
  <c r="Q420" i="49" s="1"/>
  <c r="C420" i="49"/>
  <c r="Q419" i="49" a="1"/>
  <c r="Q419" i="49" s="1"/>
  <c r="C419" i="49"/>
  <c r="Q418" i="49" a="1"/>
  <c r="Q418" i="49" s="1"/>
  <c r="C418" i="49"/>
  <c r="Q417" i="49" a="1"/>
  <c r="Q417" i="49" s="1"/>
  <c r="C417" i="49"/>
  <c r="Q416" i="49" a="1"/>
  <c r="Q416" i="49" s="1"/>
  <c r="C416" i="49"/>
  <c r="Q415" i="49" a="1"/>
  <c r="Q415" i="49" s="1"/>
  <c r="C415" i="49"/>
  <c r="Q414" i="49" a="1"/>
  <c r="Q414" i="49" s="1"/>
  <c r="C414" i="49"/>
  <c r="Q413" i="49" a="1"/>
  <c r="Q413" i="49" s="1"/>
  <c r="C413" i="49"/>
  <c r="Q412" i="49" a="1"/>
  <c r="Q412" i="49" s="1"/>
  <c r="C412" i="49"/>
  <c r="Q411" i="49" a="1"/>
  <c r="Q411" i="49" s="1"/>
  <c r="C411" i="49"/>
  <c r="Q410" i="49" a="1"/>
  <c r="Q410" i="49" s="1"/>
  <c r="C410" i="49"/>
  <c r="Q409" i="49" a="1"/>
  <c r="Q409" i="49" s="1"/>
  <c r="C409" i="49"/>
  <c r="Q408" i="49" a="1"/>
  <c r="Q408" i="49" s="1"/>
  <c r="C408" i="49"/>
  <c r="Q407" i="49" a="1"/>
  <c r="Q407" i="49" s="1"/>
  <c r="C407" i="49"/>
  <c r="Q406" i="49" a="1"/>
  <c r="Q406" i="49" s="1"/>
  <c r="C406" i="49"/>
  <c r="Q405" i="49" a="1"/>
  <c r="Q405" i="49" s="1"/>
  <c r="C405" i="49"/>
  <c r="Q404" i="49" a="1"/>
  <c r="Q404" i="49" s="1"/>
  <c r="C404" i="49"/>
  <c r="Q403" i="49" a="1"/>
  <c r="Q403" i="49" s="1"/>
  <c r="C403" i="49"/>
  <c r="Q402" i="49" a="1"/>
  <c r="Q402" i="49" s="1"/>
  <c r="C402" i="49"/>
  <c r="Q401" i="49" a="1"/>
  <c r="Q401" i="49" s="1"/>
  <c r="C401" i="49"/>
  <c r="Q400" i="49" a="1"/>
  <c r="Q400" i="49" s="1"/>
  <c r="C400" i="49"/>
  <c r="Q399" i="49" a="1"/>
  <c r="Q399" i="49" s="1"/>
  <c r="C399" i="49"/>
  <c r="Q398" i="49" a="1"/>
  <c r="Q398" i="49" s="1"/>
  <c r="C398" i="49"/>
  <c r="Q397" i="49" a="1"/>
  <c r="Q397" i="49" s="1"/>
  <c r="C397" i="49"/>
  <c r="Q396" i="49" a="1"/>
  <c r="Q396" i="49" s="1"/>
  <c r="C396" i="49"/>
  <c r="Q395" i="49" a="1"/>
  <c r="Q395" i="49" s="1"/>
  <c r="C395" i="49"/>
  <c r="Q394" i="49" a="1"/>
  <c r="Q394" i="49" s="1"/>
  <c r="C394" i="49"/>
  <c r="Q393" i="49" a="1"/>
  <c r="Q393" i="49" s="1"/>
  <c r="C393" i="49"/>
  <c r="Q392" i="49" a="1"/>
  <c r="Q392" i="49" s="1"/>
  <c r="C392" i="49"/>
  <c r="Q391" i="49" a="1"/>
  <c r="Q391" i="49" s="1"/>
  <c r="C391" i="49"/>
  <c r="Q390" i="49" a="1"/>
  <c r="Q390" i="49" s="1"/>
  <c r="C390" i="49"/>
  <c r="Q389" i="49" a="1"/>
  <c r="Q389" i="49" s="1"/>
  <c r="C389" i="49"/>
  <c r="Q388" i="49" a="1"/>
  <c r="Q388" i="49" s="1"/>
  <c r="C388" i="49"/>
  <c r="Q387" i="49" a="1"/>
  <c r="Q387" i="49" s="1"/>
  <c r="C387" i="49"/>
  <c r="Q386" i="49" a="1"/>
  <c r="Q386" i="49" s="1"/>
  <c r="C386" i="49"/>
  <c r="Q385" i="49" a="1"/>
  <c r="Q385" i="49" s="1"/>
  <c r="C385" i="49"/>
  <c r="Q384" i="49" a="1"/>
  <c r="Q384" i="49" s="1"/>
  <c r="C384" i="49"/>
  <c r="Q383" i="49" a="1"/>
  <c r="Q383" i="49" s="1"/>
  <c r="C383" i="49"/>
  <c r="Q382" i="49" a="1"/>
  <c r="Q382" i="49" s="1"/>
  <c r="C382" i="49"/>
  <c r="Q381" i="49" a="1"/>
  <c r="Q381" i="49" s="1"/>
  <c r="C381" i="49"/>
  <c r="Q380" i="49" a="1"/>
  <c r="Q380" i="49" s="1"/>
  <c r="C380" i="49"/>
  <c r="Q379" i="49" a="1"/>
  <c r="Q379" i="49" s="1"/>
  <c r="C379" i="49"/>
  <c r="Q378" i="49" a="1"/>
  <c r="Q378" i="49" s="1"/>
  <c r="C378" i="49"/>
  <c r="Q377" i="49" a="1"/>
  <c r="Q377" i="49" s="1"/>
  <c r="C377" i="49"/>
  <c r="Q376" i="49" a="1"/>
  <c r="Q376" i="49" s="1"/>
  <c r="C376" i="49"/>
  <c r="Q375" i="49" a="1"/>
  <c r="Q375" i="49" s="1"/>
  <c r="C375" i="49"/>
  <c r="Q374" i="49" a="1"/>
  <c r="Q374" i="49" s="1"/>
  <c r="C374" i="49"/>
  <c r="Q373" i="49" a="1"/>
  <c r="Q373" i="49" s="1"/>
  <c r="C373" i="49"/>
  <c r="Q372" i="49" a="1"/>
  <c r="Q372" i="49" s="1"/>
  <c r="C372" i="49"/>
  <c r="Q371" i="49" a="1"/>
  <c r="Q371" i="49" s="1"/>
  <c r="C371" i="49"/>
  <c r="Q370" i="49" a="1"/>
  <c r="Q370" i="49" s="1"/>
  <c r="C370" i="49"/>
  <c r="Q369" i="49" a="1"/>
  <c r="Q369" i="49" s="1"/>
  <c r="C369" i="49"/>
  <c r="Q368" i="49" a="1"/>
  <c r="Q368" i="49" s="1"/>
  <c r="C368" i="49"/>
  <c r="Q367" i="49" a="1"/>
  <c r="Q367" i="49" s="1"/>
  <c r="C367" i="49"/>
  <c r="Q366" i="49" a="1"/>
  <c r="Q366" i="49" s="1"/>
  <c r="C366" i="49"/>
  <c r="Q365" i="49" a="1"/>
  <c r="Q365" i="49" s="1"/>
  <c r="C365" i="49"/>
  <c r="Q364" i="49" a="1"/>
  <c r="Q364" i="49" s="1"/>
  <c r="C364" i="49"/>
  <c r="Q363" i="49" a="1"/>
  <c r="Q363" i="49" s="1"/>
  <c r="C363" i="49"/>
  <c r="Q362" i="49" a="1"/>
  <c r="Q362" i="49" s="1"/>
  <c r="C362" i="49"/>
  <c r="Q361" i="49" a="1"/>
  <c r="Q361" i="49" s="1"/>
  <c r="C361" i="49"/>
  <c r="Q360" i="49" a="1"/>
  <c r="Q360" i="49" s="1"/>
  <c r="C360" i="49"/>
  <c r="Q359" i="49" a="1"/>
  <c r="Q359" i="49" s="1"/>
  <c r="C359" i="49"/>
  <c r="Q358" i="49" a="1"/>
  <c r="Q358" i="49" s="1"/>
  <c r="C358" i="49"/>
  <c r="Q357" i="49" a="1"/>
  <c r="Q357" i="49" s="1"/>
  <c r="C357" i="49"/>
  <c r="Q356" i="49" a="1"/>
  <c r="Q356" i="49" s="1"/>
  <c r="C356" i="49"/>
  <c r="Q355" i="49" a="1"/>
  <c r="Q355" i="49" s="1"/>
  <c r="C355" i="49"/>
  <c r="Q354" i="49" a="1"/>
  <c r="Q354" i="49" s="1"/>
  <c r="C354" i="49"/>
  <c r="Q353" i="49" a="1"/>
  <c r="Q353" i="49" s="1"/>
  <c r="C353" i="49"/>
  <c r="Q352" i="49" a="1"/>
  <c r="Q352" i="49" s="1"/>
  <c r="C352" i="49"/>
  <c r="Q351" i="49" a="1"/>
  <c r="Q351" i="49" s="1"/>
  <c r="C351" i="49"/>
  <c r="Q350" i="49" a="1"/>
  <c r="Q350" i="49" s="1"/>
  <c r="C350" i="49"/>
  <c r="Q349" i="49" a="1"/>
  <c r="Q349" i="49" s="1"/>
  <c r="C349" i="49"/>
  <c r="Q348" i="49" a="1"/>
  <c r="Q348" i="49" s="1"/>
  <c r="C348" i="49"/>
  <c r="Q347" i="49" a="1"/>
  <c r="Q347" i="49" s="1"/>
  <c r="C347" i="49"/>
  <c r="Q346" i="49" a="1"/>
  <c r="Q346" i="49" s="1"/>
  <c r="C346" i="49"/>
  <c r="Q345" i="49" a="1"/>
  <c r="Q345" i="49" s="1"/>
  <c r="C345" i="49"/>
  <c r="Q344" i="49" a="1"/>
  <c r="Q344" i="49" s="1"/>
  <c r="C344" i="49"/>
  <c r="Q343" i="49" a="1"/>
  <c r="Q343" i="49" s="1"/>
  <c r="C343" i="49"/>
  <c r="Q342" i="49" a="1"/>
  <c r="Q342" i="49" s="1"/>
  <c r="C342" i="49"/>
  <c r="Q341" i="49" a="1"/>
  <c r="Q341" i="49" s="1"/>
  <c r="C341" i="49"/>
  <c r="Q340" i="49" a="1"/>
  <c r="Q340" i="49" s="1"/>
  <c r="C340" i="49"/>
  <c r="Q339" i="49" a="1"/>
  <c r="Q339" i="49" s="1"/>
  <c r="C339" i="49"/>
  <c r="Q338" i="49" a="1"/>
  <c r="Q338" i="49" s="1"/>
  <c r="C338" i="49"/>
  <c r="Q337" i="49" a="1"/>
  <c r="Q337" i="49" s="1"/>
  <c r="C337" i="49"/>
  <c r="Q336" i="49" a="1"/>
  <c r="Q336" i="49" s="1"/>
  <c r="C336" i="49"/>
  <c r="Q335" i="49" a="1"/>
  <c r="Q335" i="49" s="1"/>
  <c r="C335" i="49"/>
  <c r="Q334" i="49" a="1"/>
  <c r="Q334" i="49" s="1"/>
  <c r="C334" i="49"/>
  <c r="Q333" i="49" a="1"/>
  <c r="Q333" i="49" s="1"/>
  <c r="C333" i="49"/>
  <c r="Q332" i="49" a="1"/>
  <c r="Q332" i="49" s="1"/>
  <c r="C332" i="49"/>
  <c r="Q331" i="49" a="1"/>
  <c r="Q331" i="49" s="1"/>
  <c r="C331" i="49"/>
  <c r="Q330" i="49" a="1"/>
  <c r="Q330" i="49" s="1"/>
  <c r="C330" i="49"/>
  <c r="Q329" i="49" a="1"/>
  <c r="Q329" i="49" s="1"/>
  <c r="C329" i="49"/>
  <c r="Q328" i="49" a="1"/>
  <c r="Q328" i="49" s="1"/>
  <c r="C328" i="49"/>
  <c r="Q327" i="49" a="1"/>
  <c r="Q327" i="49" s="1"/>
  <c r="C327" i="49"/>
  <c r="Q326" i="49" a="1"/>
  <c r="Q326" i="49" s="1"/>
  <c r="C326" i="49"/>
  <c r="Q325" i="49" a="1"/>
  <c r="Q325" i="49" s="1"/>
  <c r="C325" i="49"/>
  <c r="Q324" i="49" a="1"/>
  <c r="Q324" i="49" s="1"/>
  <c r="C324" i="49"/>
  <c r="Q323" i="49" a="1"/>
  <c r="Q323" i="49" s="1"/>
  <c r="C323" i="49"/>
  <c r="Q322" i="49" a="1"/>
  <c r="Q322" i="49" s="1"/>
  <c r="C322" i="49"/>
  <c r="Q321" i="49" a="1"/>
  <c r="Q321" i="49" s="1"/>
  <c r="C321" i="49"/>
  <c r="Q320" i="49" a="1"/>
  <c r="Q320" i="49" s="1"/>
  <c r="C320" i="49"/>
  <c r="Q319" i="49" a="1"/>
  <c r="Q319" i="49" s="1"/>
  <c r="C319" i="49"/>
  <c r="Q318" i="49" a="1"/>
  <c r="Q318" i="49" s="1"/>
  <c r="C318" i="49"/>
  <c r="Q317" i="49" a="1"/>
  <c r="Q317" i="49" s="1"/>
  <c r="C317" i="49"/>
  <c r="Q316" i="49" a="1"/>
  <c r="Q316" i="49" s="1"/>
  <c r="C316" i="49"/>
  <c r="Q315" i="49" a="1"/>
  <c r="Q315" i="49" s="1"/>
  <c r="C315" i="49"/>
  <c r="Q314" i="49" a="1"/>
  <c r="Q314" i="49" s="1"/>
  <c r="C314" i="49"/>
  <c r="Q313" i="49" a="1"/>
  <c r="Q313" i="49" s="1"/>
  <c r="C313" i="49"/>
  <c r="Q312" i="49" a="1"/>
  <c r="Q312" i="49" s="1"/>
  <c r="C312" i="49"/>
  <c r="Q311" i="49" a="1"/>
  <c r="Q311" i="49" s="1"/>
  <c r="C311" i="49"/>
  <c r="Q310" i="49" a="1"/>
  <c r="Q310" i="49" s="1"/>
  <c r="C310" i="49"/>
  <c r="Q309" i="49" a="1"/>
  <c r="Q309" i="49" s="1"/>
  <c r="C309" i="49"/>
  <c r="Q308" i="49" a="1"/>
  <c r="Q308" i="49" s="1"/>
  <c r="C308" i="49"/>
  <c r="Q307" i="49" a="1"/>
  <c r="Q307" i="49" s="1"/>
  <c r="C307" i="49"/>
  <c r="Q306" i="49" a="1"/>
  <c r="Q306" i="49" s="1"/>
  <c r="C306" i="49"/>
  <c r="Q305" i="49" a="1"/>
  <c r="Q305" i="49" s="1"/>
  <c r="C305" i="49"/>
  <c r="Q304" i="49" a="1"/>
  <c r="Q304" i="49" s="1"/>
  <c r="C304" i="49"/>
  <c r="Q303" i="49" a="1"/>
  <c r="Q303" i="49" s="1"/>
  <c r="C303" i="49"/>
  <c r="Q302" i="49" a="1"/>
  <c r="Q302" i="49" s="1"/>
  <c r="C302" i="49"/>
  <c r="Q301" i="49" a="1"/>
  <c r="Q301" i="49" s="1"/>
  <c r="C301" i="49"/>
  <c r="Q300" i="49" a="1"/>
  <c r="Q300" i="49" s="1"/>
  <c r="C300" i="49"/>
  <c r="Q299" i="49" a="1"/>
  <c r="Q299" i="49" s="1"/>
  <c r="C299" i="49"/>
  <c r="Q298" i="49" a="1"/>
  <c r="Q298" i="49" s="1"/>
  <c r="C298" i="49"/>
  <c r="Q297" i="49" a="1"/>
  <c r="Q297" i="49" s="1"/>
  <c r="C297" i="49"/>
  <c r="Q296" i="49" a="1"/>
  <c r="Q296" i="49" s="1"/>
  <c r="C296" i="49"/>
  <c r="Q295" i="49" a="1"/>
  <c r="Q295" i="49" s="1"/>
  <c r="C295" i="49"/>
  <c r="Q294" i="49" a="1"/>
  <c r="Q294" i="49" s="1"/>
  <c r="C294" i="49"/>
  <c r="Q293" i="49" a="1"/>
  <c r="Q293" i="49" s="1"/>
  <c r="C293" i="49"/>
  <c r="Q292" i="49" a="1"/>
  <c r="Q292" i="49" s="1"/>
  <c r="C292" i="49"/>
  <c r="Q291" i="49" a="1"/>
  <c r="Q291" i="49" s="1"/>
  <c r="C291" i="49"/>
  <c r="Q290" i="49" a="1"/>
  <c r="Q290" i="49" s="1"/>
  <c r="C290" i="49"/>
  <c r="Q289" i="49" a="1"/>
  <c r="Q289" i="49" s="1"/>
  <c r="C289" i="49"/>
  <c r="Q288" i="49" a="1"/>
  <c r="Q288" i="49" s="1"/>
  <c r="C288" i="49"/>
  <c r="Q287" i="49" a="1"/>
  <c r="Q287" i="49" s="1"/>
  <c r="C287" i="49"/>
  <c r="Q286" i="49" a="1"/>
  <c r="Q286" i="49" s="1"/>
  <c r="C286" i="49"/>
  <c r="Q285" i="49" a="1"/>
  <c r="Q285" i="49" s="1"/>
  <c r="C285" i="49"/>
  <c r="Q284" i="49" a="1"/>
  <c r="Q284" i="49" s="1"/>
  <c r="C284" i="49"/>
  <c r="Q283" i="49" a="1"/>
  <c r="Q283" i="49" s="1"/>
  <c r="C283" i="49"/>
  <c r="Q282" i="49" a="1"/>
  <c r="Q282" i="49" s="1"/>
  <c r="C282" i="49"/>
  <c r="Q281" i="49" a="1"/>
  <c r="Q281" i="49" s="1"/>
  <c r="C281" i="49"/>
  <c r="Q280" i="49" a="1"/>
  <c r="Q280" i="49" s="1"/>
  <c r="C280" i="49"/>
  <c r="Q279" i="49" a="1"/>
  <c r="Q279" i="49" s="1"/>
  <c r="C279" i="49"/>
  <c r="Q278" i="49" a="1"/>
  <c r="Q278" i="49" s="1"/>
  <c r="C278" i="49"/>
  <c r="Q277" i="49" a="1"/>
  <c r="Q277" i="49" s="1"/>
  <c r="C277" i="49"/>
  <c r="Q276" i="49" a="1"/>
  <c r="Q276" i="49" s="1"/>
  <c r="C276" i="49"/>
  <c r="Q275" i="49" a="1"/>
  <c r="Q275" i="49" s="1"/>
  <c r="C275" i="49"/>
  <c r="Q274" i="49" a="1"/>
  <c r="Q274" i="49" s="1"/>
  <c r="C274" i="49"/>
  <c r="Q273" i="49" a="1"/>
  <c r="Q273" i="49" s="1"/>
  <c r="C273" i="49"/>
  <c r="Q272" i="49" a="1"/>
  <c r="Q272" i="49" s="1"/>
  <c r="C272" i="49"/>
  <c r="Q271" i="49" a="1"/>
  <c r="Q271" i="49" s="1"/>
  <c r="C271" i="49"/>
  <c r="Q270" i="49" a="1"/>
  <c r="Q270" i="49" s="1"/>
  <c r="C270" i="49"/>
  <c r="Q269" i="49" a="1"/>
  <c r="Q269" i="49" s="1"/>
  <c r="C269" i="49"/>
  <c r="Q268" i="49" a="1"/>
  <c r="Q268" i="49" s="1"/>
  <c r="C268" i="49"/>
  <c r="Q267" i="49" a="1"/>
  <c r="Q267" i="49" s="1"/>
  <c r="C267" i="49"/>
  <c r="Q266" i="49" a="1"/>
  <c r="Q266" i="49" s="1"/>
  <c r="C266" i="49"/>
  <c r="Q265" i="49" a="1"/>
  <c r="Q265" i="49" s="1"/>
  <c r="C265" i="49"/>
  <c r="Q264" i="49" a="1"/>
  <c r="Q264" i="49" s="1"/>
  <c r="C264" i="49"/>
  <c r="Q263" i="49" a="1"/>
  <c r="Q263" i="49" s="1"/>
  <c r="C263" i="49"/>
  <c r="Q262" i="49" a="1"/>
  <c r="Q262" i="49" s="1"/>
  <c r="C262" i="49"/>
  <c r="Q261" i="49" a="1"/>
  <c r="Q261" i="49" s="1"/>
  <c r="C261" i="49"/>
  <c r="Q260" i="49" a="1"/>
  <c r="Q260" i="49" s="1"/>
  <c r="C260" i="49"/>
  <c r="Q259" i="49" a="1"/>
  <c r="Q259" i="49" s="1"/>
  <c r="C259" i="49"/>
  <c r="Q258" i="49" a="1"/>
  <c r="Q258" i="49" s="1"/>
  <c r="C258" i="49"/>
  <c r="Q257" i="49" a="1"/>
  <c r="Q257" i="49" s="1"/>
  <c r="C257" i="49"/>
  <c r="Q256" i="49" a="1"/>
  <c r="Q256" i="49" s="1"/>
  <c r="C256" i="49"/>
  <c r="Q255" i="49" a="1"/>
  <c r="Q255" i="49" s="1"/>
  <c r="C255" i="49"/>
  <c r="Q254" i="49" a="1"/>
  <c r="Q254" i="49" s="1"/>
  <c r="C254" i="49"/>
  <c r="Q253" i="49" a="1"/>
  <c r="Q253" i="49" s="1"/>
  <c r="C253" i="49"/>
  <c r="Q252" i="49" a="1"/>
  <c r="Q252" i="49" s="1"/>
  <c r="C252" i="49"/>
  <c r="Q251" i="49" a="1"/>
  <c r="Q251" i="49" s="1"/>
  <c r="C251" i="49"/>
  <c r="Q250" i="49" a="1"/>
  <c r="Q250" i="49" s="1"/>
  <c r="C250" i="49"/>
  <c r="Q249" i="49" a="1"/>
  <c r="Q249" i="49" s="1"/>
  <c r="C249" i="49"/>
  <c r="Q248" i="49" a="1"/>
  <c r="Q248" i="49" s="1"/>
  <c r="C248" i="49"/>
  <c r="Q247" i="49" a="1"/>
  <c r="Q247" i="49" s="1"/>
  <c r="C247" i="49"/>
  <c r="Q246" i="49" a="1"/>
  <c r="Q246" i="49" s="1"/>
  <c r="C246" i="49"/>
  <c r="Q245" i="49" a="1"/>
  <c r="Q245" i="49" s="1"/>
  <c r="C245" i="49"/>
  <c r="Q244" i="49" a="1"/>
  <c r="Q244" i="49" s="1"/>
  <c r="C244" i="49"/>
  <c r="Q243" i="49" a="1"/>
  <c r="Q243" i="49" s="1"/>
  <c r="C243" i="49"/>
  <c r="Q242" i="49" a="1"/>
  <c r="Q242" i="49" s="1"/>
  <c r="C242" i="49"/>
  <c r="Q241" i="49" a="1"/>
  <c r="Q241" i="49" s="1"/>
  <c r="C241" i="49"/>
  <c r="Q240" i="49" a="1"/>
  <c r="Q240" i="49" s="1"/>
  <c r="C240" i="49"/>
  <c r="Q239" i="49" a="1"/>
  <c r="Q239" i="49" s="1"/>
  <c r="C239" i="49"/>
  <c r="Q238" i="49" a="1"/>
  <c r="Q238" i="49" s="1"/>
  <c r="C238" i="49"/>
  <c r="Q237" i="49" a="1"/>
  <c r="Q237" i="49" s="1"/>
  <c r="C237" i="49"/>
  <c r="Q236" i="49" a="1"/>
  <c r="Q236" i="49" s="1"/>
  <c r="C236" i="49"/>
  <c r="Q235" i="49" a="1"/>
  <c r="Q235" i="49" s="1"/>
  <c r="C235" i="49"/>
  <c r="Q234" i="49" a="1"/>
  <c r="Q234" i="49" s="1"/>
  <c r="C234" i="49"/>
  <c r="Q233" i="49" a="1"/>
  <c r="Q233" i="49" s="1"/>
  <c r="C233" i="49"/>
  <c r="Q232" i="49" a="1"/>
  <c r="Q232" i="49" s="1"/>
  <c r="C232" i="49"/>
  <c r="Q231" i="49" a="1"/>
  <c r="Q231" i="49" s="1"/>
  <c r="C231" i="49"/>
  <c r="Q230" i="49" a="1"/>
  <c r="Q230" i="49" s="1"/>
  <c r="C230" i="49"/>
  <c r="Q229" i="49" a="1"/>
  <c r="Q229" i="49" s="1"/>
  <c r="C229" i="49"/>
  <c r="Q228" i="49" a="1"/>
  <c r="Q228" i="49" s="1"/>
  <c r="C228" i="49"/>
  <c r="Q227" i="49" a="1"/>
  <c r="Q227" i="49" s="1"/>
  <c r="C227" i="49"/>
  <c r="Q226" i="49" a="1"/>
  <c r="Q226" i="49" s="1"/>
  <c r="C226" i="49"/>
  <c r="Q225" i="49" a="1"/>
  <c r="Q225" i="49" s="1"/>
  <c r="C225" i="49"/>
  <c r="Q224" i="49" a="1"/>
  <c r="Q224" i="49" s="1"/>
  <c r="C224" i="49"/>
  <c r="Q223" i="49" a="1"/>
  <c r="Q223" i="49" s="1"/>
  <c r="C223" i="49"/>
  <c r="Q222" i="49" a="1"/>
  <c r="Q222" i="49" s="1"/>
  <c r="C222" i="49"/>
  <c r="Q221" i="49" a="1"/>
  <c r="Q221" i="49" s="1"/>
  <c r="C221" i="49"/>
  <c r="Q220" i="49" a="1"/>
  <c r="Q220" i="49" s="1"/>
  <c r="C220" i="49"/>
  <c r="Q219" i="49" a="1"/>
  <c r="Q219" i="49" s="1"/>
  <c r="C219" i="49"/>
  <c r="Q218" i="49" a="1"/>
  <c r="Q218" i="49" s="1"/>
  <c r="C218" i="49"/>
  <c r="Q217" i="49" a="1"/>
  <c r="Q217" i="49" s="1"/>
  <c r="C217" i="49"/>
  <c r="Q216" i="49" a="1"/>
  <c r="Q216" i="49" s="1"/>
  <c r="C216" i="49"/>
  <c r="Q215" i="49" a="1"/>
  <c r="Q215" i="49" s="1"/>
  <c r="C215" i="49"/>
  <c r="Q214" i="49" a="1"/>
  <c r="Q214" i="49" s="1"/>
  <c r="C214" i="49"/>
  <c r="Q213" i="49" a="1"/>
  <c r="Q213" i="49" s="1"/>
  <c r="C213" i="49"/>
  <c r="Q212" i="49" a="1"/>
  <c r="Q212" i="49" s="1"/>
  <c r="C212" i="49"/>
  <c r="Q211" i="49" a="1"/>
  <c r="Q211" i="49" s="1"/>
  <c r="C211" i="49"/>
  <c r="Q210" i="49" a="1"/>
  <c r="Q210" i="49" s="1"/>
  <c r="C210" i="49"/>
  <c r="Q209" i="49" a="1"/>
  <c r="Q209" i="49" s="1"/>
  <c r="C209" i="49"/>
  <c r="Q208" i="49" a="1"/>
  <c r="Q208" i="49" s="1"/>
  <c r="C208" i="49"/>
  <c r="Q207" i="49" a="1"/>
  <c r="Q207" i="49" s="1"/>
  <c r="C207" i="49"/>
  <c r="Q206" i="49" a="1"/>
  <c r="Q206" i="49" s="1"/>
  <c r="C206" i="49"/>
  <c r="Q205" i="49" a="1"/>
  <c r="Q205" i="49" s="1"/>
  <c r="C205" i="49"/>
  <c r="Q204" i="49" a="1"/>
  <c r="Q204" i="49" s="1"/>
  <c r="C204" i="49"/>
  <c r="Q203" i="49" a="1"/>
  <c r="Q203" i="49" s="1"/>
  <c r="C203" i="49"/>
  <c r="Q202" i="49" a="1"/>
  <c r="Q202" i="49" s="1"/>
  <c r="C202" i="49"/>
  <c r="Q201" i="49" a="1"/>
  <c r="Q201" i="49" s="1"/>
  <c r="C201" i="49"/>
  <c r="Q200" i="49" a="1"/>
  <c r="Q200" i="49" s="1"/>
  <c r="C200" i="49"/>
  <c r="Q199" i="49" a="1"/>
  <c r="Q199" i="49" s="1"/>
  <c r="C199" i="49"/>
  <c r="Q198" i="49" a="1"/>
  <c r="Q198" i="49" s="1"/>
  <c r="C198" i="49"/>
  <c r="Q197" i="49" a="1"/>
  <c r="Q197" i="49" s="1"/>
  <c r="C197" i="49"/>
  <c r="Q196" i="49" a="1"/>
  <c r="Q196" i="49" s="1"/>
  <c r="C196" i="49"/>
  <c r="Q195" i="49" a="1"/>
  <c r="Q195" i="49" s="1"/>
  <c r="C195" i="49"/>
  <c r="Q194" i="49" a="1"/>
  <c r="Q194" i="49" s="1"/>
  <c r="C194" i="49"/>
  <c r="Q193" i="49" a="1"/>
  <c r="Q193" i="49" s="1"/>
  <c r="C193" i="49"/>
  <c r="Q192" i="49" a="1"/>
  <c r="Q192" i="49" s="1"/>
  <c r="C192" i="49"/>
  <c r="Q191" i="49" a="1"/>
  <c r="Q191" i="49" s="1"/>
  <c r="C191" i="49"/>
  <c r="Q190" i="49" a="1"/>
  <c r="Q190" i="49" s="1"/>
  <c r="C190" i="49"/>
  <c r="Q189" i="49" a="1"/>
  <c r="Q189" i="49" s="1"/>
  <c r="C189" i="49"/>
  <c r="Q188" i="49" a="1"/>
  <c r="Q188" i="49" s="1"/>
  <c r="C188" i="49"/>
  <c r="Q187" i="49" a="1"/>
  <c r="Q187" i="49" s="1"/>
  <c r="C187" i="49"/>
  <c r="Q186" i="49" a="1"/>
  <c r="Q186" i="49" s="1"/>
  <c r="C186" i="49"/>
  <c r="Q185" i="49" a="1"/>
  <c r="Q185" i="49" s="1"/>
  <c r="C185" i="49"/>
  <c r="Q184" i="49" a="1"/>
  <c r="Q184" i="49" s="1"/>
  <c r="C184" i="49"/>
  <c r="Q183" i="49" a="1"/>
  <c r="Q183" i="49" s="1"/>
  <c r="C183" i="49"/>
  <c r="Q182" i="49" a="1"/>
  <c r="Q182" i="49" s="1"/>
  <c r="C182" i="49"/>
  <c r="Q181" i="49" a="1"/>
  <c r="Q181" i="49" s="1"/>
  <c r="C181" i="49"/>
  <c r="Q180" i="49" a="1"/>
  <c r="Q180" i="49" s="1"/>
  <c r="C180" i="49"/>
  <c r="Q179" i="49" a="1"/>
  <c r="Q179" i="49" s="1"/>
  <c r="C179" i="49"/>
  <c r="Q178" i="49" a="1"/>
  <c r="Q178" i="49" s="1"/>
  <c r="C178" i="49"/>
  <c r="Q177" i="49" a="1"/>
  <c r="Q177" i="49" s="1"/>
  <c r="C177" i="49"/>
  <c r="Q176" i="49" a="1"/>
  <c r="Q176" i="49" s="1"/>
  <c r="C176" i="49"/>
  <c r="Q175" i="49" a="1"/>
  <c r="Q175" i="49" s="1"/>
  <c r="C175" i="49"/>
  <c r="Q174" i="49" a="1"/>
  <c r="Q174" i="49" s="1"/>
  <c r="C174" i="49"/>
  <c r="Q173" i="49" a="1"/>
  <c r="Q173" i="49" s="1"/>
  <c r="C173" i="49"/>
  <c r="Q172" i="49" a="1"/>
  <c r="Q172" i="49" s="1"/>
  <c r="C172" i="49"/>
  <c r="Q171" i="49" a="1"/>
  <c r="Q171" i="49" s="1"/>
  <c r="C171" i="49"/>
  <c r="Q170" i="49" a="1"/>
  <c r="Q170" i="49" s="1"/>
  <c r="C170" i="49"/>
  <c r="Q169" i="49" a="1"/>
  <c r="Q169" i="49" s="1"/>
  <c r="C169" i="49"/>
  <c r="Q168" i="49" a="1"/>
  <c r="Q168" i="49" s="1"/>
  <c r="C168" i="49"/>
  <c r="Q167" i="49" a="1"/>
  <c r="Q167" i="49" s="1"/>
  <c r="C167" i="49"/>
  <c r="Q166" i="49" a="1"/>
  <c r="Q166" i="49" s="1"/>
  <c r="C166" i="49"/>
  <c r="Q165" i="49" a="1"/>
  <c r="Q165" i="49" s="1"/>
  <c r="C165" i="49"/>
  <c r="Q164" i="49" a="1"/>
  <c r="Q164" i="49" s="1"/>
  <c r="C164" i="49"/>
  <c r="Q163" i="49" a="1"/>
  <c r="Q163" i="49" s="1"/>
  <c r="C163" i="49"/>
  <c r="Q162" i="49" a="1"/>
  <c r="Q162" i="49" s="1"/>
  <c r="C162" i="49"/>
  <c r="Q161" i="49" a="1"/>
  <c r="Q161" i="49" s="1"/>
  <c r="C161" i="49"/>
  <c r="Q160" i="49" a="1"/>
  <c r="Q160" i="49" s="1"/>
  <c r="C160" i="49"/>
  <c r="Q159" i="49" a="1"/>
  <c r="Q159" i="49" s="1"/>
  <c r="C159" i="49"/>
  <c r="Q158" i="49" a="1"/>
  <c r="Q158" i="49" s="1"/>
  <c r="C158" i="49"/>
  <c r="Q157" i="49" a="1"/>
  <c r="Q157" i="49" s="1"/>
  <c r="C157" i="49"/>
  <c r="Q156" i="49" a="1"/>
  <c r="Q156" i="49" s="1"/>
  <c r="C156" i="49"/>
  <c r="Q155" i="49" a="1"/>
  <c r="Q155" i="49" s="1"/>
  <c r="C155" i="49"/>
  <c r="Q154" i="49" a="1"/>
  <c r="Q154" i="49" s="1"/>
  <c r="C154" i="49"/>
  <c r="Q153" i="49" a="1"/>
  <c r="Q153" i="49" s="1"/>
  <c r="C153" i="49"/>
  <c r="Q152" i="49" a="1"/>
  <c r="Q152" i="49" s="1"/>
  <c r="C152" i="49"/>
  <c r="Q151" i="49" a="1"/>
  <c r="Q151" i="49" s="1"/>
  <c r="C151" i="49"/>
  <c r="Q150" i="49" a="1"/>
  <c r="Q150" i="49" s="1"/>
  <c r="C150" i="49"/>
  <c r="Q149" i="49" a="1"/>
  <c r="Q149" i="49" s="1"/>
  <c r="C149" i="49"/>
  <c r="Q148" i="49" a="1"/>
  <c r="Q148" i="49" s="1"/>
  <c r="C148" i="49"/>
  <c r="Q147" i="49" a="1"/>
  <c r="Q147" i="49" s="1"/>
  <c r="C147" i="49"/>
  <c r="Q146" i="49" a="1"/>
  <c r="Q146" i="49" s="1"/>
  <c r="C146" i="49"/>
  <c r="Q145" i="49" a="1"/>
  <c r="Q145" i="49" s="1"/>
  <c r="C145" i="49"/>
  <c r="Q144" i="49" a="1"/>
  <c r="Q144" i="49" s="1"/>
  <c r="C144" i="49"/>
  <c r="Q143" i="49" a="1"/>
  <c r="Q143" i="49" s="1"/>
  <c r="C143" i="49"/>
  <c r="Q142" i="49" a="1"/>
  <c r="Q142" i="49" s="1"/>
  <c r="C142" i="49"/>
  <c r="Q141" i="49" a="1"/>
  <c r="Q141" i="49" s="1"/>
  <c r="C141" i="49"/>
  <c r="Q140" i="49" a="1"/>
  <c r="Q140" i="49" s="1"/>
  <c r="C140" i="49"/>
  <c r="Q139" i="49" a="1"/>
  <c r="Q139" i="49" s="1"/>
  <c r="C139" i="49"/>
  <c r="Q138" i="49" a="1"/>
  <c r="Q138" i="49" s="1"/>
  <c r="C138" i="49"/>
  <c r="Q137" i="49" a="1"/>
  <c r="Q137" i="49" s="1"/>
  <c r="C137" i="49"/>
  <c r="Q136" i="49" a="1"/>
  <c r="Q136" i="49" s="1"/>
  <c r="C136" i="49"/>
  <c r="Q135" i="49" a="1"/>
  <c r="Q135" i="49" s="1"/>
  <c r="C135" i="49"/>
  <c r="Q134" i="49" a="1"/>
  <c r="Q134" i="49" s="1"/>
  <c r="C134" i="49"/>
  <c r="Q133" i="49" a="1"/>
  <c r="Q133" i="49" s="1"/>
  <c r="C133" i="49"/>
  <c r="Q132" i="49" a="1"/>
  <c r="Q132" i="49" s="1"/>
  <c r="C132" i="49"/>
  <c r="Q131" i="49" a="1"/>
  <c r="Q131" i="49" s="1"/>
  <c r="C131" i="49"/>
  <c r="Q130" i="49" a="1"/>
  <c r="Q130" i="49" s="1"/>
  <c r="C130" i="49"/>
  <c r="Q129" i="49" a="1"/>
  <c r="Q129" i="49" s="1"/>
  <c r="C129" i="49"/>
  <c r="Q128" i="49" a="1"/>
  <c r="Q128" i="49" s="1"/>
  <c r="C128" i="49"/>
  <c r="Q127" i="49" a="1"/>
  <c r="Q127" i="49" s="1"/>
  <c r="C127" i="49"/>
  <c r="Q126" i="49" a="1"/>
  <c r="Q126" i="49" s="1"/>
  <c r="C126" i="49"/>
  <c r="Q125" i="49" a="1"/>
  <c r="Q125" i="49" s="1"/>
  <c r="C125" i="49"/>
  <c r="Q124" i="49" a="1"/>
  <c r="Q124" i="49" s="1"/>
  <c r="C124" i="49"/>
  <c r="Q123" i="49" a="1"/>
  <c r="Q123" i="49" s="1"/>
  <c r="C123" i="49"/>
  <c r="Q122" i="49" a="1"/>
  <c r="Q122" i="49" s="1"/>
  <c r="C122" i="49"/>
  <c r="Q121" i="49" a="1"/>
  <c r="Q121" i="49" s="1"/>
  <c r="C121" i="49"/>
  <c r="Q120" i="49" a="1"/>
  <c r="Q120" i="49" s="1"/>
  <c r="C120" i="49"/>
  <c r="Q119" i="49" a="1"/>
  <c r="Q119" i="49" s="1"/>
  <c r="C119" i="49"/>
  <c r="Q118" i="49" a="1"/>
  <c r="Q118" i="49" s="1"/>
  <c r="C118" i="49"/>
  <c r="Q117" i="49" a="1"/>
  <c r="Q117" i="49" s="1"/>
  <c r="C117" i="49"/>
  <c r="Q116" i="49" a="1"/>
  <c r="Q116" i="49" s="1"/>
  <c r="C116" i="49"/>
  <c r="Q115" i="49" a="1"/>
  <c r="Q115" i="49" s="1"/>
  <c r="C115" i="49"/>
  <c r="Q114" i="49" a="1"/>
  <c r="Q114" i="49" s="1"/>
  <c r="C114" i="49"/>
  <c r="Q113" i="49" a="1"/>
  <c r="Q113" i="49" s="1"/>
  <c r="C113" i="49"/>
  <c r="Q112" i="49" a="1"/>
  <c r="Q112" i="49" s="1"/>
  <c r="C112" i="49"/>
  <c r="Q111" i="49" a="1"/>
  <c r="Q111" i="49" s="1"/>
  <c r="C111" i="49"/>
  <c r="Q110" i="49" a="1"/>
  <c r="Q110" i="49" s="1"/>
  <c r="C110" i="49"/>
  <c r="Q109" i="49" a="1"/>
  <c r="Q109" i="49" s="1"/>
  <c r="C109" i="49"/>
  <c r="Q108" i="49" a="1"/>
  <c r="Q108" i="49" s="1"/>
  <c r="C108" i="49"/>
  <c r="Q107" i="49" a="1"/>
  <c r="Q107" i="49" s="1"/>
  <c r="C107" i="49"/>
  <c r="Q106" i="49" a="1"/>
  <c r="Q106" i="49" s="1"/>
  <c r="C106" i="49"/>
  <c r="Q105" i="49" a="1"/>
  <c r="Q105" i="49" s="1"/>
  <c r="C105" i="49"/>
  <c r="Q104" i="49" a="1"/>
  <c r="Q104" i="49" s="1"/>
  <c r="C104" i="49"/>
  <c r="Q103" i="49" a="1"/>
  <c r="Q103" i="49" s="1"/>
  <c r="C103" i="49"/>
  <c r="Q102" i="49" a="1"/>
  <c r="Q102" i="49" s="1"/>
  <c r="C102" i="49"/>
  <c r="Q101" i="49" a="1"/>
  <c r="Q101" i="49" s="1"/>
  <c r="C101" i="49"/>
  <c r="Q100" i="49" a="1"/>
  <c r="Q100" i="49" s="1"/>
  <c r="C100" i="49"/>
  <c r="Q99" i="49" a="1"/>
  <c r="Q99" i="49" s="1"/>
  <c r="C99" i="49"/>
  <c r="Q98" i="49" a="1"/>
  <c r="Q98" i="49" s="1"/>
  <c r="C98" i="49"/>
  <c r="Q97" i="49" a="1"/>
  <c r="Q97" i="49" s="1"/>
  <c r="C97" i="49"/>
  <c r="Q96" i="49" a="1"/>
  <c r="Q96" i="49" s="1"/>
  <c r="C96" i="49"/>
  <c r="Q95" i="49" a="1"/>
  <c r="Q95" i="49" s="1"/>
  <c r="C95" i="49"/>
  <c r="Q94" i="49" a="1"/>
  <c r="Q94" i="49" s="1"/>
  <c r="C94" i="49"/>
  <c r="Q93" i="49" a="1"/>
  <c r="Q93" i="49" s="1"/>
  <c r="C93" i="49"/>
  <c r="Q92" i="49" a="1"/>
  <c r="Q92" i="49" s="1"/>
  <c r="C92" i="49"/>
  <c r="Q91" i="49" a="1"/>
  <c r="Q91" i="49" s="1"/>
  <c r="C91" i="49"/>
  <c r="Q90" i="49" a="1"/>
  <c r="Q90" i="49" s="1"/>
  <c r="C90" i="49"/>
  <c r="Q89" i="49" a="1"/>
  <c r="Q89" i="49" s="1"/>
  <c r="C89" i="49"/>
  <c r="Q88" i="49" a="1"/>
  <c r="Q88" i="49" s="1"/>
  <c r="C88" i="49"/>
  <c r="Q87" i="49" a="1"/>
  <c r="Q87" i="49" s="1"/>
  <c r="C87" i="49"/>
  <c r="Q86" i="49" a="1"/>
  <c r="Q86" i="49" s="1"/>
  <c r="C86" i="49"/>
  <c r="Q85" i="49" a="1"/>
  <c r="Q85" i="49" s="1"/>
  <c r="C85" i="49"/>
  <c r="Q84" i="49" a="1"/>
  <c r="Q84" i="49" s="1"/>
  <c r="C84" i="49"/>
  <c r="Q83" i="49" a="1"/>
  <c r="Q83" i="49" s="1"/>
  <c r="C83" i="49"/>
  <c r="Q82" i="49" a="1"/>
  <c r="Q82" i="49" s="1"/>
  <c r="C82" i="49"/>
  <c r="Q81" i="49" a="1"/>
  <c r="Q81" i="49" s="1"/>
  <c r="C81" i="49"/>
  <c r="Q80" i="49" a="1"/>
  <c r="Q80" i="49" s="1"/>
  <c r="C80" i="49"/>
  <c r="Q79" i="49" a="1"/>
  <c r="Q79" i="49" s="1"/>
  <c r="C79" i="49"/>
  <c r="Q78" i="49" a="1"/>
  <c r="Q78" i="49" s="1"/>
  <c r="C78" i="49"/>
  <c r="Q77" i="49" a="1"/>
  <c r="Q77" i="49" s="1"/>
  <c r="C77" i="49"/>
  <c r="Q76" i="49" a="1"/>
  <c r="Q76" i="49" s="1"/>
  <c r="C76" i="49"/>
  <c r="Q438" i="48" a="1"/>
  <c r="Q438" i="48" s="1"/>
  <c r="C438" i="48"/>
  <c r="Q437" i="48" a="1"/>
  <c r="Q437" i="48" s="1"/>
  <c r="C437" i="48"/>
  <c r="Q436" i="48" a="1"/>
  <c r="Q436" i="48" s="1"/>
  <c r="C436" i="48"/>
  <c r="Q435" i="48" a="1"/>
  <c r="Q435" i="48" s="1"/>
  <c r="C435" i="48"/>
  <c r="Q434" i="48" a="1"/>
  <c r="Q434" i="48" s="1"/>
  <c r="C434" i="48"/>
  <c r="Q433" i="48" a="1"/>
  <c r="Q433" i="48" s="1"/>
  <c r="C433" i="48"/>
  <c r="Q432" i="48" a="1"/>
  <c r="Q432" i="48" s="1"/>
  <c r="C432" i="48"/>
  <c r="Q431" i="48" a="1"/>
  <c r="Q431" i="48" s="1"/>
  <c r="C431" i="48"/>
  <c r="Q430" i="48" a="1"/>
  <c r="Q430" i="48" s="1"/>
  <c r="C430" i="48"/>
  <c r="Q429" i="48" a="1"/>
  <c r="Q429" i="48" s="1"/>
  <c r="C429" i="48"/>
  <c r="Q428" i="48" a="1"/>
  <c r="Q428" i="48" s="1"/>
  <c r="C428" i="48"/>
  <c r="Q427" i="48" a="1"/>
  <c r="Q427" i="48" s="1"/>
  <c r="C427" i="48"/>
  <c r="Q426" i="48" a="1"/>
  <c r="Q426" i="48" s="1"/>
  <c r="C426" i="48"/>
  <c r="Q425" i="48" a="1"/>
  <c r="Q425" i="48" s="1"/>
  <c r="C425" i="48"/>
  <c r="Q424" i="48" a="1"/>
  <c r="Q424" i="48" s="1"/>
  <c r="C424" i="48"/>
  <c r="Q423" i="48" a="1"/>
  <c r="Q423" i="48" s="1"/>
  <c r="C423" i="48"/>
  <c r="Q422" i="48" a="1"/>
  <c r="Q422" i="48" s="1"/>
  <c r="C422" i="48"/>
  <c r="Q421" i="48" a="1"/>
  <c r="Q421" i="48" s="1"/>
  <c r="C421" i="48"/>
  <c r="Q420" i="48" a="1"/>
  <c r="Q420" i="48" s="1"/>
  <c r="C420" i="48"/>
  <c r="Q419" i="48" a="1"/>
  <c r="Q419" i="48" s="1"/>
  <c r="C419" i="48"/>
  <c r="Q418" i="48" a="1"/>
  <c r="Q418" i="48" s="1"/>
  <c r="C418" i="48"/>
  <c r="Q417" i="48" a="1"/>
  <c r="Q417" i="48" s="1"/>
  <c r="C417" i="48"/>
  <c r="Q416" i="48" a="1"/>
  <c r="Q416" i="48" s="1"/>
  <c r="C416" i="48"/>
  <c r="Q415" i="48" a="1"/>
  <c r="Q415" i="48" s="1"/>
  <c r="C415" i="48"/>
  <c r="Q414" i="48" a="1"/>
  <c r="Q414" i="48" s="1"/>
  <c r="C414" i="48"/>
  <c r="Q413" i="48" a="1"/>
  <c r="Q413" i="48" s="1"/>
  <c r="C413" i="48"/>
  <c r="Q412" i="48" a="1"/>
  <c r="Q412" i="48" s="1"/>
  <c r="C412" i="48"/>
  <c r="Q411" i="48" a="1"/>
  <c r="Q411" i="48" s="1"/>
  <c r="C411" i="48"/>
  <c r="Q410" i="48" a="1"/>
  <c r="Q410" i="48" s="1"/>
  <c r="C410" i="48"/>
  <c r="Q409" i="48" a="1"/>
  <c r="Q409" i="48" s="1"/>
  <c r="C409" i="48"/>
  <c r="Q408" i="48" a="1"/>
  <c r="Q408" i="48" s="1"/>
  <c r="C408" i="48"/>
  <c r="Q407" i="48" a="1"/>
  <c r="Q407" i="48" s="1"/>
  <c r="C407" i="48"/>
  <c r="Q406" i="48" a="1"/>
  <c r="Q406" i="48" s="1"/>
  <c r="C406" i="48"/>
  <c r="Q405" i="48" a="1"/>
  <c r="Q405" i="48" s="1"/>
  <c r="C405" i="48"/>
  <c r="Q404" i="48" a="1"/>
  <c r="Q404" i="48" s="1"/>
  <c r="C404" i="48"/>
  <c r="Q403" i="48" a="1"/>
  <c r="Q403" i="48" s="1"/>
  <c r="C403" i="48"/>
  <c r="Q402" i="48" a="1"/>
  <c r="Q402" i="48" s="1"/>
  <c r="C402" i="48"/>
  <c r="Q401" i="48" a="1"/>
  <c r="Q401" i="48" s="1"/>
  <c r="C401" i="48"/>
  <c r="Q400" i="48" a="1"/>
  <c r="Q400" i="48" s="1"/>
  <c r="C400" i="48"/>
  <c r="Q399" i="48" a="1"/>
  <c r="Q399" i="48" s="1"/>
  <c r="C399" i="48"/>
  <c r="Q398" i="48" a="1"/>
  <c r="Q398" i="48" s="1"/>
  <c r="C398" i="48"/>
  <c r="Q397" i="48" a="1"/>
  <c r="Q397" i="48" s="1"/>
  <c r="C397" i="48"/>
  <c r="Q396" i="48" a="1"/>
  <c r="Q396" i="48" s="1"/>
  <c r="C396" i="48"/>
  <c r="Q395" i="48" a="1"/>
  <c r="Q395" i="48" s="1"/>
  <c r="C395" i="48"/>
  <c r="Q394" i="48" a="1"/>
  <c r="Q394" i="48" s="1"/>
  <c r="C394" i="48"/>
  <c r="Q393" i="48" a="1"/>
  <c r="Q393" i="48" s="1"/>
  <c r="C393" i="48"/>
  <c r="Q392" i="48" a="1"/>
  <c r="Q392" i="48" s="1"/>
  <c r="C392" i="48"/>
  <c r="Q391" i="48" a="1"/>
  <c r="Q391" i="48" s="1"/>
  <c r="C391" i="48"/>
  <c r="Q390" i="48" a="1"/>
  <c r="Q390" i="48" s="1"/>
  <c r="C390" i="48"/>
  <c r="Q389" i="48" a="1"/>
  <c r="Q389" i="48" s="1"/>
  <c r="C389" i="48"/>
  <c r="Q388" i="48" a="1"/>
  <c r="Q388" i="48" s="1"/>
  <c r="C388" i="48"/>
  <c r="Q387" i="48" a="1"/>
  <c r="Q387" i="48" s="1"/>
  <c r="C387" i="48"/>
  <c r="Q386" i="48" a="1"/>
  <c r="Q386" i="48" s="1"/>
  <c r="C386" i="48"/>
  <c r="Q385" i="48" a="1"/>
  <c r="Q385" i="48" s="1"/>
  <c r="C385" i="48"/>
  <c r="Q384" i="48" a="1"/>
  <c r="Q384" i="48" s="1"/>
  <c r="C384" i="48"/>
  <c r="Q383" i="48" a="1"/>
  <c r="Q383" i="48" s="1"/>
  <c r="C383" i="48"/>
  <c r="Q382" i="48" a="1"/>
  <c r="Q382" i="48" s="1"/>
  <c r="C382" i="48"/>
  <c r="Q381" i="48" a="1"/>
  <c r="Q381" i="48" s="1"/>
  <c r="C381" i="48"/>
  <c r="Q380" i="48" a="1"/>
  <c r="Q380" i="48" s="1"/>
  <c r="C380" i="48"/>
  <c r="Q379" i="48" a="1"/>
  <c r="Q379" i="48" s="1"/>
  <c r="C379" i="48"/>
  <c r="Q378" i="48" a="1"/>
  <c r="Q378" i="48" s="1"/>
  <c r="C378" i="48"/>
  <c r="Q377" i="48" a="1"/>
  <c r="Q377" i="48" s="1"/>
  <c r="C377" i="48"/>
  <c r="Q376" i="48" a="1"/>
  <c r="Q376" i="48" s="1"/>
  <c r="C376" i="48"/>
  <c r="Q375" i="48" a="1"/>
  <c r="Q375" i="48" s="1"/>
  <c r="C375" i="48"/>
  <c r="Q374" i="48" a="1"/>
  <c r="Q374" i="48" s="1"/>
  <c r="C374" i="48"/>
  <c r="Q373" i="48" a="1"/>
  <c r="Q373" i="48" s="1"/>
  <c r="C373" i="48"/>
  <c r="Q372" i="48" a="1"/>
  <c r="Q372" i="48" s="1"/>
  <c r="C372" i="48"/>
  <c r="Q371" i="48" a="1"/>
  <c r="Q371" i="48" s="1"/>
  <c r="C371" i="48"/>
  <c r="Q370" i="48" a="1"/>
  <c r="Q370" i="48" s="1"/>
  <c r="C370" i="48"/>
  <c r="Q369" i="48" a="1"/>
  <c r="Q369" i="48" s="1"/>
  <c r="C369" i="48"/>
  <c r="Q368" i="48" a="1"/>
  <c r="Q368" i="48" s="1"/>
  <c r="C368" i="48"/>
  <c r="Q367" i="48" a="1"/>
  <c r="Q367" i="48" s="1"/>
  <c r="C367" i="48"/>
  <c r="Q366" i="48" a="1"/>
  <c r="Q366" i="48" s="1"/>
  <c r="C366" i="48"/>
  <c r="Q365" i="48" a="1"/>
  <c r="Q365" i="48" s="1"/>
  <c r="C365" i="48"/>
  <c r="Q364" i="48" a="1"/>
  <c r="Q364" i="48" s="1"/>
  <c r="C364" i="48"/>
  <c r="Q363" i="48" a="1"/>
  <c r="Q363" i="48" s="1"/>
  <c r="C363" i="48"/>
  <c r="Q362" i="48" a="1"/>
  <c r="Q362" i="48" s="1"/>
  <c r="C362" i="48"/>
  <c r="Q361" i="48" a="1"/>
  <c r="Q361" i="48" s="1"/>
  <c r="C361" i="48"/>
  <c r="Q360" i="48" a="1"/>
  <c r="Q360" i="48" s="1"/>
  <c r="C360" i="48"/>
  <c r="Q359" i="48" a="1"/>
  <c r="Q359" i="48" s="1"/>
  <c r="C359" i="48"/>
  <c r="Q358" i="48" a="1"/>
  <c r="Q358" i="48" s="1"/>
  <c r="C358" i="48"/>
  <c r="Q357" i="48" a="1"/>
  <c r="Q357" i="48" s="1"/>
  <c r="C357" i="48"/>
  <c r="Q356" i="48" a="1"/>
  <c r="Q356" i="48" s="1"/>
  <c r="C356" i="48"/>
  <c r="Q355" i="48" a="1"/>
  <c r="Q355" i="48" s="1"/>
  <c r="C355" i="48"/>
  <c r="Q354" i="48" a="1"/>
  <c r="Q354" i="48" s="1"/>
  <c r="C354" i="48"/>
  <c r="Q353" i="48" a="1"/>
  <c r="Q353" i="48" s="1"/>
  <c r="C353" i="48"/>
  <c r="Q352" i="48" a="1"/>
  <c r="Q352" i="48" s="1"/>
  <c r="C352" i="48"/>
  <c r="Q351" i="48" a="1"/>
  <c r="Q351" i="48" s="1"/>
  <c r="C351" i="48"/>
  <c r="Q350" i="48" a="1"/>
  <c r="Q350" i="48" s="1"/>
  <c r="C350" i="48"/>
  <c r="Q349" i="48" a="1"/>
  <c r="Q349" i="48" s="1"/>
  <c r="C349" i="48"/>
  <c r="Q348" i="48" a="1"/>
  <c r="Q348" i="48" s="1"/>
  <c r="C348" i="48"/>
  <c r="Q347" i="48" a="1"/>
  <c r="Q347" i="48" s="1"/>
  <c r="C347" i="48"/>
  <c r="Q346" i="48" a="1"/>
  <c r="Q346" i="48" s="1"/>
  <c r="C346" i="48"/>
  <c r="Q345" i="48" a="1"/>
  <c r="Q345" i="48" s="1"/>
  <c r="C345" i="48"/>
  <c r="Q344" i="48" a="1"/>
  <c r="Q344" i="48" s="1"/>
  <c r="C344" i="48"/>
  <c r="Q343" i="48" a="1"/>
  <c r="Q343" i="48" s="1"/>
  <c r="C343" i="48"/>
  <c r="Q342" i="48" a="1"/>
  <c r="Q342" i="48" s="1"/>
  <c r="C342" i="48"/>
  <c r="Q341" i="48" a="1"/>
  <c r="Q341" i="48" s="1"/>
  <c r="C341" i="48"/>
  <c r="Q340" i="48" a="1"/>
  <c r="Q340" i="48" s="1"/>
  <c r="C340" i="48"/>
  <c r="Q339" i="48" a="1"/>
  <c r="Q339" i="48" s="1"/>
  <c r="C339" i="48"/>
  <c r="Q338" i="48" a="1"/>
  <c r="Q338" i="48" s="1"/>
  <c r="C338" i="48"/>
  <c r="Q337" i="48" a="1"/>
  <c r="Q337" i="48" s="1"/>
  <c r="C337" i="48"/>
  <c r="Q336" i="48" a="1"/>
  <c r="Q336" i="48" s="1"/>
  <c r="C336" i="48"/>
  <c r="Q335" i="48" a="1"/>
  <c r="Q335" i="48" s="1"/>
  <c r="C335" i="48"/>
  <c r="Q334" i="48" a="1"/>
  <c r="Q334" i="48" s="1"/>
  <c r="C334" i="48"/>
  <c r="Q333" i="48" a="1"/>
  <c r="Q333" i="48" s="1"/>
  <c r="C333" i="48"/>
  <c r="Q332" i="48" a="1"/>
  <c r="Q332" i="48" s="1"/>
  <c r="C332" i="48"/>
  <c r="Q331" i="48" a="1"/>
  <c r="Q331" i="48" s="1"/>
  <c r="C331" i="48"/>
  <c r="Q330" i="48" a="1"/>
  <c r="Q330" i="48" s="1"/>
  <c r="C330" i="48"/>
  <c r="Q329" i="48" a="1"/>
  <c r="Q329" i="48" s="1"/>
  <c r="C329" i="48"/>
  <c r="Q328" i="48" a="1"/>
  <c r="Q328" i="48" s="1"/>
  <c r="C328" i="48"/>
  <c r="Q327" i="48" a="1"/>
  <c r="Q327" i="48" s="1"/>
  <c r="C327" i="48"/>
  <c r="Q326" i="48" a="1"/>
  <c r="Q326" i="48" s="1"/>
  <c r="C326" i="48"/>
  <c r="Q325" i="48" a="1"/>
  <c r="Q325" i="48" s="1"/>
  <c r="C325" i="48"/>
  <c r="Q324" i="48" a="1"/>
  <c r="Q324" i="48" s="1"/>
  <c r="C324" i="48"/>
  <c r="Q323" i="48" a="1"/>
  <c r="Q323" i="48" s="1"/>
  <c r="C323" i="48"/>
  <c r="Q322" i="48" a="1"/>
  <c r="Q322" i="48" s="1"/>
  <c r="C322" i="48"/>
  <c r="Q321" i="48" a="1"/>
  <c r="Q321" i="48" s="1"/>
  <c r="C321" i="48"/>
  <c r="Q320" i="48" a="1"/>
  <c r="Q320" i="48" s="1"/>
  <c r="C320" i="48"/>
  <c r="Q319" i="48" a="1"/>
  <c r="Q319" i="48" s="1"/>
  <c r="C319" i="48"/>
  <c r="Q318" i="48" a="1"/>
  <c r="Q318" i="48" s="1"/>
  <c r="C318" i="48"/>
  <c r="Q317" i="48" a="1"/>
  <c r="Q317" i="48" s="1"/>
  <c r="C317" i="48"/>
  <c r="Q316" i="48" a="1"/>
  <c r="Q316" i="48" s="1"/>
  <c r="C316" i="48"/>
  <c r="Q315" i="48" a="1"/>
  <c r="Q315" i="48" s="1"/>
  <c r="C315" i="48"/>
  <c r="Q314" i="48" a="1"/>
  <c r="Q314" i="48" s="1"/>
  <c r="C314" i="48"/>
  <c r="Q313" i="48" a="1"/>
  <c r="Q313" i="48" s="1"/>
  <c r="C313" i="48"/>
  <c r="Q312" i="48" a="1"/>
  <c r="Q312" i="48" s="1"/>
  <c r="C312" i="48"/>
  <c r="Q311" i="48" a="1"/>
  <c r="Q311" i="48" s="1"/>
  <c r="C311" i="48"/>
  <c r="Q310" i="48" a="1"/>
  <c r="Q310" i="48" s="1"/>
  <c r="C310" i="48"/>
  <c r="Q309" i="48" a="1"/>
  <c r="Q309" i="48" s="1"/>
  <c r="C309" i="48"/>
  <c r="Q308" i="48" a="1"/>
  <c r="Q308" i="48" s="1"/>
  <c r="C308" i="48"/>
  <c r="Q307" i="48" a="1"/>
  <c r="Q307" i="48" s="1"/>
  <c r="C307" i="48"/>
  <c r="Q306" i="48" a="1"/>
  <c r="Q306" i="48" s="1"/>
  <c r="C306" i="48"/>
  <c r="Q305" i="48" a="1"/>
  <c r="Q305" i="48" s="1"/>
  <c r="C305" i="48"/>
  <c r="Q304" i="48" a="1"/>
  <c r="Q304" i="48" s="1"/>
  <c r="C304" i="48"/>
  <c r="Q303" i="48" a="1"/>
  <c r="Q303" i="48" s="1"/>
  <c r="C303" i="48"/>
  <c r="Q302" i="48" a="1"/>
  <c r="Q302" i="48" s="1"/>
  <c r="C302" i="48"/>
  <c r="Q301" i="48" a="1"/>
  <c r="Q301" i="48" s="1"/>
  <c r="C301" i="48"/>
  <c r="Q300" i="48" a="1"/>
  <c r="Q300" i="48" s="1"/>
  <c r="C300" i="48"/>
  <c r="Q299" i="48" a="1"/>
  <c r="Q299" i="48" s="1"/>
  <c r="C299" i="48"/>
  <c r="Q298" i="48" a="1"/>
  <c r="Q298" i="48" s="1"/>
  <c r="C298" i="48"/>
  <c r="Q297" i="48" a="1"/>
  <c r="Q297" i="48" s="1"/>
  <c r="C297" i="48"/>
  <c r="Q296" i="48" a="1"/>
  <c r="Q296" i="48" s="1"/>
  <c r="C296" i="48"/>
  <c r="Q295" i="48" a="1"/>
  <c r="Q295" i="48" s="1"/>
  <c r="C295" i="48"/>
  <c r="Q294" i="48" a="1"/>
  <c r="Q294" i="48" s="1"/>
  <c r="C294" i="48"/>
  <c r="Q293" i="48" a="1"/>
  <c r="Q293" i="48" s="1"/>
  <c r="C293" i="48"/>
  <c r="Q292" i="48" a="1"/>
  <c r="Q292" i="48" s="1"/>
  <c r="C292" i="48"/>
  <c r="Q291" i="48" a="1"/>
  <c r="Q291" i="48" s="1"/>
  <c r="C291" i="48"/>
  <c r="Q290" i="48" a="1"/>
  <c r="Q290" i="48" s="1"/>
  <c r="C290" i="48"/>
  <c r="Q289" i="48" a="1"/>
  <c r="Q289" i="48" s="1"/>
  <c r="C289" i="48"/>
  <c r="Q288" i="48" a="1"/>
  <c r="Q288" i="48" s="1"/>
  <c r="C288" i="48"/>
  <c r="Q287" i="48" a="1"/>
  <c r="Q287" i="48" s="1"/>
  <c r="C287" i="48"/>
  <c r="Q286" i="48" a="1"/>
  <c r="Q286" i="48" s="1"/>
  <c r="C286" i="48"/>
  <c r="Q285" i="48" a="1"/>
  <c r="Q285" i="48" s="1"/>
  <c r="C285" i="48"/>
  <c r="Q284" i="48" a="1"/>
  <c r="Q284" i="48" s="1"/>
  <c r="C284" i="48"/>
  <c r="Q283" i="48" a="1"/>
  <c r="Q283" i="48" s="1"/>
  <c r="C283" i="48"/>
  <c r="Q282" i="48" a="1"/>
  <c r="Q282" i="48" s="1"/>
  <c r="C282" i="48"/>
  <c r="Q281" i="48" a="1"/>
  <c r="Q281" i="48" s="1"/>
  <c r="C281" i="48"/>
  <c r="Q280" i="48" a="1"/>
  <c r="Q280" i="48" s="1"/>
  <c r="C280" i="48"/>
  <c r="Q279" i="48" a="1"/>
  <c r="Q279" i="48" s="1"/>
  <c r="C279" i="48"/>
  <c r="Q278" i="48" a="1"/>
  <c r="Q278" i="48" s="1"/>
  <c r="C278" i="48"/>
  <c r="Q277" i="48" a="1"/>
  <c r="Q277" i="48" s="1"/>
  <c r="C277" i="48"/>
  <c r="Q276" i="48" a="1"/>
  <c r="Q276" i="48" s="1"/>
  <c r="C276" i="48"/>
  <c r="Q275" i="48" a="1"/>
  <c r="Q275" i="48" s="1"/>
  <c r="C275" i="48"/>
  <c r="Q274" i="48" a="1"/>
  <c r="Q274" i="48" s="1"/>
  <c r="C274" i="48"/>
  <c r="Q273" i="48" a="1"/>
  <c r="Q273" i="48" s="1"/>
  <c r="C273" i="48"/>
  <c r="Q272" i="48" a="1"/>
  <c r="Q272" i="48" s="1"/>
  <c r="C272" i="48"/>
  <c r="Q271" i="48" a="1"/>
  <c r="Q271" i="48" s="1"/>
  <c r="C271" i="48"/>
  <c r="Q270" i="48" a="1"/>
  <c r="Q270" i="48" s="1"/>
  <c r="C270" i="48"/>
  <c r="Q269" i="48" a="1"/>
  <c r="Q269" i="48" s="1"/>
  <c r="C269" i="48"/>
  <c r="Q268" i="48" a="1"/>
  <c r="Q268" i="48" s="1"/>
  <c r="C268" i="48"/>
  <c r="Q267" i="48" a="1"/>
  <c r="Q267" i="48" s="1"/>
  <c r="C267" i="48"/>
  <c r="Q266" i="48" a="1"/>
  <c r="Q266" i="48" s="1"/>
  <c r="C266" i="48"/>
  <c r="Q265" i="48" a="1"/>
  <c r="Q265" i="48" s="1"/>
  <c r="C265" i="48"/>
  <c r="Q264" i="48" a="1"/>
  <c r="Q264" i="48" s="1"/>
  <c r="C264" i="48"/>
  <c r="Q263" i="48" a="1"/>
  <c r="Q263" i="48" s="1"/>
  <c r="C263" i="48"/>
  <c r="Q262" i="48" a="1"/>
  <c r="Q262" i="48" s="1"/>
  <c r="C262" i="48"/>
  <c r="Q261" i="48" a="1"/>
  <c r="Q261" i="48" s="1"/>
  <c r="C261" i="48"/>
  <c r="Q260" i="48" a="1"/>
  <c r="Q260" i="48" s="1"/>
  <c r="C260" i="48"/>
  <c r="Q259" i="48" a="1"/>
  <c r="Q259" i="48" s="1"/>
  <c r="C259" i="48"/>
  <c r="Q258" i="48" a="1"/>
  <c r="Q258" i="48" s="1"/>
  <c r="C258" i="48"/>
  <c r="Q257" i="48" a="1"/>
  <c r="Q257" i="48" s="1"/>
  <c r="C257" i="48"/>
  <c r="Q256" i="48" a="1"/>
  <c r="Q256" i="48" s="1"/>
  <c r="C256" i="48"/>
  <c r="Q255" i="48" a="1"/>
  <c r="Q255" i="48" s="1"/>
  <c r="C255" i="48"/>
  <c r="Q254" i="48" a="1"/>
  <c r="Q254" i="48" s="1"/>
  <c r="C254" i="48"/>
  <c r="Q253" i="48" a="1"/>
  <c r="Q253" i="48" s="1"/>
  <c r="C253" i="48"/>
  <c r="Q252" i="48" a="1"/>
  <c r="Q252" i="48" s="1"/>
  <c r="C252" i="48"/>
  <c r="Q251" i="48" a="1"/>
  <c r="Q251" i="48" s="1"/>
  <c r="C251" i="48"/>
  <c r="Q250" i="48" a="1"/>
  <c r="Q250" i="48" s="1"/>
  <c r="C250" i="48"/>
  <c r="Q249" i="48" a="1"/>
  <c r="Q249" i="48" s="1"/>
  <c r="C249" i="48"/>
  <c r="Q248" i="48" a="1"/>
  <c r="Q248" i="48" s="1"/>
  <c r="C248" i="48"/>
  <c r="Q247" i="48" a="1"/>
  <c r="Q247" i="48" s="1"/>
  <c r="C247" i="48"/>
  <c r="Q246" i="48" a="1"/>
  <c r="Q246" i="48" s="1"/>
  <c r="C246" i="48"/>
  <c r="Q245" i="48" a="1"/>
  <c r="Q245" i="48" s="1"/>
  <c r="C245" i="48"/>
  <c r="Q244" i="48" a="1"/>
  <c r="Q244" i="48" s="1"/>
  <c r="C244" i="48"/>
  <c r="Q243" i="48" a="1"/>
  <c r="Q243" i="48" s="1"/>
  <c r="C243" i="48"/>
  <c r="Q242" i="48" a="1"/>
  <c r="Q242" i="48" s="1"/>
  <c r="C242" i="48"/>
  <c r="Q241" i="48" a="1"/>
  <c r="Q241" i="48" s="1"/>
  <c r="C241" i="48"/>
  <c r="Q240" i="48" a="1"/>
  <c r="Q240" i="48" s="1"/>
  <c r="C240" i="48"/>
  <c r="Q239" i="48" a="1"/>
  <c r="Q239" i="48" s="1"/>
  <c r="C239" i="48"/>
  <c r="Q238" i="48" a="1"/>
  <c r="Q238" i="48" s="1"/>
  <c r="C238" i="48"/>
  <c r="Q237" i="48" a="1"/>
  <c r="Q237" i="48" s="1"/>
  <c r="C237" i="48"/>
  <c r="Q236" i="48" a="1"/>
  <c r="Q236" i="48" s="1"/>
  <c r="C236" i="48"/>
  <c r="Q235" i="48" a="1"/>
  <c r="Q235" i="48" s="1"/>
  <c r="C235" i="48"/>
  <c r="Q234" i="48" a="1"/>
  <c r="Q234" i="48" s="1"/>
  <c r="C234" i="48"/>
  <c r="Q233" i="48" a="1"/>
  <c r="Q233" i="48" s="1"/>
  <c r="C233" i="48"/>
  <c r="Q232" i="48" a="1"/>
  <c r="Q232" i="48" s="1"/>
  <c r="C232" i="48"/>
  <c r="Q231" i="48" a="1"/>
  <c r="Q231" i="48" s="1"/>
  <c r="C231" i="48"/>
  <c r="Q230" i="48" a="1"/>
  <c r="Q230" i="48" s="1"/>
  <c r="C230" i="48"/>
  <c r="Q229" i="48" a="1"/>
  <c r="Q229" i="48" s="1"/>
  <c r="C229" i="48"/>
  <c r="Q228" i="48" a="1"/>
  <c r="Q228" i="48" s="1"/>
  <c r="C228" i="48"/>
  <c r="Q227" i="48" a="1"/>
  <c r="Q227" i="48" s="1"/>
  <c r="C227" i="48"/>
  <c r="Q226" i="48" a="1"/>
  <c r="Q226" i="48" s="1"/>
  <c r="C226" i="48"/>
  <c r="Q225" i="48" a="1"/>
  <c r="Q225" i="48" s="1"/>
  <c r="C225" i="48"/>
  <c r="Q224" i="48" a="1"/>
  <c r="Q224" i="48" s="1"/>
  <c r="C224" i="48"/>
  <c r="Q223" i="48" a="1"/>
  <c r="Q223" i="48" s="1"/>
  <c r="C223" i="48"/>
  <c r="Q222" i="48" a="1"/>
  <c r="Q222" i="48" s="1"/>
  <c r="C222" i="48"/>
  <c r="Q221" i="48" a="1"/>
  <c r="Q221" i="48" s="1"/>
  <c r="C221" i="48"/>
  <c r="Q220" i="48" a="1"/>
  <c r="Q220" i="48" s="1"/>
  <c r="C220" i="48"/>
  <c r="Q219" i="48" a="1"/>
  <c r="Q219" i="48" s="1"/>
  <c r="C219" i="48"/>
  <c r="Q218" i="48" a="1"/>
  <c r="Q218" i="48" s="1"/>
  <c r="C218" i="48"/>
  <c r="Q217" i="48" a="1"/>
  <c r="Q217" i="48" s="1"/>
  <c r="C217" i="48"/>
  <c r="Q216" i="48" a="1"/>
  <c r="Q216" i="48" s="1"/>
  <c r="C216" i="48"/>
  <c r="Q215" i="48" a="1"/>
  <c r="Q215" i="48" s="1"/>
  <c r="C215" i="48"/>
  <c r="Q214" i="48" a="1"/>
  <c r="Q214" i="48" s="1"/>
  <c r="C214" i="48"/>
  <c r="Q213" i="48" a="1"/>
  <c r="Q213" i="48" s="1"/>
  <c r="C213" i="48"/>
  <c r="Q212" i="48" a="1"/>
  <c r="Q212" i="48" s="1"/>
  <c r="C212" i="48"/>
  <c r="Q211" i="48" a="1"/>
  <c r="Q211" i="48" s="1"/>
  <c r="C211" i="48"/>
  <c r="Q210" i="48" a="1"/>
  <c r="Q210" i="48" s="1"/>
  <c r="C210" i="48"/>
  <c r="Q209" i="48" a="1"/>
  <c r="Q209" i="48" s="1"/>
  <c r="C209" i="48"/>
  <c r="Q208" i="48" a="1"/>
  <c r="Q208" i="48" s="1"/>
  <c r="C208" i="48"/>
  <c r="Q207" i="48" a="1"/>
  <c r="Q207" i="48" s="1"/>
  <c r="C207" i="48"/>
  <c r="Q206" i="48" a="1"/>
  <c r="Q206" i="48" s="1"/>
  <c r="C206" i="48"/>
  <c r="Q205" i="48" a="1"/>
  <c r="Q205" i="48" s="1"/>
  <c r="C205" i="48"/>
  <c r="Q204" i="48" a="1"/>
  <c r="Q204" i="48" s="1"/>
  <c r="C204" i="48"/>
  <c r="Q203" i="48" a="1"/>
  <c r="Q203" i="48" s="1"/>
  <c r="C203" i="48"/>
  <c r="Q202" i="48" a="1"/>
  <c r="Q202" i="48" s="1"/>
  <c r="C202" i="48"/>
  <c r="Q201" i="48" a="1"/>
  <c r="Q201" i="48" s="1"/>
  <c r="C201" i="48"/>
  <c r="Q200" i="48" a="1"/>
  <c r="Q200" i="48" s="1"/>
  <c r="C200" i="48"/>
  <c r="Q199" i="48" a="1"/>
  <c r="Q199" i="48" s="1"/>
  <c r="C199" i="48"/>
  <c r="Q198" i="48" a="1"/>
  <c r="Q198" i="48" s="1"/>
  <c r="C198" i="48"/>
  <c r="Q197" i="48" a="1"/>
  <c r="Q197" i="48" s="1"/>
  <c r="C197" i="48"/>
  <c r="Q196" i="48" a="1"/>
  <c r="Q196" i="48" s="1"/>
  <c r="C196" i="48"/>
  <c r="Q195" i="48" a="1"/>
  <c r="Q195" i="48" s="1"/>
  <c r="C195" i="48"/>
  <c r="Q194" i="48" a="1"/>
  <c r="Q194" i="48" s="1"/>
  <c r="C194" i="48"/>
  <c r="Q193" i="48" a="1"/>
  <c r="Q193" i="48" s="1"/>
  <c r="C193" i="48"/>
  <c r="Q192" i="48" a="1"/>
  <c r="Q192" i="48" s="1"/>
  <c r="C192" i="48"/>
  <c r="Q191" i="48" a="1"/>
  <c r="Q191" i="48" s="1"/>
  <c r="C191" i="48"/>
  <c r="Q190" i="48" a="1"/>
  <c r="Q190" i="48" s="1"/>
  <c r="C190" i="48"/>
  <c r="Q189" i="48" a="1"/>
  <c r="Q189" i="48" s="1"/>
  <c r="C189" i="48"/>
  <c r="Q188" i="48" a="1"/>
  <c r="Q188" i="48" s="1"/>
  <c r="C188" i="48"/>
  <c r="Q187" i="48" a="1"/>
  <c r="Q187" i="48" s="1"/>
  <c r="C187" i="48"/>
  <c r="Q186" i="48" a="1"/>
  <c r="Q186" i="48" s="1"/>
  <c r="C186" i="48"/>
  <c r="Q185" i="48" a="1"/>
  <c r="Q185" i="48" s="1"/>
  <c r="C185" i="48"/>
  <c r="Q184" i="48" a="1"/>
  <c r="Q184" i="48" s="1"/>
  <c r="C184" i="48"/>
  <c r="Q183" i="48" a="1"/>
  <c r="Q183" i="48" s="1"/>
  <c r="C183" i="48"/>
  <c r="Q182" i="48" a="1"/>
  <c r="Q182" i="48" s="1"/>
  <c r="C182" i="48"/>
  <c r="Q181" i="48" a="1"/>
  <c r="Q181" i="48" s="1"/>
  <c r="C181" i="48"/>
  <c r="Q180" i="48" a="1"/>
  <c r="Q180" i="48" s="1"/>
  <c r="C180" i="48"/>
  <c r="Q179" i="48" a="1"/>
  <c r="Q179" i="48" s="1"/>
  <c r="C179" i="48"/>
  <c r="Q178" i="48" a="1"/>
  <c r="Q178" i="48" s="1"/>
  <c r="C178" i="48"/>
  <c r="Q177" i="48" a="1"/>
  <c r="Q177" i="48" s="1"/>
  <c r="C177" i="48"/>
  <c r="Q176" i="48" a="1"/>
  <c r="Q176" i="48" s="1"/>
  <c r="C176" i="48"/>
  <c r="Q175" i="48" a="1"/>
  <c r="Q175" i="48" s="1"/>
  <c r="C175" i="48"/>
  <c r="Q174" i="48" a="1"/>
  <c r="Q174" i="48" s="1"/>
  <c r="C174" i="48"/>
  <c r="Q173" i="48" a="1"/>
  <c r="Q173" i="48" s="1"/>
  <c r="C173" i="48"/>
  <c r="Q172" i="48" a="1"/>
  <c r="Q172" i="48" s="1"/>
  <c r="C172" i="48"/>
  <c r="Q171" i="48" a="1"/>
  <c r="Q171" i="48" s="1"/>
  <c r="C171" i="48"/>
  <c r="Q170" i="48" a="1"/>
  <c r="Q170" i="48" s="1"/>
  <c r="C170" i="48"/>
  <c r="Q169" i="48" a="1"/>
  <c r="Q169" i="48" s="1"/>
  <c r="C169" i="48"/>
  <c r="Q168" i="48" a="1"/>
  <c r="Q168" i="48" s="1"/>
  <c r="C168" i="48"/>
  <c r="Q167" i="48" a="1"/>
  <c r="Q167" i="48" s="1"/>
  <c r="C167" i="48"/>
  <c r="Q166" i="48" a="1"/>
  <c r="Q166" i="48" s="1"/>
  <c r="C166" i="48"/>
  <c r="Q165" i="48" a="1"/>
  <c r="Q165" i="48" s="1"/>
  <c r="C165" i="48"/>
  <c r="Q164" i="48" a="1"/>
  <c r="Q164" i="48" s="1"/>
  <c r="C164" i="48"/>
  <c r="Q163" i="48" a="1"/>
  <c r="Q163" i="48" s="1"/>
  <c r="C163" i="48"/>
  <c r="Q162" i="48" a="1"/>
  <c r="Q162" i="48" s="1"/>
  <c r="C162" i="48"/>
  <c r="Q161" i="48" a="1"/>
  <c r="Q161" i="48" s="1"/>
  <c r="C161" i="48"/>
  <c r="Q160" i="48" a="1"/>
  <c r="Q160" i="48" s="1"/>
  <c r="C160" i="48"/>
  <c r="Q159" i="48" a="1"/>
  <c r="Q159" i="48" s="1"/>
  <c r="C159" i="48"/>
  <c r="Q158" i="48" a="1"/>
  <c r="Q158" i="48" s="1"/>
  <c r="C158" i="48"/>
  <c r="Q157" i="48" a="1"/>
  <c r="Q157" i="48" s="1"/>
  <c r="C157" i="48"/>
  <c r="Q156" i="48" a="1"/>
  <c r="Q156" i="48" s="1"/>
  <c r="C156" i="48"/>
  <c r="Q155" i="48" a="1"/>
  <c r="Q155" i="48" s="1"/>
  <c r="C155" i="48"/>
  <c r="Q154" i="48" a="1"/>
  <c r="Q154" i="48" s="1"/>
  <c r="C154" i="48"/>
  <c r="Q153" i="48" a="1"/>
  <c r="Q153" i="48" s="1"/>
  <c r="C153" i="48"/>
  <c r="Q152" i="48" a="1"/>
  <c r="Q152" i="48" s="1"/>
  <c r="C152" i="48"/>
  <c r="Q151" i="48" a="1"/>
  <c r="Q151" i="48" s="1"/>
  <c r="C151" i="48"/>
  <c r="Q150" i="48" a="1"/>
  <c r="Q150" i="48" s="1"/>
  <c r="C150" i="48"/>
  <c r="Q149" i="48" a="1"/>
  <c r="Q149" i="48" s="1"/>
  <c r="C149" i="48"/>
  <c r="Q148" i="48" a="1"/>
  <c r="Q148" i="48" s="1"/>
  <c r="C148" i="48"/>
  <c r="Q147" i="48" a="1"/>
  <c r="Q147" i="48" s="1"/>
  <c r="C147" i="48"/>
  <c r="Q146" i="48" a="1"/>
  <c r="Q146" i="48" s="1"/>
  <c r="C146" i="48"/>
  <c r="Q145" i="48" a="1"/>
  <c r="Q145" i="48" s="1"/>
  <c r="C145" i="48"/>
  <c r="Q144" i="48" a="1"/>
  <c r="Q144" i="48" s="1"/>
  <c r="C144" i="48"/>
  <c r="Q143" i="48" a="1"/>
  <c r="Q143" i="48" s="1"/>
  <c r="C143" i="48"/>
  <c r="Q142" i="48" a="1"/>
  <c r="Q142" i="48" s="1"/>
  <c r="C142" i="48"/>
  <c r="Q141" i="48" a="1"/>
  <c r="Q141" i="48" s="1"/>
  <c r="C141" i="48"/>
  <c r="Q140" i="48" a="1"/>
  <c r="Q140" i="48" s="1"/>
  <c r="C140" i="48"/>
  <c r="Q139" i="48" a="1"/>
  <c r="Q139" i="48" s="1"/>
  <c r="C139" i="48"/>
  <c r="Q138" i="48" a="1"/>
  <c r="Q138" i="48" s="1"/>
  <c r="C138" i="48"/>
  <c r="Q137" i="48" a="1"/>
  <c r="Q137" i="48" s="1"/>
  <c r="C137" i="48"/>
  <c r="Q136" i="48" a="1"/>
  <c r="Q136" i="48" s="1"/>
  <c r="C136" i="48"/>
  <c r="Q135" i="48" a="1"/>
  <c r="Q135" i="48" s="1"/>
  <c r="C135" i="48"/>
  <c r="Q134" i="48" a="1"/>
  <c r="Q134" i="48" s="1"/>
  <c r="C134" i="48"/>
  <c r="Q133" i="48" a="1"/>
  <c r="Q133" i="48" s="1"/>
  <c r="C133" i="48"/>
  <c r="Q132" i="48" a="1"/>
  <c r="Q132" i="48" s="1"/>
  <c r="C132" i="48"/>
  <c r="Q131" i="48" a="1"/>
  <c r="Q131" i="48" s="1"/>
  <c r="C131" i="48"/>
  <c r="Q130" i="48" a="1"/>
  <c r="Q130" i="48" s="1"/>
  <c r="C130" i="48"/>
  <c r="Q129" i="48" a="1"/>
  <c r="Q129" i="48" s="1"/>
  <c r="C129" i="48"/>
  <c r="Q128" i="48" a="1"/>
  <c r="Q128" i="48" s="1"/>
  <c r="C128" i="48"/>
  <c r="Q127" i="48" a="1"/>
  <c r="Q127" i="48" s="1"/>
  <c r="C127" i="48"/>
  <c r="Q126" i="48" a="1"/>
  <c r="Q126" i="48" s="1"/>
  <c r="C126" i="48"/>
  <c r="Q125" i="48" a="1"/>
  <c r="Q125" i="48" s="1"/>
  <c r="C125" i="48"/>
  <c r="Q124" i="48" a="1"/>
  <c r="Q124" i="48" s="1"/>
  <c r="C124" i="48"/>
  <c r="Q123" i="48" a="1"/>
  <c r="Q123" i="48" s="1"/>
  <c r="C123" i="48"/>
  <c r="Q122" i="48" a="1"/>
  <c r="Q122" i="48" s="1"/>
  <c r="C122" i="48"/>
  <c r="Q121" i="48" a="1"/>
  <c r="Q121" i="48" s="1"/>
  <c r="C121" i="48"/>
  <c r="Q120" i="48" a="1"/>
  <c r="Q120" i="48" s="1"/>
  <c r="C120" i="48"/>
  <c r="Q119" i="48" a="1"/>
  <c r="Q119" i="48" s="1"/>
  <c r="C119" i="48"/>
  <c r="Q118" i="48" a="1"/>
  <c r="Q118" i="48" s="1"/>
  <c r="C118" i="48"/>
  <c r="Q117" i="48" a="1"/>
  <c r="Q117" i="48" s="1"/>
  <c r="C117" i="48"/>
  <c r="Q116" i="48" a="1"/>
  <c r="Q116" i="48" s="1"/>
  <c r="C116" i="48"/>
  <c r="Q115" i="48" a="1"/>
  <c r="Q115" i="48" s="1"/>
  <c r="C115" i="48"/>
  <c r="Q114" i="48" a="1"/>
  <c r="Q114" i="48" s="1"/>
  <c r="C114" i="48"/>
  <c r="Q113" i="48" a="1"/>
  <c r="Q113" i="48" s="1"/>
  <c r="C113" i="48"/>
  <c r="Q112" i="48" a="1"/>
  <c r="Q112" i="48" s="1"/>
  <c r="C112" i="48"/>
  <c r="Q111" i="48" a="1"/>
  <c r="Q111" i="48" s="1"/>
  <c r="C111" i="48"/>
  <c r="Q110" i="48" a="1"/>
  <c r="Q110" i="48" s="1"/>
  <c r="C110" i="48"/>
  <c r="Q109" i="48" a="1"/>
  <c r="Q109" i="48" s="1"/>
  <c r="C109" i="48"/>
  <c r="Q108" i="48" a="1"/>
  <c r="Q108" i="48" s="1"/>
  <c r="C108" i="48"/>
  <c r="Q107" i="48" a="1"/>
  <c r="Q107" i="48" s="1"/>
  <c r="C107" i="48"/>
  <c r="Q106" i="48" a="1"/>
  <c r="Q106" i="48" s="1"/>
  <c r="C106" i="48"/>
  <c r="Q105" i="48" a="1"/>
  <c r="Q105" i="48" s="1"/>
  <c r="C105" i="48"/>
  <c r="Q104" i="48" a="1"/>
  <c r="Q104" i="48" s="1"/>
  <c r="C104" i="48"/>
  <c r="Q103" i="48" a="1"/>
  <c r="Q103" i="48" s="1"/>
  <c r="C103" i="48"/>
  <c r="Q102" i="48" a="1"/>
  <c r="Q102" i="48" s="1"/>
  <c r="C102" i="48"/>
  <c r="Q101" i="48" a="1"/>
  <c r="Q101" i="48" s="1"/>
  <c r="C101" i="48"/>
  <c r="Q100" i="48" a="1"/>
  <c r="Q100" i="48" s="1"/>
  <c r="C100" i="48"/>
  <c r="Q99" i="48" a="1"/>
  <c r="Q99" i="48" s="1"/>
  <c r="C99" i="48"/>
  <c r="Q98" i="48" a="1"/>
  <c r="Q98" i="48" s="1"/>
  <c r="C98" i="48"/>
  <c r="Q97" i="48" a="1"/>
  <c r="Q97" i="48" s="1"/>
  <c r="C97" i="48"/>
  <c r="Q96" i="48" a="1"/>
  <c r="Q96" i="48" s="1"/>
  <c r="C96" i="48"/>
  <c r="Q95" i="48" a="1"/>
  <c r="Q95" i="48" s="1"/>
  <c r="C95" i="48"/>
  <c r="Q94" i="48" a="1"/>
  <c r="Q94" i="48" s="1"/>
  <c r="C94" i="48"/>
  <c r="Q93" i="48" a="1"/>
  <c r="Q93" i="48" s="1"/>
  <c r="C93" i="48"/>
  <c r="Q92" i="48" a="1"/>
  <c r="Q92" i="48" s="1"/>
  <c r="C92" i="48"/>
  <c r="Q91" i="48" a="1"/>
  <c r="Q91" i="48" s="1"/>
  <c r="C91" i="48"/>
  <c r="Q90" i="48" a="1"/>
  <c r="Q90" i="48" s="1"/>
  <c r="C90" i="48"/>
  <c r="Q89" i="48" a="1"/>
  <c r="Q89" i="48" s="1"/>
  <c r="C89" i="48"/>
  <c r="Q88" i="48" a="1"/>
  <c r="Q88" i="48" s="1"/>
  <c r="C88" i="48"/>
  <c r="Q87" i="48" a="1"/>
  <c r="Q87" i="48" s="1"/>
  <c r="C87" i="48"/>
  <c r="Q86" i="48" a="1"/>
  <c r="Q86" i="48" s="1"/>
  <c r="C86" i="48"/>
  <c r="Q85" i="48" a="1"/>
  <c r="Q85" i="48" s="1"/>
  <c r="C85" i="48"/>
  <c r="Q84" i="48" a="1"/>
  <c r="Q84" i="48" s="1"/>
  <c r="C84" i="48"/>
  <c r="Q83" i="48" a="1"/>
  <c r="Q83" i="48" s="1"/>
  <c r="C83" i="48"/>
  <c r="Q82" i="48" a="1"/>
  <c r="Q82" i="48" s="1"/>
  <c r="C82" i="48"/>
  <c r="Q81" i="48" a="1"/>
  <c r="Q81" i="48" s="1"/>
  <c r="C81" i="48"/>
  <c r="Q80" i="48" a="1"/>
  <c r="Q80" i="48" s="1"/>
  <c r="C80" i="48"/>
  <c r="Q79" i="48" a="1"/>
  <c r="Q79" i="48" s="1"/>
  <c r="C79" i="48"/>
  <c r="Q78" i="48" a="1"/>
  <c r="Q78" i="48" s="1"/>
  <c r="C78" i="48"/>
  <c r="Q77" i="48" a="1"/>
  <c r="Q77" i="48" s="1"/>
  <c r="C77" i="48"/>
  <c r="Q76" i="48" a="1"/>
  <c r="Q76" i="48" s="1"/>
  <c r="C76" i="48"/>
  <c r="C438" i="47"/>
  <c r="C437" i="47"/>
  <c r="C436" i="47"/>
  <c r="C435" i="47"/>
  <c r="C434" i="47"/>
  <c r="C433" i="47"/>
  <c r="C432" i="47"/>
  <c r="C431" i="47"/>
  <c r="C430" i="47"/>
  <c r="C429" i="47"/>
  <c r="C428" i="47"/>
  <c r="C427" i="47"/>
  <c r="C426" i="47"/>
  <c r="C425" i="47"/>
  <c r="C424" i="47"/>
  <c r="C423" i="47"/>
  <c r="C422" i="47"/>
  <c r="C421" i="47"/>
  <c r="C420" i="47"/>
  <c r="C419" i="47"/>
  <c r="C418" i="47"/>
  <c r="C417" i="47"/>
  <c r="C416" i="47"/>
  <c r="C415" i="47"/>
  <c r="C414" i="47"/>
  <c r="C413" i="47"/>
  <c r="C412" i="47"/>
  <c r="C411" i="47"/>
  <c r="C410" i="47"/>
  <c r="C409" i="47"/>
  <c r="C408" i="47"/>
  <c r="C407" i="47"/>
  <c r="C406" i="47"/>
  <c r="C405" i="47"/>
  <c r="C404" i="47"/>
  <c r="C403" i="47"/>
  <c r="C402" i="47"/>
  <c r="C401" i="47"/>
  <c r="C400" i="47"/>
  <c r="C399" i="47"/>
  <c r="C398" i="47"/>
  <c r="C397" i="47"/>
  <c r="C396" i="47"/>
  <c r="C395" i="47"/>
  <c r="C394" i="47"/>
  <c r="C393" i="47"/>
  <c r="C392" i="47"/>
  <c r="C391" i="47"/>
  <c r="C390" i="47"/>
  <c r="C389" i="47"/>
  <c r="C388" i="47"/>
  <c r="C387" i="47"/>
  <c r="C386" i="47"/>
  <c r="C385" i="47"/>
  <c r="C384" i="47"/>
  <c r="C383" i="47"/>
  <c r="C382" i="47"/>
  <c r="C381" i="47"/>
  <c r="C380" i="47"/>
  <c r="C379" i="47"/>
  <c r="C378" i="47"/>
  <c r="C377" i="47"/>
  <c r="C376" i="47"/>
  <c r="C375" i="47"/>
  <c r="C374" i="47"/>
  <c r="C373" i="47"/>
  <c r="C372" i="47"/>
  <c r="C371" i="47"/>
  <c r="C370" i="47"/>
  <c r="C369" i="47"/>
  <c r="C368" i="47"/>
  <c r="C367" i="47"/>
  <c r="C366" i="47"/>
  <c r="C365" i="47"/>
  <c r="C364" i="47"/>
  <c r="C363" i="47"/>
  <c r="C362" i="47"/>
  <c r="C361" i="47"/>
  <c r="C360" i="47"/>
  <c r="C359" i="47"/>
  <c r="C358" i="47"/>
  <c r="C357" i="47"/>
  <c r="C356" i="47"/>
  <c r="C355" i="47"/>
  <c r="C354" i="47"/>
  <c r="C353" i="47"/>
  <c r="C352" i="47"/>
  <c r="C351" i="47"/>
  <c r="C350" i="47"/>
  <c r="C349" i="47"/>
  <c r="C348" i="47"/>
  <c r="C347" i="47"/>
  <c r="C346" i="47"/>
  <c r="C345" i="47"/>
  <c r="C344" i="47"/>
  <c r="C343" i="47"/>
  <c r="C342" i="47"/>
  <c r="C341" i="47"/>
  <c r="C340" i="47"/>
  <c r="C339" i="47"/>
  <c r="C338" i="47"/>
  <c r="C337" i="47"/>
  <c r="C336" i="47"/>
  <c r="C335" i="47"/>
  <c r="C334" i="47"/>
  <c r="C333" i="47"/>
  <c r="C332" i="47"/>
  <c r="C331" i="47"/>
  <c r="C330" i="47"/>
  <c r="C329" i="47"/>
  <c r="C328" i="47"/>
  <c r="C327" i="47"/>
  <c r="C326" i="47"/>
  <c r="C325" i="47"/>
  <c r="C324" i="47"/>
  <c r="C323" i="47"/>
  <c r="C322" i="47"/>
  <c r="C321" i="47"/>
  <c r="C320" i="47"/>
  <c r="C319" i="47"/>
  <c r="C318" i="47"/>
  <c r="C317" i="47"/>
  <c r="C316" i="47"/>
  <c r="C315" i="47"/>
  <c r="C314" i="47"/>
  <c r="C313" i="47"/>
  <c r="C312" i="47"/>
  <c r="C311" i="47"/>
  <c r="C310" i="47"/>
  <c r="C309" i="47"/>
  <c r="C308" i="47"/>
  <c r="C307" i="47"/>
  <c r="C306" i="47"/>
  <c r="C305" i="47"/>
  <c r="C304" i="47"/>
  <c r="C303" i="47"/>
  <c r="C302" i="47"/>
  <c r="C301" i="47"/>
  <c r="C300" i="47"/>
  <c r="C299" i="47"/>
  <c r="C298" i="47"/>
  <c r="C297" i="47"/>
  <c r="C296" i="47"/>
  <c r="C295" i="47"/>
  <c r="C294" i="47"/>
  <c r="C293" i="47"/>
  <c r="C292" i="47"/>
  <c r="C291" i="47"/>
  <c r="C290" i="47"/>
  <c r="C289" i="47"/>
  <c r="C288" i="47"/>
  <c r="C287" i="47"/>
  <c r="C286" i="47"/>
  <c r="C285" i="47"/>
  <c r="C284" i="47"/>
  <c r="C283" i="47"/>
  <c r="C282" i="47"/>
  <c r="C281" i="47"/>
  <c r="C280" i="47"/>
  <c r="C279" i="47"/>
  <c r="C278" i="47"/>
  <c r="C277" i="47"/>
  <c r="C276" i="47"/>
  <c r="C275" i="47"/>
  <c r="C274" i="47"/>
  <c r="C273" i="47"/>
  <c r="C272" i="47"/>
  <c r="C271" i="47"/>
  <c r="C270" i="47"/>
  <c r="C269" i="47"/>
  <c r="C268" i="47"/>
  <c r="C267" i="47"/>
  <c r="C266" i="47"/>
  <c r="C265" i="47"/>
  <c r="C264" i="47"/>
  <c r="C263" i="47"/>
  <c r="C262" i="47"/>
  <c r="C261" i="47"/>
  <c r="C260" i="47"/>
  <c r="C259" i="47"/>
  <c r="C258" i="47"/>
  <c r="C257" i="47"/>
  <c r="C256" i="47"/>
  <c r="C255" i="47"/>
  <c r="C254" i="47"/>
  <c r="C253" i="47"/>
  <c r="C252" i="47"/>
  <c r="C251" i="47"/>
  <c r="C250" i="47"/>
  <c r="C249" i="47"/>
  <c r="C248" i="47"/>
  <c r="C247" i="47"/>
  <c r="C246" i="47"/>
  <c r="C245" i="47"/>
  <c r="C244" i="47"/>
  <c r="C243" i="47"/>
  <c r="C242" i="47"/>
  <c r="C241" i="47"/>
  <c r="C240" i="47"/>
  <c r="C239" i="47"/>
  <c r="C238" i="47"/>
  <c r="C237" i="47"/>
  <c r="C236" i="47"/>
  <c r="C235" i="47"/>
  <c r="C234" i="47"/>
  <c r="C233" i="47"/>
  <c r="C232" i="47"/>
  <c r="C231" i="47"/>
  <c r="C230" i="47"/>
  <c r="C229" i="47"/>
  <c r="C228" i="47"/>
  <c r="C227" i="47"/>
  <c r="C226" i="47"/>
  <c r="C225" i="47"/>
  <c r="C224" i="47"/>
  <c r="C223" i="47"/>
  <c r="C222" i="47"/>
  <c r="C221" i="47"/>
  <c r="C220" i="47"/>
  <c r="C219" i="47"/>
  <c r="C218" i="47"/>
  <c r="C217" i="47"/>
  <c r="C216" i="47"/>
  <c r="C215" i="47"/>
  <c r="C214" i="47"/>
  <c r="C213" i="47"/>
  <c r="C212" i="47"/>
  <c r="C211" i="47"/>
  <c r="C210" i="47"/>
  <c r="C209" i="47"/>
  <c r="C208" i="47"/>
  <c r="C207" i="47"/>
  <c r="C206" i="47"/>
  <c r="C205" i="47"/>
  <c r="C204" i="47"/>
  <c r="C203" i="47"/>
  <c r="C202" i="47"/>
  <c r="C201" i="47"/>
  <c r="C200" i="47"/>
  <c r="C199" i="47"/>
  <c r="C198" i="47"/>
  <c r="C197" i="47"/>
  <c r="C196" i="47"/>
  <c r="C195" i="47"/>
  <c r="C194" i="47"/>
  <c r="C193" i="47"/>
  <c r="C192" i="47"/>
  <c r="C191" i="47"/>
  <c r="C190" i="47"/>
  <c r="C189" i="47"/>
  <c r="C188" i="47"/>
  <c r="C187" i="47"/>
  <c r="C186" i="47"/>
  <c r="C185" i="47"/>
  <c r="C184" i="47"/>
  <c r="C183" i="47"/>
  <c r="C182" i="47"/>
  <c r="C181" i="47"/>
  <c r="C180" i="47"/>
  <c r="C179" i="47"/>
  <c r="C178" i="47"/>
  <c r="C177" i="47"/>
  <c r="C176" i="47"/>
  <c r="C175" i="47"/>
  <c r="C174" i="47"/>
  <c r="C173" i="47"/>
  <c r="C172" i="47"/>
  <c r="C171" i="47"/>
  <c r="C170" i="47"/>
  <c r="C169" i="47"/>
  <c r="C168" i="47"/>
  <c r="C167" i="47"/>
  <c r="C166" i="47"/>
  <c r="C165" i="47"/>
  <c r="C164" i="47"/>
  <c r="C163" i="47"/>
  <c r="C162" i="47"/>
  <c r="C161" i="47"/>
  <c r="C160" i="47"/>
  <c r="C159" i="47"/>
  <c r="C158" i="47"/>
  <c r="C157" i="47"/>
  <c r="C156" i="47"/>
  <c r="C155" i="47"/>
  <c r="C154" i="47"/>
  <c r="C153" i="47"/>
  <c r="C152" i="47"/>
  <c r="C151" i="47"/>
  <c r="C150" i="47"/>
  <c r="C149" i="47"/>
  <c r="C148" i="47"/>
  <c r="C147" i="47"/>
  <c r="C146" i="47"/>
  <c r="C145" i="47"/>
  <c r="C144" i="47"/>
  <c r="C143" i="47"/>
  <c r="C142" i="47"/>
  <c r="C141" i="47"/>
  <c r="C140" i="47"/>
  <c r="C139" i="47"/>
  <c r="C138" i="47"/>
  <c r="C137" i="47"/>
  <c r="C136" i="47"/>
  <c r="C135" i="47"/>
  <c r="C134" i="47"/>
  <c r="C133" i="47"/>
  <c r="C132" i="47"/>
  <c r="C131" i="47"/>
  <c r="C130" i="47"/>
  <c r="C129" i="47"/>
  <c r="C128" i="47"/>
  <c r="C127" i="47"/>
  <c r="C126" i="47"/>
  <c r="C125" i="47"/>
  <c r="C124" i="47"/>
  <c r="C123" i="47"/>
  <c r="C122" i="47"/>
  <c r="C121" i="47"/>
  <c r="C120" i="47"/>
  <c r="C119" i="47"/>
  <c r="C118" i="47"/>
  <c r="C117" i="47"/>
  <c r="C116" i="47"/>
  <c r="C115" i="47"/>
  <c r="C114" i="47"/>
  <c r="C113" i="47"/>
  <c r="C112" i="47"/>
  <c r="C111" i="47"/>
  <c r="C110" i="47"/>
  <c r="C109" i="47"/>
  <c r="C108" i="47"/>
  <c r="C107" i="47"/>
  <c r="C106" i="47"/>
  <c r="C105" i="47"/>
  <c r="C104" i="47"/>
  <c r="C103" i="47"/>
  <c r="C102" i="47"/>
  <c r="C101" i="47"/>
  <c r="C100" i="47"/>
  <c r="C99" i="47"/>
  <c r="C98" i="47"/>
  <c r="C97" i="47"/>
  <c r="C96" i="47"/>
  <c r="C95" i="47"/>
  <c r="C94" i="47"/>
  <c r="C93" i="47"/>
  <c r="C92" i="47"/>
  <c r="C91" i="47"/>
  <c r="C90" i="47"/>
  <c r="C89" i="47"/>
  <c r="C88" i="47"/>
  <c r="C87" i="47"/>
  <c r="C86" i="47"/>
  <c r="C85" i="47"/>
  <c r="C84" i="47"/>
  <c r="C83" i="47"/>
  <c r="C82" i="47"/>
  <c r="C81" i="47"/>
  <c r="C80" i="47"/>
  <c r="C79" i="47"/>
  <c r="C78" i="47"/>
  <c r="C77" i="47"/>
  <c r="C76" i="47"/>
  <c r="Q438" i="46" a="1"/>
  <c r="Q438" i="46" s="1"/>
  <c r="C438" i="46"/>
  <c r="Q437" i="46" a="1"/>
  <c r="Q437" i="46" s="1"/>
  <c r="C437" i="46"/>
  <c r="Q436" i="46" a="1"/>
  <c r="Q436" i="46" s="1"/>
  <c r="C436" i="46"/>
  <c r="Q435" i="46" a="1"/>
  <c r="Q435" i="46" s="1"/>
  <c r="C435" i="46"/>
  <c r="Q434" i="46" a="1"/>
  <c r="Q434" i="46" s="1"/>
  <c r="C434" i="46"/>
  <c r="Q433" i="46" a="1"/>
  <c r="Q433" i="46" s="1"/>
  <c r="C433" i="46"/>
  <c r="Q432" i="46" a="1"/>
  <c r="Q432" i="46" s="1"/>
  <c r="C432" i="46"/>
  <c r="Q431" i="46" a="1"/>
  <c r="Q431" i="46" s="1"/>
  <c r="C431" i="46"/>
  <c r="Q430" i="46" a="1"/>
  <c r="Q430" i="46" s="1"/>
  <c r="C430" i="46"/>
  <c r="Q429" i="46" a="1"/>
  <c r="Q429" i="46" s="1"/>
  <c r="C429" i="46"/>
  <c r="Q428" i="46" a="1"/>
  <c r="Q428" i="46" s="1"/>
  <c r="C428" i="46"/>
  <c r="Q427" i="46" a="1"/>
  <c r="Q427" i="46" s="1"/>
  <c r="C427" i="46"/>
  <c r="Q426" i="46" a="1"/>
  <c r="Q426" i="46" s="1"/>
  <c r="C426" i="46"/>
  <c r="Q425" i="46" a="1"/>
  <c r="Q425" i="46" s="1"/>
  <c r="C425" i="46"/>
  <c r="Q424" i="46" a="1"/>
  <c r="Q424" i="46" s="1"/>
  <c r="C424" i="46"/>
  <c r="Q423" i="46" a="1"/>
  <c r="Q423" i="46" s="1"/>
  <c r="C423" i="46"/>
  <c r="Q422" i="46" a="1"/>
  <c r="Q422" i="46" s="1"/>
  <c r="C422" i="46"/>
  <c r="Q421" i="46" a="1"/>
  <c r="Q421" i="46" s="1"/>
  <c r="C421" i="46"/>
  <c r="Q420" i="46" a="1"/>
  <c r="Q420" i="46" s="1"/>
  <c r="C420" i="46"/>
  <c r="Q419" i="46" a="1"/>
  <c r="Q419" i="46" s="1"/>
  <c r="C419" i="46"/>
  <c r="Q418" i="46" a="1"/>
  <c r="Q418" i="46" s="1"/>
  <c r="C418" i="46"/>
  <c r="Q417" i="46" a="1"/>
  <c r="Q417" i="46" s="1"/>
  <c r="C417" i="46"/>
  <c r="Q416" i="46" a="1"/>
  <c r="Q416" i="46" s="1"/>
  <c r="C416" i="46"/>
  <c r="Q415" i="46" a="1"/>
  <c r="Q415" i="46" s="1"/>
  <c r="C415" i="46"/>
  <c r="Q414" i="46" a="1"/>
  <c r="Q414" i="46" s="1"/>
  <c r="C414" i="46"/>
  <c r="Q413" i="46" a="1"/>
  <c r="Q413" i="46" s="1"/>
  <c r="C413" i="46"/>
  <c r="Q412" i="46" a="1"/>
  <c r="Q412" i="46" s="1"/>
  <c r="C412" i="46"/>
  <c r="Q411" i="46" a="1"/>
  <c r="Q411" i="46" s="1"/>
  <c r="C411" i="46"/>
  <c r="Q410" i="46" a="1"/>
  <c r="Q410" i="46" s="1"/>
  <c r="C410" i="46"/>
  <c r="Q409" i="46" a="1"/>
  <c r="Q409" i="46" s="1"/>
  <c r="C409" i="46"/>
  <c r="Q408" i="46" a="1"/>
  <c r="Q408" i="46" s="1"/>
  <c r="C408" i="46"/>
  <c r="Q407" i="46" a="1"/>
  <c r="Q407" i="46" s="1"/>
  <c r="C407" i="46"/>
  <c r="Q406" i="46" a="1"/>
  <c r="Q406" i="46" s="1"/>
  <c r="C406" i="46"/>
  <c r="Q405" i="46" a="1"/>
  <c r="Q405" i="46" s="1"/>
  <c r="C405" i="46"/>
  <c r="Q404" i="46" a="1"/>
  <c r="Q404" i="46" s="1"/>
  <c r="C404" i="46"/>
  <c r="Q403" i="46" a="1"/>
  <c r="Q403" i="46" s="1"/>
  <c r="C403" i="46"/>
  <c r="Q402" i="46" a="1"/>
  <c r="Q402" i="46" s="1"/>
  <c r="C402" i="46"/>
  <c r="Q401" i="46" a="1"/>
  <c r="Q401" i="46" s="1"/>
  <c r="C401" i="46"/>
  <c r="Q400" i="46" a="1"/>
  <c r="Q400" i="46" s="1"/>
  <c r="C400" i="46"/>
  <c r="Q399" i="46" a="1"/>
  <c r="Q399" i="46" s="1"/>
  <c r="C399" i="46"/>
  <c r="Q398" i="46" a="1"/>
  <c r="Q398" i="46" s="1"/>
  <c r="C398" i="46"/>
  <c r="Q397" i="46" a="1"/>
  <c r="Q397" i="46" s="1"/>
  <c r="C397" i="46"/>
  <c r="Q396" i="46" a="1"/>
  <c r="Q396" i="46" s="1"/>
  <c r="C396" i="46"/>
  <c r="Q395" i="46" a="1"/>
  <c r="Q395" i="46" s="1"/>
  <c r="C395" i="46"/>
  <c r="Q394" i="46" a="1"/>
  <c r="Q394" i="46" s="1"/>
  <c r="C394" i="46"/>
  <c r="Q393" i="46" a="1"/>
  <c r="Q393" i="46" s="1"/>
  <c r="C393" i="46"/>
  <c r="Q392" i="46" a="1"/>
  <c r="Q392" i="46" s="1"/>
  <c r="C392" i="46"/>
  <c r="Q391" i="46" a="1"/>
  <c r="Q391" i="46" s="1"/>
  <c r="C391" i="46"/>
  <c r="Q390" i="46" a="1"/>
  <c r="Q390" i="46" s="1"/>
  <c r="C390" i="46"/>
  <c r="Q389" i="46" a="1"/>
  <c r="Q389" i="46" s="1"/>
  <c r="C389" i="46"/>
  <c r="Q388" i="46" a="1"/>
  <c r="Q388" i="46" s="1"/>
  <c r="C388" i="46"/>
  <c r="Q387" i="46" a="1"/>
  <c r="Q387" i="46" s="1"/>
  <c r="C387" i="46"/>
  <c r="Q386" i="46" a="1"/>
  <c r="Q386" i="46" s="1"/>
  <c r="C386" i="46"/>
  <c r="Q385" i="46" a="1"/>
  <c r="Q385" i="46" s="1"/>
  <c r="C385" i="46"/>
  <c r="Q384" i="46" a="1"/>
  <c r="Q384" i="46" s="1"/>
  <c r="C384" i="46"/>
  <c r="Q383" i="46" a="1"/>
  <c r="Q383" i="46" s="1"/>
  <c r="C383" i="46"/>
  <c r="Q382" i="46" a="1"/>
  <c r="Q382" i="46" s="1"/>
  <c r="C382" i="46"/>
  <c r="Q381" i="46" a="1"/>
  <c r="Q381" i="46" s="1"/>
  <c r="C381" i="46"/>
  <c r="Q380" i="46" a="1"/>
  <c r="Q380" i="46" s="1"/>
  <c r="C380" i="46"/>
  <c r="Q379" i="46" a="1"/>
  <c r="Q379" i="46" s="1"/>
  <c r="C379" i="46"/>
  <c r="Q378" i="46" a="1"/>
  <c r="Q378" i="46" s="1"/>
  <c r="C378" i="46"/>
  <c r="Q377" i="46" a="1"/>
  <c r="Q377" i="46" s="1"/>
  <c r="C377" i="46"/>
  <c r="Q376" i="46" a="1"/>
  <c r="Q376" i="46" s="1"/>
  <c r="C376" i="46"/>
  <c r="Q375" i="46" a="1"/>
  <c r="Q375" i="46" s="1"/>
  <c r="C375" i="46"/>
  <c r="Q374" i="46" a="1"/>
  <c r="Q374" i="46" s="1"/>
  <c r="C374" i="46"/>
  <c r="Q373" i="46" a="1"/>
  <c r="Q373" i="46" s="1"/>
  <c r="C373" i="46"/>
  <c r="Q372" i="46" a="1"/>
  <c r="Q372" i="46" s="1"/>
  <c r="C372" i="46"/>
  <c r="Q371" i="46" a="1"/>
  <c r="Q371" i="46" s="1"/>
  <c r="C371" i="46"/>
  <c r="Q370" i="46" a="1"/>
  <c r="Q370" i="46" s="1"/>
  <c r="C370" i="46"/>
  <c r="Q369" i="46" a="1"/>
  <c r="Q369" i="46" s="1"/>
  <c r="C369" i="46"/>
  <c r="Q368" i="46" a="1"/>
  <c r="Q368" i="46" s="1"/>
  <c r="C368" i="46"/>
  <c r="Q367" i="46" a="1"/>
  <c r="Q367" i="46" s="1"/>
  <c r="C367" i="46"/>
  <c r="Q366" i="46" a="1"/>
  <c r="Q366" i="46" s="1"/>
  <c r="C366" i="46"/>
  <c r="Q365" i="46" a="1"/>
  <c r="Q365" i="46" s="1"/>
  <c r="C365" i="46"/>
  <c r="Q364" i="46" a="1"/>
  <c r="Q364" i="46" s="1"/>
  <c r="C364" i="46"/>
  <c r="Q363" i="46" a="1"/>
  <c r="Q363" i="46" s="1"/>
  <c r="C363" i="46"/>
  <c r="Q362" i="46" a="1"/>
  <c r="Q362" i="46" s="1"/>
  <c r="C362" i="46"/>
  <c r="Q361" i="46" a="1"/>
  <c r="Q361" i="46" s="1"/>
  <c r="C361" i="46"/>
  <c r="Q360" i="46" a="1"/>
  <c r="Q360" i="46" s="1"/>
  <c r="C360" i="46"/>
  <c r="Q359" i="46" a="1"/>
  <c r="Q359" i="46" s="1"/>
  <c r="C359" i="46"/>
  <c r="Q358" i="46" a="1"/>
  <c r="Q358" i="46" s="1"/>
  <c r="C358" i="46"/>
  <c r="Q357" i="46" a="1"/>
  <c r="Q357" i="46" s="1"/>
  <c r="C357" i="46"/>
  <c r="Q356" i="46" a="1"/>
  <c r="Q356" i="46" s="1"/>
  <c r="C356" i="46"/>
  <c r="Q355" i="46" a="1"/>
  <c r="Q355" i="46" s="1"/>
  <c r="C355" i="46"/>
  <c r="Q354" i="46" a="1"/>
  <c r="Q354" i="46" s="1"/>
  <c r="C354" i="46"/>
  <c r="Q353" i="46" a="1"/>
  <c r="Q353" i="46" s="1"/>
  <c r="C353" i="46"/>
  <c r="Q352" i="46" a="1"/>
  <c r="Q352" i="46" s="1"/>
  <c r="C352" i="46"/>
  <c r="Q351" i="46" a="1"/>
  <c r="Q351" i="46" s="1"/>
  <c r="C351" i="46"/>
  <c r="Q350" i="46" a="1"/>
  <c r="Q350" i="46" s="1"/>
  <c r="C350" i="46"/>
  <c r="Q349" i="46" a="1"/>
  <c r="Q349" i="46" s="1"/>
  <c r="C349" i="46"/>
  <c r="Q348" i="46" a="1"/>
  <c r="Q348" i="46" s="1"/>
  <c r="C348" i="46"/>
  <c r="Q347" i="46" a="1"/>
  <c r="Q347" i="46" s="1"/>
  <c r="C347" i="46"/>
  <c r="Q346" i="46" a="1"/>
  <c r="Q346" i="46" s="1"/>
  <c r="C346" i="46"/>
  <c r="Q345" i="46" a="1"/>
  <c r="Q345" i="46" s="1"/>
  <c r="C345" i="46"/>
  <c r="Q344" i="46" a="1"/>
  <c r="Q344" i="46" s="1"/>
  <c r="C344" i="46"/>
  <c r="Q343" i="46" a="1"/>
  <c r="Q343" i="46" s="1"/>
  <c r="C343" i="46"/>
  <c r="Q342" i="46" a="1"/>
  <c r="Q342" i="46" s="1"/>
  <c r="C342" i="46"/>
  <c r="Q341" i="46" a="1"/>
  <c r="Q341" i="46" s="1"/>
  <c r="C341" i="46"/>
  <c r="Q340" i="46" a="1"/>
  <c r="Q340" i="46" s="1"/>
  <c r="C340" i="46"/>
  <c r="Q339" i="46" a="1"/>
  <c r="Q339" i="46" s="1"/>
  <c r="C339" i="46"/>
  <c r="Q338" i="46" a="1"/>
  <c r="Q338" i="46" s="1"/>
  <c r="C338" i="46"/>
  <c r="Q337" i="46" a="1"/>
  <c r="Q337" i="46" s="1"/>
  <c r="C337" i="46"/>
  <c r="Q336" i="46" a="1"/>
  <c r="Q336" i="46" s="1"/>
  <c r="C336" i="46"/>
  <c r="Q335" i="46" a="1"/>
  <c r="Q335" i="46" s="1"/>
  <c r="C335" i="46"/>
  <c r="Q334" i="46" a="1"/>
  <c r="Q334" i="46" s="1"/>
  <c r="C334" i="46"/>
  <c r="Q333" i="46" a="1"/>
  <c r="Q333" i="46" s="1"/>
  <c r="C333" i="46"/>
  <c r="Q332" i="46" a="1"/>
  <c r="Q332" i="46" s="1"/>
  <c r="C332" i="46"/>
  <c r="Q331" i="46" a="1"/>
  <c r="Q331" i="46" s="1"/>
  <c r="C331" i="46"/>
  <c r="Q330" i="46" a="1"/>
  <c r="Q330" i="46" s="1"/>
  <c r="C330" i="46"/>
  <c r="Q329" i="46" a="1"/>
  <c r="Q329" i="46" s="1"/>
  <c r="C329" i="46"/>
  <c r="Q328" i="46" a="1"/>
  <c r="Q328" i="46" s="1"/>
  <c r="C328" i="46"/>
  <c r="Q327" i="46" a="1"/>
  <c r="Q327" i="46" s="1"/>
  <c r="C327" i="46"/>
  <c r="Q326" i="46" a="1"/>
  <c r="Q326" i="46" s="1"/>
  <c r="C326" i="46"/>
  <c r="Q325" i="46" a="1"/>
  <c r="Q325" i="46" s="1"/>
  <c r="C325" i="46"/>
  <c r="Q324" i="46" a="1"/>
  <c r="Q324" i="46" s="1"/>
  <c r="C324" i="46"/>
  <c r="Q323" i="46" a="1"/>
  <c r="Q323" i="46" s="1"/>
  <c r="C323" i="46"/>
  <c r="Q322" i="46" a="1"/>
  <c r="Q322" i="46" s="1"/>
  <c r="C322" i="46"/>
  <c r="Q321" i="46" a="1"/>
  <c r="Q321" i="46" s="1"/>
  <c r="C321" i="46"/>
  <c r="Q320" i="46" a="1"/>
  <c r="Q320" i="46" s="1"/>
  <c r="C320" i="46"/>
  <c r="Q319" i="46" a="1"/>
  <c r="Q319" i="46" s="1"/>
  <c r="C319" i="46"/>
  <c r="Q318" i="46" a="1"/>
  <c r="Q318" i="46" s="1"/>
  <c r="C318" i="46"/>
  <c r="Q317" i="46" a="1"/>
  <c r="Q317" i="46" s="1"/>
  <c r="C317" i="46"/>
  <c r="Q316" i="46" a="1"/>
  <c r="Q316" i="46" s="1"/>
  <c r="C316" i="46"/>
  <c r="Q315" i="46" a="1"/>
  <c r="Q315" i="46" s="1"/>
  <c r="C315" i="46"/>
  <c r="Q314" i="46" a="1"/>
  <c r="Q314" i="46" s="1"/>
  <c r="C314" i="46"/>
  <c r="Q313" i="46" a="1"/>
  <c r="Q313" i="46" s="1"/>
  <c r="C313" i="46"/>
  <c r="Q312" i="46" a="1"/>
  <c r="Q312" i="46" s="1"/>
  <c r="C312" i="46"/>
  <c r="Q311" i="46" a="1"/>
  <c r="Q311" i="46" s="1"/>
  <c r="C311" i="46"/>
  <c r="Q310" i="46" a="1"/>
  <c r="Q310" i="46" s="1"/>
  <c r="C310" i="46"/>
  <c r="Q309" i="46" a="1"/>
  <c r="Q309" i="46" s="1"/>
  <c r="C309" i="46"/>
  <c r="Q308" i="46" a="1"/>
  <c r="Q308" i="46" s="1"/>
  <c r="C308" i="46"/>
  <c r="Q307" i="46" a="1"/>
  <c r="Q307" i="46" s="1"/>
  <c r="C307" i="46"/>
  <c r="Q306" i="46" a="1"/>
  <c r="Q306" i="46" s="1"/>
  <c r="C306" i="46"/>
  <c r="Q305" i="46" a="1"/>
  <c r="Q305" i="46" s="1"/>
  <c r="C305" i="46"/>
  <c r="Q304" i="46" a="1"/>
  <c r="Q304" i="46" s="1"/>
  <c r="C304" i="46"/>
  <c r="Q303" i="46" a="1"/>
  <c r="Q303" i="46" s="1"/>
  <c r="C303" i="46"/>
  <c r="Q302" i="46" a="1"/>
  <c r="Q302" i="46" s="1"/>
  <c r="C302" i="46"/>
  <c r="Q301" i="46" a="1"/>
  <c r="Q301" i="46" s="1"/>
  <c r="C301" i="46"/>
  <c r="Q300" i="46" a="1"/>
  <c r="Q300" i="46" s="1"/>
  <c r="C300" i="46"/>
  <c r="Q299" i="46" a="1"/>
  <c r="Q299" i="46" s="1"/>
  <c r="C299" i="46"/>
  <c r="Q298" i="46" a="1"/>
  <c r="Q298" i="46" s="1"/>
  <c r="C298" i="46"/>
  <c r="Q297" i="46" a="1"/>
  <c r="Q297" i="46" s="1"/>
  <c r="C297" i="46"/>
  <c r="Q296" i="46" a="1"/>
  <c r="Q296" i="46" s="1"/>
  <c r="C296" i="46"/>
  <c r="Q295" i="46" a="1"/>
  <c r="Q295" i="46" s="1"/>
  <c r="C295" i="46"/>
  <c r="Q294" i="46" a="1"/>
  <c r="Q294" i="46" s="1"/>
  <c r="C294" i="46"/>
  <c r="Q293" i="46" a="1"/>
  <c r="Q293" i="46" s="1"/>
  <c r="C293" i="46"/>
  <c r="Q292" i="46" a="1"/>
  <c r="Q292" i="46" s="1"/>
  <c r="C292" i="46"/>
  <c r="Q291" i="46" a="1"/>
  <c r="Q291" i="46" s="1"/>
  <c r="C291" i="46"/>
  <c r="Q290" i="46" a="1"/>
  <c r="Q290" i="46" s="1"/>
  <c r="C290" i="46"/>
  <c r="Q289" i="46" a="1"/>
  <c r="Q289" i="46" s="1"/>
  <c r="C289" i="46"/>
  <c r="Q288" i="46" a="1"/>
  <c r="Q288" i="46" s="1"/>
  <c r="C288" i="46"/>
  <c r="Q287" i="46" a="1"/>
  <c r="Q287" i="46" s="1"/>
  <c r="C287" i="46"/>
  <c r="Q286" i="46" a="1"/>
  <c r="Q286" i="46" s="1"/>
  <c r="C286" i="46"/>
  <c r="Q285" i="46" a="1"/>
  <c r="Q285" i="46" s="1"/>
  <c r="C285" i="46"/>
  <c r="Q284" i="46" a="1"/>
  <c r="Q284" i="46" s="1"/>
  <c r="C284" i="46"/>
  <c r="Q283" i="46" a="1"/>
  <c r="Q283" i="46" s="1"/>
  <c r="C283" i="46"/>
  <c r="Q282" i="46" a="1"/>
  <c r="Q282" i="46" s="1"/>
  <c r="C282" i="46"/>
  <c r="Q281" i="46" a="1"/>
  <c r="Q281" i="46" s="1"/>
  <c r="C281" i="46"/>
  <c r="Q280" i="46" a="1"/>
  <c r="Q280" i="46" s="1"/>
  <c r="C280" i="46"/>
  <c r="Q279" i="46" a="1"/>
  <c r="Q279" i="46" s="1"/>
  <c r="C279" i="46"/>
  <c r="Q278" i="46" a="1"/>
  <c r="Q278" i="46" s="1"/>
  <c r="C278" i="46"/>
  <c r="Q277" i="46" a="1"/>
  <c r="Q277" i="46" s="1"/>
  <c r="C277" i="46"/>
  <c r="Q276" i="46" a="1"/>
  <c r="Q276" i="46" s="1"/>
  <c r="C276" i="46"/>
  <c r="Q275" i="46" a="1"/>
  <c r="Q275" i="46" s="1"/>
  <c r="C275" i="46"/>
  <c r="Q274" i="46" a="1"/>
  <c r="Q274" i="46" s="1"/>
  <c r="C274" i="46"/>
  <c r="Q273" i="46" a="1"/>
  <c r="Q273" i="46" s="1"/>
  <c r="C273" i="46"/>
  <c r="Q272" i="46" a="1"/>
  <c r="Q272" i="46" s="1"/>
  <c r="C272" i="46"/>
  <c r="Q271" i="46" a="1"/>
  <c r="Q271" i="46" s="1"/>
  <c r="C271" i="46"/>
  <c r="Q270" i="46" a="1"/>
  <c r="Q270" i="46" s="1"/>
  <c r="C270" i="46"/>
  <c r="Q269" i="46" a="1"/>
  <c r="Q269" i="46" s="1"/>
  <c r="C269" i="46"/>
  <c r="Q268" i="46" a="1"/>
  <c r="Q268" i="46" s="1"/>
  <c r="C268" i="46"/>
  <c r="Q267" i="46" a="1"/>
  <c r="Q267" i="46" s="1"/>
  <c r="C267" i="46"/>
  <c r="Q266" i="46" a="1"/>
  <c r="Q266" i="46" s="1"/>
  <c r="C266" i="46"/>
  <c r="Q265" i="46" a="1"/>
  <c r="Q265" i="46" s="1"/>
  <c r="C265" i="46"/>
  <c r="Q264" i="46" a="1"/>
  <c r="Q264" i="46" s="1"/>
  <c r="C264" i="46"/>
  <c r="Q263" i="46" a="1"/>
  <c r="Q263" i="46" s="1"/>
  <c r="C263" i="46"/>
  <c r="Q262" i="46" a="1"/>
  <c r="Q262" i="46" s="1"/>
  <c r="C262" i="46"/>
  <c r="Q261" i="46" a="1"/>
  <c r="Q261" i="46" s="1"/>
  <c r="C261" i="46"/>
  <c r="Q260" i="46" a="1"/>
  <c r="Q260" i="46" s="1"/>
  <c r="C260" i="46"/>
  <c r="Q259" i="46" a="1"/>
  <c r="Q259" i="46" s="1"/>
  <c r="C259" i="46"/>
  <c r="Q258" i="46" a="1"/>
  <c r="Q258" i="46" s="1"/>
  <c r="C258" i="46"/>
  <c r="Q257" i="46" a="1"/>
  <c r="Q257" i="46" s="1"/>
  <c r="C257" i="46"/>
  <c r="Q256" i="46" a="1"/>
  <c r="Q256" i="46" s="1"/>
  <c r="C256" i="46"/>
  <c r="Q255" i="46" a="1"/>
  <c r="Q255" i="46" s="1"/>
  <c r="C255" i="46"/>
  <c r="Q254" i="46" a="1"/>
  <c r="Q254" i="46" s="1"/>
  <c r="C254" i="46"/>
  <c r="Q253" i="46" a="1"/>
  <c r="Q253" i="46" s="1"/>
  <c r="C253" i="46"/>
  <c r="Q252" i="46" a="1"/>
  <c r="Q252" i="46" s="1"/>
  <c r="C252" i="46"/>
  <c r="Q251" i="46" a="1"/>
  <c r="Q251" i="46" s="1"/>
  <c r="C251" i="46"/>
  <c r="Q250" i="46" a="1"/>
  <c r="Q250" i="46" s="1"/>
  <c r="C250" i="46"/>
  <c r="Q249" i="46" a="1"/>
  <c r="Q249" i="46" s="1"/>
  <c r="C249" i="46"/>
  <c r="Q248" i="46" a="1"/>
  <c r="Q248" i="46" s="1"/>
  <c r="C248" i="46"/>
  <c r="Q247" i="46" a="1"/>
  <c r="Q247" i="46" s="1"/>
  <c r="C247" i="46"/>
  <c r="Q246" i="46" a="1"/>
  <c r="Q246" i="46" s="1"/>
  <c r="C246" i="46"/>
  <c r="Q245" i="46" a="1"/>
  <c r="Q245" i="46" s="1"/>
  <c r="C245" i="46"/>
  <c r="Q244" i="46" a="1"/>
  <c r="Q244" i="46" s="1"/>
  <c r="C244" i="46"/>
  <c r="Q243" i="46" a="1"/>
  <c r="Q243" i="46" s="1"/>
  <c r="C243" i="46"/>
  <c r="Q242" i="46" a="1"/>
  <c r="Q242" i="46" s="1"/>
  <c r="C242" i="46"/>
  <c r="Q241" i="46" a="1"/>
  <c r="Q241" i="46" s="1"/>
  <c r="C241" i="46"/>
  <c r="Q240" i="46" a="1"/>
  <c r="Q240" i="46" s="1"/>
  <c r="C240" i="46"/>
  <c r="Q239" i="46" a="1"/>
  <c r="Q239" i="46" s="1"/>
  <c r="C239" i="46"/>
  <c r="Q238" i="46" a="1"/>
  <c r="Q238" i="46" s="1"/>
  <c r="C238" i="46"/>
  <c r="Q237" i="46" a="1"/>
  <c r="Q237" i="46" s="1"/>
  <c r="C237" i="46"/>
  <c r="Q236" i="46" a="1"/>
  <c r="Q236" i="46" s="1"/>
  <c r="C236" i="46"/>
  <c r="Q235" i="46" a="1"/>
  <c r="Q235" i="46" s="1"/>
  <c r="C235" i="46"/>
  <c r="Q234" i="46" a="1"/>
  <c r="Q234" i="46" s="1"/>
  <c r="C234" i="46"/>
  <c r="Q233" i="46" a="1"/>
  <c r="Q233" i="46" s="1"/>
  <c r="C233" i="46"/>
  <c r="Q232" i="46" a="1"/>
  <c r="Q232" i="46" s="1"/>
  <c r="C232" i="46"/>
  <c r="Q231" i="46" a="1"/>
  <c r="Q231" i="46" s="1"/>
  <c r="C231" i="46"/>
  <c r="Q230" i="46" a="1"/>
  <c r="Q230" i="46" s="1"/>
  <c r="C230" i="46"/>
  <c r="Q229" i="46" a="1"/>
  <c r="Q229" i="46" s="1"/>
  <c r="C229" i="46"/>
  <c r="Q228" i="46" a="1"/>
  <c r="Q228" i="46" s="1"/>
  <c r="C228" i="46"/>
  <c r="Q227" i="46" a="1"/>
  <c r="Q227" i="46" s="1"/>
  <c r="C227" i="46"/>
  <c r="Q226" i="46" a="1"/>
  <c r="Q226" i="46" s="1"/>
  <c r="C226" i="46"/>
  <c r="Q225" i="46" a="1"/>
  <c r="Q225" i="46" s="1"/>
  <c r="C225" i="46"/>
  <c r="Q224" i="46" a="1"/>
  <c r="Q224" i="46" s="1"/>
  <c r="C224" i="46"/>
  <c r="Q223" i="46" a="1"/>
  <c r="Q223" i="46" s="1"/>
  <c r="C223" i="46"/>
  <c r="Q222" i="46" a="1"/>
  <c r="Q222" i="46" s="1"/>
  <c r="C222" i="46"/>
  <c r="Q221" i="46" a="1"/>
  <c r="Q221" i="46" s="1"/>
  <c r="C221" i="46"/>
  <c r="Q220" i="46" a="1"/>
  <c r="Q220" i="46" s="1"/>
  <c r="C220" i="46"/>
  <c r="Q219" i="46" a="1"/>
  <c r="Q219" i="46" s="1"/>
  <c r="C219" i="46"/>
  <c r="Q218" i="46" a="1"/>
  <c r="Q218" i="46" s="1"/>
  <c r="C218" i="46"/>
  <c r="Q217" i="46" a="1"/>
  <c r="Q217" i="46" s="1"/>
  <c r="C217" i="46"/>
  <c r="Q216" i="46" a="1"/>
  <c r="Q216" i="46" s="1"/>
  <c r="C216" i="46"/>
  <c r="Q215" i="46" a="1"/>
  <c r="Q215" i="46" s="1"/>
  <c r="C215" i="46"/>
  <c r="Q214" i="46" a="1"/>
  <c r="Q214" i="46" s="1"/>
  <c r="C214" i="46"/>
  <c r="Q213" i="46" a="1"/>
  <c r="Q213" i="46" s="1"/>
  <c r="C213" i="46"/>
  <c r="Q212" i="46" a="1"/>
  <c r="Q212" i="46" s="1"/>
  <c r="C212" i="46"/>
  <c r="Q211" i="46" a="1"/>
  <c r="Q211" i="46" s="1"/>
  <c r="C211" i="46"/>
  <c r="Q210" i="46" a="1"/>
  <c r="Q210" i="46" s="1"/>
  <c r="C210" i="46"/>
  <c r="Q209" i="46" a="1"/>
  <c r="Q209" i="46" s="1"/>
  <c r="C209" i="46"/>
  <c r="Q208" i="46" a="1"/>
  <c r="Q208" i="46" s="1"/>
  <c r="C208" i="46"/>
  <c r="Q207" i="46" a="1"/>
  <c r="Q207" i="46" s="1"/>
  <c r="C207" i="46"/>
  <c r="Q206" i="46" a="1"/>
  <c r="Q206" i="46" s="1"/>
  <c r="C206" i="46"/>
  <c r="Q205" i="46" a="1"/>
  <c r="Q205" i="46" s="1"/>
  <c r="C205" i="46"/>
  <c r="Q204" i="46" a="1"/>
  <c r="Q204" i="46" s="1"/>
  <c r="C204" i="46"/>
  <c r="Q203" i="46" a="1"/>
  <c r="Q203" i="46" s="1"/>
  <c r="C203" i="46"/>
  <c r="Q202" i="46" a="1"/>
  <c r="Q202" i="46" s="1"/>
  <c r="C202" i="46"/>
  <c r="Q201" i="46" a="1"/>
  <c r="Q201" i="46" s="1"/>
  <c r="C201" i="46"/>
  <c r="Q200" i="46" a="1"/>
  <c r="Q200" i="46" s="1"/>
  <c r="C200" i="46"/>
  <c r="Q199" i="46" a="1"/>
  <c r="Q199" i="46" s="1"/>
  <c r="C199" i="46"/>
  <c r="Q198" i="46" a="1"/>
  <c r="Q198" i="46" s="1"/>
  <c r="C198" i="46"/>
  <c r="Q197" i="46" a="1"/>
  <c r="Q197" i="46" s="1"/>
  <c r="C197" i="46"/>
  <c r="Q196" i="46" a="1"/>
  <c r="Q196" i="46" s="1"/>
  <c r="C196" i="46"/>
  <c r="Q195" i="46" a="1"/>
  <c r="Q195" i="46" s="1"/>
  <c r="C195" i="46"/>
  <c r="Q194" i="46" a="1"/>
  <c r="Q194" i="46" s="1"/>
  <c r="C194" i="46"/>
  <c r="Q193" i="46" a="1"/>
  <c r="Q193" i="46" s="1"/>
  <c r="C193" i="46"/>
  <c r="Q192" i="46" a="1"/>
  <c r="Q192" i="46" s="1"/>
  <c r="C192" i="46"/>
  <c r="Q191" i="46" a="1"/>
  <c r="Q191" i="46" s="1"/>
  <c r="C191" i="46"/>
  <c r="Q190" i="46" a="1"/>
  <c r="Q190" i="46" s="1"/>
  <c r="C190" i="46"/>
  <c r="Q189" i="46" a="1"/>
  <c r="Q189" i="46" s="1"/>
  <c r="C189" i="46"/>
  <c r="Q188" i="46" a="1"/>
  <c r="Q188" i="46" s="1"/>
  <c r="C188" i="46"/>
  <c r="Q187" i="46" a="1"/>
  <c r="Q187" i="46" s="1"/>
  <c r="C187" i="46"/>
  <c r="Q186" i="46" a="1"/>
  <c r="Q186" i="46" s="1"/>
  <c r="C186" i="46"/>
  <c r="Q185" i="46" a="1"/>
  <c r="Q185" i="46" s="1"/>
  <c r="C185" i="46"/>
  <c r="Q184" i="46" a="1"/>
  <c r="Q184" i="46" s="1"/>
  <c r="C184" i="46"/>
  <c r="Q183" i="46" a="1"/>
  <c r="Q183" i="46" s="1"/>
  <c r="C183" i="46"/>
  <c r="Q182" i="46" a="1"/>
  <c r="Q182" i="46" s="1"/>
  <c r="C182" i="46"/>
  <c r="Q181" i="46" a="1"/>
  <c r="Q181" i="46" s="1"/>
  <c r="C181" i="46"/>
  <c r="Q180" i="46" a="1"/>
  <c r="Q180" i="46" s="1"/>
  <c r="C180" i="46"/>
  <c r="Q179" i="46" a="1"/>
  <c r="Q179" i="46" s="1"/>
  <c r="C179" i="46"/>
  <c r="Q178" i="46" a="1"/>
  <c r="Q178" i="46" s="1"/>
  <c r="C178" i="46"/>
  <c r="Q177" i="46" a="1"/>
  <c r="Q177" i="46" s="1"/>
  <c r="C177" i="46"/>
  <c r="Q176" i="46" a="1"/>
  <c r="Q176" i="46" s="1"/>
  <c r="C176" i="46"/>
  <c r="Q175" i="46" a="1"/>
  <c r="Q175" i="46" s="1"/>
  <c r="C175" i="46"/>
  <c r="Q174" i="46" a="1"/>
  <c r="Q174" i="46" s="1"/>
  <c r="C174" i="46"/>
  <c r="Q173" i="46" a="1"/>
  <c r="Q173" i="46" s="1"/>
  <c r="C173" i="46"/>
  <c r="Q172" i="46" a="1"/>
  <c r="Q172" i="46" s="1"/>
  <c r="C172" i="46"/>
  <c r="Q171" i="46" a="1"/>
  <c r="Q171" i="46" s="1"/>
  <c r="C171" i="46"/>
  <c r="Q170" i="46" a="1"/>
  <c r="Q170" i="46" s="1"/>
  <c r="C170" i="46"/>
  <c r="Q169" i="46" a="1"/>
  <c r="Q169" i="46" s="1"/>
  <c r="C169" i="46"/>
  <c r="Q168" i="46" a="1"/>
  <c r="Q168" i="46" s="1"/>
  <c r="C168" i="46"/>
  <c r="Q167" i="46" a="1"/>
  <c r="Q167" i="46" s="1"/>
  <c r="C167" i="46"/>
  <c r="Q166" i="46" a="1"/>
  <c r="Q166" i="46" s="1"/>
  <c r="C166" i="46"/>
  <c r="Q165" i="46" a="1"/>
  <c r="Q165" i="46" s="1"/>
  <c r="C165" i="46"/>
  <c r="Q164" i="46" a="1"/>
  <c r="Q164" i="46" s="1"/>
  <c r="C164" i="46"/>
  <c r="Q163" i="46" a="1"/>
  <c r="Q163" i="46" s="1"/>
  <c r="C163" i="46"/>
  <c r="Q162" i="46" a="1"/>
  <c r="Q162" i="46" s="1"/>
  <c r="C162" i="46"/>
  <c r="Q161" i="46" a="1"/>
  <c r="Q161" i="46" s="1"/>
  <c r="C161" i="46"/>
  <c r="Q160" i="46" a="1"/>
  <c r="Q160" i="46" s="1"/>
  <c r="C160" i="46"/>
  <c r="Q159" i="46" a="1"/>
  <c r="Q159" i="46" s="1"/>
  <c r="C159" i="46"/>
  <c r="Q158" i="46" a="1"/>
  <c r="Q158" i="46" s="1"/>
  <c r="C158" i="46"/>
  <c r="Q157" i="46" a="1"/>
  <c r="Q157" i="46" s="1"/>
  <c r="C157" i="46"/>
  <c r="Q156" i="46" a="1"/>
  <c r="Q156" i="46" s="1"/>
  <c r="C156" i="46"/>
  <c r="Q155" i="46" a="1"/>
  <c r="Q155" i="46" s="1"/>
  <c r="C155" i="46"/>
  <c r="Q154" i="46" a="1"/>
  <c r="Q154" i="46" s="1"/>
  <c r="C154" i="46"/>
  <c r="Q153" i="46" a="1"/>
  <c r="Q153" i="46" s="1"/>
  <c r="C153" i="46"/>
  <c r="Q152" i="46" a="1"/>
  <c r="Q152" i="46" s="1"/>
  <c r="C152" i="46"/>
  <c r="Q151" i="46" a="1"/>
  <c r="Q151" i="46" s="1"/>
  <c r="C151" i="46"/>
  <c r="Q150" i="46" a="1"/>
  <c r="Q150" i="46" s="1"/>
  <c r="C150" i="46"/>
  <c r="Q149" i="46" a="1"/>
  <c r="Q149" i="46" s="1"/>
  <c r="C149" i="46"/>
  <c r="Q148" i="46" a="1"/>
  <c r="Q148" i="46" s="1"/>
  <c r="C148" i="46"/>
  <c r="Q147" i="46" a="1"/>
  <c r="Q147" i="46" s="1"/>
  <c r="C147" i="46"/>
  <c r="Q146" i="46" a="1"/>
  <c r="Q146" i="46" s="1"/>
  <c r="C146" i="46"/>
  <c r="Q145" i="46" a="1"/>
  <c r="Q145" i="46" s="1"/>
  <c r="C145" i="46"/>
  <c r="Q144" i="46" a="1"/>
  <c r="Q144" i="46" s="1"/>
  <c r="C144" i="46"/>
  <c r="Q143" i="46" a="1"/>
  <c r="Q143" i="46" s="1"/>
  <c r="C143" i="46"/>
  <c r="Q142" i="46" a="1"/>
  <c r="Q142" i="46" s="1"/>
  <c r="C142" i="46"/>
  <c r="Q141" i="46" a="1"/>
  <c r="Q141" i="46" s="1"/>
  <c r="C141" i="46"/>
  <c r="Q140" i="46" a="1"/>
  <c r="Q140" i="46" s="1"/>
  <c r="C140" i="46"/>
  <c r="Q139" i="46" a="1"/>
  <c r="Q139" i="46" s="1"/>
  <c r="C139" i="46"/>
  <c r="Q138" i="46" a="1"/>
  <c r="Q138" i="46" s="1"/>
  <c r="C138" i="46"/>
  <c r="Q137" i="46" a="1"/>
  <c r="Q137" i="46" s="1"/>
  <c r="C137" i="46"/>
  <c r="Q136" i="46" a="1"/>
  <c r="Q136" i="46" s="1"/>
  <c r="C136" i="46"/>
  <c r="Q135" i="46" a="1"/>
  <c r="Q135" i="46" s="1"/>
  <c r="C135" i="46"/>
  <c r="Q134" i="46" a="1"/>
  <c r="Q134" i="46" s="1"/>
  <c r="C134" i="46"/>
  <c r="Q133" i="46" a="1"/>
  <c r="Q133" i="46" s="1"/>
  <c r="C133" i="46"/>
  <c r="Q132" i="46" a="1"/>
  <c r="Q132" i="46" s="1"/>
  <c r="C132" i="46"/>
  <c r="Q131" i="46" a="1"/>
  <c r="Q131" i="46" s="1"/>
  <c r="C131" i="46"/>
  <c r="Q130" i="46" a="1"/>
  <c r="Q130" i="46" s="1"/>
  <c r="C130" i="46"/>
  <c r="Q129" i="46" a="1"/>
  <c r="Q129" i="46" s="1"/>
  <c r="C129" i="46"/>
  <c r="Q128" i="46" a="1"/>
  <c r="Q128" i="46" s="1"/>
  <c r="C128" i="46"/>
  <c r="Q127" i="46" a="1"/>
  <c r="Q127" i="46" s="1"/>
  <c r="C127" i="46"/>
  <c r="Q126" i="46" a="1"/>
  <c r="Q126" i="46" s="1"/>
  <c r="C126" i="46"/>
  <c r="Q125" i="46" a="1"/>
  <c r="Q125" i="46" s="1"/>
  <c r="C125" i="46"/>
  <c r="Q124" i="46" a="1"/>
  <c r="Q124" i="46" s="1"/>
  <c r="C124" i="46"/>
  <c r="Q123" i="46" a="1"/>
  <c r="Q123" i="46" s="1"/>
  <c r="C123" i="46"/>
  <c r="Q122" i="46" a="1"/>
  <c r="Q122" i="46" s="1"/>
  <c r="C122" i="46"/>
  <c r="Q121" i="46" a="1"/>
  <c r="Q121" i="46" s="1"/>
  <c r="C121" i="46"/>
  <c r="Q120" i="46" a="1"/>
  <c r="Q120" i="46" s="1"/>
  <c r="C120" i="46"/>
  <c r="Q119" i="46" a="1"/>
  <c r="Q119" i="46" s="1"/>
  <c r="C119" i="46"/>
  <c r="Q118" i="46" a="1"/>
  <c r="Q118" i="46" s="1"/>
  <c r="C118" i="46"/>
  <c r="Q117" i="46" a="1"/>
  <c r="Q117" i="46" s="1"/>
  <c r="C117" i="46"/>
  <c r="Q116" i="46" a="1"/>
  <c r="Q116" i="46" s="1"/>
  <c r="C116" i="46"/>
  <c r="Q115" i="46" a="1"/>
  <c r="Q115" i="46" s="1"/>
  <c r="C115" i="46"/>
  <c r="Q114" i="46" a="1"/>
  <c r="Q114" i="46" s="1"/>
  <c r="C114" i="46"/>
  <c r="Q113" i="46" a="1"/>
  <c r="Q113" i="46" s="1"/>
  <c r="C113" i="46"/>
  <c r="Q112" i="46" a="1"/>
  <c r="Q112" i="46" s="1"/>
  <c r="C112" i="46"/>
  <c r="Q111" i="46" a="1"/>
  <c r="Q111" i="46" s="1"/>
  <c r="C111" i="46"/>
  <c r="Q110" i="46" a="1"/>
  <c r="Q110" i="46" s="1"/>
  <c r="C110" i="46"/>
  <c r="Q109" i="46" a="1"/>
  <c r="Q109" i="46" s="1"/>
  <c r="C109" i="46"/>
  <c r="Q108" i="46" a="1"/>
  <c r="Q108" i="46" s="1"/>
  <c r="C108" i="46"/>
  <c r="Q107" i="46" a="1"/>
  <c r="Q107" i="46" s="1"/>
  <c r="C107" i="46"/>
  <c r="Q106" i="46" a="1"/>
  <c r="Q106" i="46" s="1"/>
  <c r="C106" i="46"/>
  <c r="Q105" i="46" a="1"/>
  <c r="Q105" i="46" s="1"/>
  <c r="C105" i="46"/>
  <c r="Q104" i="46" a="1"/>
  <c r="Q104" i="46" s="1"/>
  <c r="C104" i="46"/>
  <c r="Q103" i="46" a="1"/>
  <c r="Q103" i="46" s="1"/>
  <c r="C103" i="46"/>
  <c r="Q102" i="46" a="1"/>
  <c r="Q102" i="46" s="1"/>
  <c r="C102" i="46"/>
  <c r="Q101" i="46" a="1"/>
  <c r="Q101" i="46" s="1"/>
  <c r="C101" i="46"/>
  <c r="Q100" i="46" a="1"/>
  <c r="Q100" i="46" s="1"/>
  <c r="C100" i="46"/>
  <c r="Q99" i="46" a="1"/>
  <c r="Q99" i="46" s="1"/>
  <c r="C99" i="46"/>
  <c r="Q98" i="46" a="1"/>
  <c r="Q98" i="46" s="1"/>
  <c r="C98" i="46"/>
  <c r="Q97" i="46" a="1"/>
  <c r="Q97" i="46" s="1"/>
  <c r="C97" i="46"/>
  <c r="Q96" i="46" a="1"/>
  <c r="Q96" i="46" s="1"/>
  <c r="C96" i="46"/>
  <c r="Q95" i="46" a="1"/>
  <c r="Q95" i="46" s="1"/>
  <c r="C95" i="46"/>
  <c r="Q94" i="46" a="1"/>
  <c r="Q94" i="46" s="1"/>
  <c r="C94" i="46"/>
  <c r="Q93" i="46" a="1"/>
  <c r="Q93" i="46" s="1"/>
  <c r="C93" i="46"/>
  <c r="Q92" i="46" a="1"/>
  <c r="Q92" i="46" s="1"/>
  <c r="C92" i="46"/>
  <c r="Q91" i="46" a="1"/>
  <c r="Q91" i="46" s="1"/>
  <c r="C91" i="46"/>
  <c r="Q90" i="46" a="1"/>
  <c r="Q90" i="46" s="1"/>
  <c r="C90" i="46"/>
  <c r="Q89" i="46" a="1"/>
  <c r="Q89" i="46" s="1"/>
  <c r="C89" i="46"/>
  <c r="Q88" i="46" a="1"/>
  <c r="Q88" i="46" s="1"/>
  <c r="C88" i="46"/>
  <c r="Q87" i="46" a="1"/>
  <c r="Q87" i="46" s="1"/>
  <c r="C87" i="46"/>
  <c r="Q86" i="46" a="1"/>
  <c r="Q86" i="46" s="1"/>
  <c r="C86" i="46"/>
  <c r="Q85" i="46" a="1"/>
  <c r="Q85" i="46" s="1"/>
  <c r="C85" i="46"/>
  <c r="Q84" i="46" a="1"/>
  <c r="Q84" i="46" s="1"/>
  <c r="C84" i="46"/>
  <c r="Q83" i="46" a="1"/>
  <c r="Q83" i="46" s="1"/>
  <c r="C83" i="46"/>
  <c r="Q82" i="46" a="1"/>
  <c r="Q82" i="46" s="1"/>
  <c r="C82" i="46"/>
  <c r="Q81" i="46" a="1"/>
  <c r="Q81" i="46" s="1"/>
  <c r="C81" i="46"/>
  <c r="Q80" i="46" a="1"/>
  <c r="Q80" i="46" s="1"/>
  <c r="C80" i="46"/>
  <c r="Q79" i="46" a="1"/>
  <c r="Q79" i="46" s="1"/>
  <c r="C79" i="46"/>
  <c r="Q78" i="46" a="1"/>
  <c r="Q78" i="46" s="1"/>
  <c r="C78" i="46"/>
  <c r="Q77" i="46" a="1"/>
  <c r="Q77" i="46" s="1"/>
  <c r="C77" i="46"/>
  <c r="Q76" i="46" a="1"/>
  <c r="Q76" i="46" s="1"/>
  <c r="C76" i="46"/>
  <c r="Q438" i="45" a="1"/>
  <c r="Q438" i="45" s="1"/>
  <c r="C438" i="45"/>
  <c r="Q437" i="45" a="1"/>
  <c r="Q437" i="45" s="1"/>
  <c r="C437" i="45"/>
  <c r="Q436" i="45" a="1"/>
  <c r="Q436" i="45" s="1"/>
  <c r="C436" i="45"/>
  <c r="Q435" i="45" a="1"/>
  <c r="Q435" i="45" s="1"/>
  <c r="C435" i="45"/>
  <c r="Q434" i="45" a="1"/>
  <c r="Q434" i="45" s="1"/>
  <c r="C434" i="45"/>
  <c r="Q433" i="45" a="1"/>
  <c r="Q433" i="45" s="1"/>
  <c r="C433" i="45"/>
  <c r="Q432" i="45" a="1"/>
  <c r="Q432" i="45" s="1"/>
  <c r="C432" i="45"/>
  <c r="Q431" i="45" a="1"/>
  <c r="Q431" i="45" s="1"/>
  <c r="C431" i="45"/>
  <c r="Q430" i="45" a="1"/>
  <c r="Q430" i="45" s="1"/>
  <c r="C430" i="45"/>
  <c r="Q429" i="45" a="1"/>
  <c r="Q429" i="45" s="1"/>
  <c r="C429" i="45"/>
  <c r="Q428" i="45" a="1"/>
  <c r="Q428" i="45" s="1"/>
  <c r="C428" i="45"/>
  <c r="Q427" i="45" a="1"/>
  <c r="Q427" i="45" s="1"/>
  <c r="C427" i="45"/>
  <c r="Q426" i="45" a="1"/>
  <c r="Q426" i="45" s="1"/>
  <c r="C426" i="45"/>
  <c r="Q425" i="45" a="1"/>
  <c r="Q425" i="45" s="1"/>
  <c r="C425" i="45"/>
  <c r="Q424" i="45" a="1"/>
  <c r="Q424" i="45" s="1"/>
  <c r="C424" i="45"/>
  <c r="Q423" i="45" a="1"/>
  <c r="Q423" i="45" s="1"/>
  <c r="C423" i="45"/>
  <c r="Q422" i="45" a="1"/>
  <c r="Q422" i="45" s="1"/>
  <c r="C422" i="45"/>
  <c r="Q421" i="45" a="1"/>
  <c r="Q421" i="45" s="1"/>
  <c r="C421" i="45"/>
  <c r="Q420" i="45" a="1"/>
  <c r="Q420" i="45" s="1"/>
  <c r="C420" i="45"/>
  <c r="Q419" i="45" a="1"/>
  <c r="Q419" i="45" s="1"/>
  <c r="C419" i="45"/>
  <c r="Q418" i="45" a="1"/>
  <c r="Q418" i="45" s="1"/>
  <c r="C418" i="45"/>
  <c r="Q417" i="45" a="1"/>
  <c r="Q417" i="45" s="1"/>
  <c r="C417" i="45"/>
  <c r="Q416" i="45" a="1"/>
  <c r="Q416" i="45" s="1"/>
  <c r="C416" i="45"/>
  <c r="Q415" i="45" a="1"/>
  <c r="Q415" i="45" s="1"/>
  <c r="C415" i="45"/>
  <c r="Q414" i="45" a="1"/>
  <c r="Q414" i="45" s="1"/>
  <c r="C414" i="45"/>
  <c r="Q413" i="45" a="1"/>
  <c r="Q413" i="45" s="1"/>
  <c r="C413" i="45"/>
  <c r="Q412" i="45" a="1"/>
  <c r="Q412" i="45" s="1"/>
  <c r="C412" i="45"/>
  <c r="Q411" i="45" a="1"/>
  <c r="Q411" i="45" s="1"/>
  <c r="C411" i="45"/>
  <c r="Q410" i="45" a="1"/>
  <c r="Q410" i="45" s="1"/>
  <c r="C410" i="45"/>
  <c r="Q409" i="45" a="1"/>
  <c r="Q409" i="45" s="1"/>
  <c r="C409" i="45"/>
  <c r="Q408" i="45" a="1"/>
  <c r="Q408" i="45" s="1"/>
  <c r="C408" i="45"/>
  <c r="Q407" i="45" a="1"/>
  <c r="Q407" i="45" s="1"/>
  <c r="C407" i="45"/>
  <c r="Q406" i="45" a="1"/>
  <c r="Q406" i="45" s="1"/>
  <c r="C406" i="45"/>
  <c r="Q405" i="45" a="1"/>
  <c r="Q405" i="45" s="1"/>
  <c r="C405" i="45"/>
  <c r="Q404" i="45" a="1"/>
  <c r="Q404" i="45" s="1"/>
  <c r="C404" i="45"/>
  <c r="Q403" i="45" a="1"/>
  <c r="Q403" i="45" s="1"/>
  <c r="C403" i="45"/>
  <c r="Q402" i="45" a="1"/>
  <c r="Q402" i="45" s="1"/>
  <c r="C402" i="45"/>
  <c r="Q401" i="45" a="1"/>
  <c r="Q401" i="45" s="1"/>
  <c r="C401" i="45"/>
  <c r="Q400" i="45" a="1"/>
  <c r="Q400" i="45" s="1"/>
  <c r="C400" i="45"/>
  <c r="Q399" i="45" a="1"/>
  <c r="Q399" i="45" s="1"/>
  <c r="C399" i="45"/>
  <c r="Q398" i="45" a="1"/>
  <c r="Q398" i="45" s="1"/>
  <c r="C398" i="45"/>
  <c r="Q397" i="45" a="1"/>
  <c r="Q397" i="45" s="1"/>
  <c r="C397" i="45"/>
  <c r="Q396" i="45" a="1"/>
  <c r="Q396" i="45" s="1"/>
  <c r="C396" i="45"/>
  <c r="Q395" i="45" a="1"/>
  <c r="Q395" i="45" s="1"/>
  <c r="C395" i="45"/>
  <c r="Q394" i="45" a="1"/>
  <c r="Q394" i="45" s="1"/>
  <c r="C394" i="45"/>
  <c r="Q393" i="45" a="1"/>
  <c r="Q393" i="45" s="1"/>
  <c r="C393" i="45"/>
  <c r="Q392" i="45" a="1"/>
  <c r="Q392" i="45" s="1"/>
  <c r="C392" i="45"/>
  <c r="Q391" i="45" a="1"/>
  <c r="Q391" i="45" s="1"/>
  <c r="C391" i="45"/>
  <c r="Q390" i="45" a="1"/>
  <c r="Q390" i="45" s="1"/>
  <c r="C390" i="45"/>
  <c r="Q389" i="45" a="1"/>
  <c r="Q389" i="45" s="1"/>
  <c r="C389" i="45"/>
  <c r="Q388" i="45" a="1"/>
  <c r="Q388" i="45" s="1"/>
  <c r="C388" i="45"/>
  <c r="Q387" i="45" a="1"/>
  <c r="Q387" i="45" s="1"/>
  <c r="C387" i="45"/>
  <c r="Q386" i="45" a="1"/>
  <c r="Q386" i="45" s="1"/>
  <c r="C386" i="45"/>
  <c r="Q385" i="45" a="1"/>
  <c r="Q385" i="45" s="1"/>
  <c r="C385" i="45"/>
  <c r="Q384" i="45" a="1"/>
  <c r="Q384" i="45" s="1"/>
  <c r="C384" i="45"/>
  <c r="Q383" i="45" a="1"/>
  <c r="Q383" i="45" s="1"/>
  <c r="C383" i="45"/>
  <c r="Q382" i="45" a="1"/>
  <c r="Q382" i="45" s="1"/>
  <c r="C382" i="45"/>
  <c r="Q381" i="45" a="1"/>
  <c r="Q381" i="45" s="1"/>
  <c r="C381" i="45"/>
  <c r="Q380" i="45" a="1"/>
  <c r="Q380" i="45" s="1"/>
  <c r="C380" i="45"/>
  <c r="Q379" i="45" a="1"/>
  <c r="Q379" i="45" s="1"/>
  <c r="C379" i="45"/>
  <c r="Q378" i="45" a="1"/>
  <c r="Q378" i="45" s="1"/>
  <c r="C378" i="45"/>
  <c r="Q377" i="45" a="1"/>
  <c r="Q377" i="45" s="1"/>
  <c r="C377" i="45"/>
  <c r="Q376" i="45" a="1"/>
  <c r="Q376" i="45" s="1"/>
  <c r="C376" i="45"/>
  <c r="Q375" i="45" a="1"/>
  <c r="Q375" i="45" s="1"/>
  <c r="C375" i="45"/>
  <c r="Q374" i="45" a="1"/>
  <c r="Q374" i="45" s="1"/>
  <c r="C374" i="45"/>
  <c r="Q373" i="45" a="1"/>
  <c r="Q373" i="45" s="1"/>
  <c r="C373" i="45"/>
  <c r="Q372" i="45" a="1"/>
  <c r="Q372" i="45" s="1"/>
  <c r="C372" i="45"/>
  <c r="Q371" i="45" a="1"/>
  <c r="Q371" i="45" s="1"/>
  <c r="C371" i="45"/>
  <c r="Q370" i="45" a="1"/>
  <c r="Q370" i="45" s="1"/>
  <c r="C370" i="45"/>
  <c r="Q369" i="45" a="1"/>
  <c r="Q369" i="45" s="1"/>
  <c r="C369" i="45"/>
  <c r="Q368" i="45" a="1"/>
  <c r="Q368" i="45" s="1"/>
  <c r="C368" i="45"/>
  <c r="Q367" i="45" a="1"/>
  <c r="Q367" i="45" s="1"/>
  <c r="C367" i="45"/>
  <c r="Q366" i="45" a="1"/>
  <c r="Q366" i="45" s="1"/>
  <c r="C366" i="45"/>
  <c r="Q365" i="45" a="1"/>
  <c r="Q365" i="45" s="1"/>
  <c r="C365" i="45"/>
  <c r="Q364" i="45" a="1"/>
  <c r="Q364" i="45" s="1"/>
  <c r="C364" i="45"/>
  <c r="Q363" i="45" a="1"/>
  <c r="Q363" i="45" s="1"/>
  <c r="C363" i="45"/>
  <c r="Q362" i="45" a="1"/>
  <c r="Q362" i="45" s="1"/>
  <c r="C362" i="45"/>
  <c r="Q361" i="45" a="1"/>
  <c r="Q361" i="45" s="1"/>
  <c r="C361" i="45"/>
  <c r="Q360" i="45" a="1"/>
  <c r="Q360" i="45" s="1"/>
  <c r="C360" i="45"/>
  <c r="Q359" i="45" a="1"/>
  <c r="Q359" i="45" s="1"/>
  <c r="C359" i="45"/>
  <c r="Q358" i="45" a="1"/>
  <c r="Q358" i="45" s="1"/>
  <c r="C358" i="45"/>
  <c r="Q357" i="45" a="1"/>
  <c r="Q357" i="45" s="1"/>
  <c r="C357" i="45"/>
  <c r="Q356" i="45" a="1"/>
  <c r="Q356" i="45" s="1"/>
  <c r="C356" i="45"/>
  <c r="Q355" i="45" a="1"/>
  <c r="Q355" i="45" s="1"/>
  <c r="C355" i="45"/>
  <c r="Q354" i="45" a="1"/>
  <c r="Q354" i="45" s="1"/>
  <c r="C354" i="45"/>
  <c r="Q353" i="45" a="1"/>
  <c r="Q353" i="45" s="1"/>
  <c r="C353" i="45"/>
  <c r="Q352" i="45" a="1"/>
  <c r="Q352" i="45" s="1"/>
  <c r="C352" i="45"/>
  <c r="Q351" i="45" a="1"/>
  <c r="Q351" i="45" s="1"/>
  <c r="C351" i="45"/>
  <c r="Q350" i="45" a="1"/>
  <c r="Q350" i="45" s="1"/>
  <c r="C350" i="45"/>
  <c r="Q349" i="45" a="1"/>
  <c r="Q349" i="45" s="1"/>
  <c r="C349" i="45"/>
  <c r="Q348" i="45" a="1"/>
  <c r="Q348" i="45" s="1"/>
  <c r="C348" i="45"/>
  <c r="Q347" i="45" a="1"/>
  <c r="Q347" i="45" s="1"/>
  <c r="C347" i="45"/>
  <c r="Q346" i="45" a="1"/>
  <c r="Q346" i="45" s="1"/>
  <c r="C346" i="45"/>
  <c r="Q345" i="45" a="1"/>
  <c r="Q345" i="45" s="1"/>
  <c r="C345" i="45"/>
  <c r="Q344" i="45" a="1"/>
  <c r="Q344" i="45" s="1"/>
  <c r="C344" i="45"/>
  <c r="Q343" i="45" a="1"/>
  <c r="Q343" i="45" s="1"/>
  <c r="C343" i="45"/>
  <c r="Q342" i="45" a="1"/>
  <c r="Q342" i="45" s="1"/>
  <c r="C342" i="45"/>
  <c r="Q341" i="45" a="1"/>
  <c r="Q341" i="45" s="1"/>
  <c r="C341" i="45"/>
  <c r="Q340" i="45" a="1"/>
  <c r="Q340" i="45" s="1"/>
  <c r="C340" i="45"/>
  <c r="Q339" i="45" a="1"/>
  <c r="Q339" i="45" s="1"/>
  <c r="C339" i="45"/>
  <c r="Q338" i="45" a="1"/>
  <c r="Q338" i="45" s="1"/>
  <c r="C338" i="45"/>
  <c r="Q337" i="45" a="1"/>
  <c r="Q337" i="45" s="1"/>
  <c r="C337" i="45"/>
  <c r="Q336" i="45" a="1"/>
  <c r="Q336" i="45" s="1"/>
  <c r="C336" i="45"/>
  <c r="Q335" i="45" a="1"/>
  <c r="Q335" i="45" s="1"/>
  <c r="C335" i="45"/>
  <c r="Q334" i="45" a="1"/>
  <c r="Q334" i="45" s="1"/>
  <c r="C334" i="45"/>
  <c r="Q333" i="45" a="1"/>
  <c r="Q333" i="45" s="1"/>
  <c r="C333" i="45"/>
  <c r="Q332" i="45" a="1"/>
  <c r="Q332" i="45" s="1"/>
  <c r="C332" i="45"/>
  <c r="Q331" i="45" a="1"/>
  <c r="Q331" i="45" s="1"/>
  <c r="C331" i="45"/>
  <c r="Q330" i="45" a="1"/>
  <c r="Q330" i="45" s="1"/>
  <c r="C330" i="45"/>
  <c r="Q329" i="45" a="1"/>
  <c r="Q329" i="45" s="1"/>
  <c r="C329" i="45"/>
  <c r="Q328" i="45" a="1"/>
  <c r="Q328" i="45" s="1"/>
  <c r="C328" i="45"/>
  <c r="Q327" i="45" a="1"/>
  <c r="Q327" i="45" s="1"/>
  <c r="C327" i="45"/>
  <c r="Q326" i="45" a="1"/>
  <c r="Q326" i="45" s="1"/>
  <c r="C326" i="45"/>
  <c r="Q325" i="45" a="1"/>
  <c r="Q325" i="45" s="1"/>
  <c r="C325" i="45"/>
  <c r="Q324" i="45" a="1"/>
  <c r="Q324" i="45" s="1"/>
  <c r="C324" i="45"/>
  <c r="Q323" i="45" a="1"/>
  <c r="Q323" i="45" s="1"/>
  <c r="C323" i="45"/>
  <c r="Q322" i="45" a="1"/>
  <c r="Q322" i="45" s="1"/>
  <c r="C322" i="45"/>
  <c r="Q321" i="45" a="1"/>
  <c r="Q321" i="45" s="1"/>
  <c r="C321" i="45"/>
  <c r="Q320" i="45" a="1"/>
  <c r="Q320" i="45" s="1"/>
  <c r="C320" i="45"/>
  <c r="Q319" i="45" a="1"/>
  <c r="Q319" i="45" s="1"/>
  <c r="C319" i="45"/>
  <c r="Q318" i="45" a="1"/>
  <c r="Q318" i="45" s="1"/>
  <c r="C318" i="45"/>
  <c r="Q317" i="45" a="1"/>
  <c r="Q317" i="45" s="1"/>
  <c r="C317" i="45"/>
  <c r="Q316" i="45" a="1"/>
  <c r="Q316" i="45" s="1"/>
  <c r="C316" i="45"/>
  <c r="Q315" i="45" a="1"/>
  <c r="Q315" i="45" s="1"/>
  <c r="C315" i="45"/>
  <c r="Q314" i="45" a="1"/>
  <c r="Q314" i="45" s="1"/>
  <c r="C314" i="45"/>
  <c r="Q313" i="45" a="1"/>
  <c r="Q313" i="45" s="1"/>
  <c r="C313" i="45"/>
  <c r="Q312" i="45" a="1"/>
  <c r="Q312" i="45" s="1"/>
  <c r="C312" i="45"/>
  <c r="Q311" i="45" a="1"/>
  <c r="Q311" i="45" s="1"/>
  <c r="C311" i="45"/>
  <c r="Q310" i="45" a="1"/>
  <c r="Q310" i="45" s="1"/>
  <c r="C310" i="45"/>
  <c r="Q309" i="45" a="1"/>
  <c r="Q309" i="45" s="1"/>
  <c r="C309" i="45"/>
  <c r="Q308" i="45" a="1"/>
  <c r="Q308" i="45" s="1"/>
  <c r="C308" i="45"/>
  <c r="Q307" i="45" a="1"/>
  <c r="Q307" i="45" s="1"/>
  <c r="C307" i="45"/>
  <c r="Q306" i="45" a="1"/>
  <c r="Q306" i="45" s="1"/>
  <c r="C306" i="45"/>
  <c r="Q305" i="45" a="1"/>
  <c r="Q305" i="45" s="1"/>
  <c r="C305" i="45"/>
  <c r="Q304" i="45" a="1"/>
  <c r="Q304" i="45" s="1"/>
  <c r="C304" i="45"/>
  <c r="Q303" i="45" a="1"/>
  <c r="Q303" i="45" s="1"/>
  <c r="C303" i="45"/>
  <c r="Q302" i="45" a="1"/>
  <c r="Q302" i="45" s="1"/>
  <c r="C302" i="45"/>
  <c r="Q301" i="45" a="1"/>
  <c r="Q301" i="45" s="1"/>
  <c r="C301" i="45"/>
  <c r="Q300" i="45" a="1"/>
  <c r="Q300" i="45" s="1"/>
  <c r="C300" i="45"/>
  <c r="Q299" i="45" a="1"/>
  <c r="Q299" i="45" s="1"/>
  <c r="C299" i="45"/>
  <c r="Q298" i="45" a="1"/>
  <c r="Q298" i="45" s="1"/>
  <c r="C298" i="45"/>
  <c r="Q297" i="45" a="1"/>
  <c r="Q297" i="45" s="1"/>
  <c r="C297" i="45"/>
  <c r="Q296" i="45" a="1"/>
  <c r="Q296" i="45" s="1"/>
  <c r="C296" i="45"/>
  <c r="Q295" i="45" a="1"/>
  <c r="Q295" i="45" s="1"/>
  <c r="C295" i="45"/>
  <c r="Q294" i="45" a="1"/>
  <c r="Q294" i="45" s="1"/>
  <c r="C294" i="45"/>
  <c r="Q293" i="45" a="1"/>
  <c r="Q293" i="45" s="1"/>
  <c r="C293" i="45"/>
  <c r="Q292" i="45" a="1"/>
  <c r="Q292" i="45" s="1"/>
  <c r="C292" i="45"/>
  <c r="Q291" i="45" a="1"/>
  <c r="Q291" i="45" s="1"/>
  <c r="C291" i="45"/>
  <c r="Q290" i="45" a="1"/>
  <c r="Q290" i="45" s="1"/>
  <c r="C290" i="45"/>
  <c r="Q289" i="45" a="1"/>
  <c r="Q289" i="45" s="1"/>
  <c r="C289" i="45"/>
  <c r="Q288" i="45" a="1"/>
  <c r="Q288" i="45" s="1"/>
  <c r="C288" i="45"/>
  <c r="Q287" i="45" a="1"/>
  <c r="Q287" i="45" s="1"/>
  <c r="C287" i="45"/>
  <c r="Q286" i="45" a="1"/>
  <c r="Q286" i="45" s="1"/>
  <c r="C286" i="45"/>
  <c r="Q285" i="45" a="1"/>
  <c r="Q285" i="45" s="1"/>
  <c r="C285" i="45"/>
  <c r="Q284" i="45" a="1"/>
  <c r="Q284" i="45" s="1"/>
  <c r="C284" i="45"/>
  <c r="Q283" i="45" a="1"/>
  <c r="Q283" i="45" s="1"/>
  <c r="C283" i="45"/>
  <c r="Q282" i="45" a="1"/>
  <c r="Q282" i="45" s="1"/>
  <c r="C282" i="45"/>
  <c r="Q281" i="45" a="1"/>
  <c r="Q281" i="45" s="1"/>
  <c r="C281" i="45"/>
  <c r="Q280" i="45" a="1"/>
  <c r="Q280" i="45" s="1"/>
  <c r="C280" i="45"/>
  <c r="Q279" i="45" a="1"/>
  <c r="Q279" i="45" s="1"/>
  <c r="C279" i="45"/>
  <c r="Q278" i="45" a="1"/>
  <c r="Q278" i="45" s="1"/>
  <c r="C278" i="45"/>
  <c r="Q277" i="45" a="1"/>
  <c r="Q277" i="45" s="1"/>
  <c r="C277" i="45"/>
  <c r="Q276" i="45" a="1"/>
  <c r="Q276" i="45" s="1"/>
  <c r="C276" i="45"/>
  <c r="Q275" i="45" a="1"/>
  <c r="Q275" i="45" s="1"/>
  <c r="C275" i="45"/>
  <c r="Q274" i="45" a="1"/>
  <c r="Q274" i="45" s="1"/>
  <c r="C274" i="45"/>
  <c r="Q273" i="45" a="1"/>
  <c r="Q273" i="45" s="1"/>
  <c r="C273" i="45"/>
  <c r="Q272" i="45" a="1"/>
  <c r="Q272" i="45" s="1"/>
  <c r="C272" i="45"/>
  <c r="Q271" i="45" a="1"/>
  <c r="Q271" i="45" s="1"/>
  <c r="C271" i="45"/>
  <c r="Q270" i="45" a="1"/>
  <c r="Q270" i="45" s="1"/>
  <c r="C270" i="45"/>
  <c r="Q269" i="45" a="1"/>
  <c r="Q269" i="45" s="1"/>
  <c r="C269" i="45"/>
  <c r="Q268" i="45" a="1"/>
  <c r="Q268" i="45" s="1"/>
  <c r="C268" i="45"/>
  <c r="Q267" i="45" a="1"/>
  <c r="Q267" i="45" s="1"/>
  <c r="C267" i="45"/>
  <c r="Q266" i="45" a="1"/>
  <c r="Q266" i="45" s="1"/>
  <c r="C266" i="45"/>
  <c r="Q265" i="45" a="1"/>
  <c r="Q265" i="45" s="1"/>
  <c r="C265" i="45"/>
  <c r="Q264" i="45" a="1"/>
  <c r="Q264" i="45" s="1"/>
  <c r="C264" i="45"/>
  <c r="Q263" i="45" a="1"/>
  <c r="Q263" i="45" s="1"/>
  <c r="C263" i="45"/>
  <c r="Q262" i="45" a="1"/>
  <c r="Q262" i="45" s="1"/>
  <c r="C262" i="45"/>
  <c r="Q261" i="45" a="1"/>
  <c r="Q261" i="45" s="1"/>
  <c r="C261" i="45"/>
  <c r="Q260" i="45" a="1"/>
  <c r="Q260" i="45" s="1"/>
  <c r="C260" i="45"/>
  <c r="Q259" i="45" a="1"/>
  <c r="Q259" i="45" s="1"/>
  <c r="C259" i="45"/>
  <c r="Q258" i="45" a="1"/>
  <c r="Q258" i="45" s="1"/>
  <c r="C258" i="45"/>
  <c r="Q257" i="45" a="1"/>
  <c r="Q257" i="45" s="1"/>
  <c r="C257" i="45"/>
  <c r="Q256" i="45" a="1"/>
  <c r="Q256" i="45" s="1"/>
  <c r="C256" i="45"/>
  <c r="Q255" i="45" a="1"/>
  <c r="Q255" i="45" s="1"/>
  <c r="C255" i="45"/>
  <c r="Q254" i="45" a="1"/>
  <c r="Q254" i="45" s="1"/>
  <c r="C254" i="45"/>
  <c r="Q253" i="45" a="1"/>
  <c r="Q253" i="45" s="1"/>
  <c r="C253" i="45"/>
  <c r="Q252" i="45" a="1"/>
  <c r="Q252" i="45" s="1"/>
  <c r="C252" i="45"/>
  <c r="Q251" i="45" a="1"/>
  <c r="Q251" i="45" s="1"/>
  <c r="C251" i="45"/>
  <c r="Q250" i="45" a="1"/>
  <c r="Q250" i="45" s="1"/>
  <c r="C250" i="45"/>
  <c r="Q249" i="45" a="1"/>
  <c r="Q249" i="45" s="1"/>
  <c r="C249" i="45"/>
  <c r="Q248" i="45" a="1"/>
  <c r="Q248" i="45" s="1"/>
  <c r="C248" i="45"/>
  <c r="Q247" i="45" a="1"/>
  <c r="Q247" i="45" s="1"/>
  <c r="C247" i="45"/>
  <c r="Q246" i="45" a="1"/>
  <c r="Q246" i="45" s="1"/>
  <c r="C246" i="45"/>
  <c r="Q245" i="45" a="1"/>
  <c r="Q245" i="45" s="1"/>
  <c r="C245" i="45"/>
  <c r="Q244" i="45" a="1"/>
  <c r="Q244" i="45" s="1"/>
  <c r="C244" i="45"/>
  <c r="Q243" i="45" a="1"/>
  <c r="Q243" i="45" s="1"/>
  <c r="C243" i="45"/>
  <c r="Q242" i="45" a="1"/>
  <c r="Q242" i="45" s="1"/>
  <c r="C242" i="45"/>
  <c r="Q241" i="45" a="1"/>
  <c r="Q241" i="45" s="1"/>
  <c r="C241" i="45"/>
  <c r="Q240" i="45" a="1"/>
  <c r="Q240" i="45" s="1"/>
  <c r="C240" i="45"/>
  <c r="Q239" i="45" a="1"/>
  <c r="Q239" i="45" s="1"/>
  <c r="C239" i="45"/>
  <c r="Q238" i="45" a="1"/>
  <c r="Q238" i="45" s="1"/>
  <c r="C238" i="45"/>
  <c r="Q237" i="45" a="1"/>
  <c r="Q237" i="45" s="1"/>
  <c r="C237" i="45"/>
  <c r="Q236" i="45" a="1"/>
  <c r="Q236" i="45" s="1"/>
  <c r="C236" i="45"/>
  <c r="Q235" i="45" a="1"/>
  <c r="Q235" i="45" s="1"/>
  <c r="C235" i="45"/>
  <c r="Q234" i="45" a="1"/>
  <c r="Q234" i="45" s="1"/>
  <c r="C234" i="45"/>
  <c r="Q233" i="45" a="1"/>
  <c r="Q233" i="45" s="1"/>
  <c r="C233" i="45"/>
  <c r="Q232" i="45" a="1"/>
  <c r="Q232" i="45" s="1"/>
  <c r="C232" i="45"/>
  <c r="Q231" i="45" a="1"/>
  <c r="Q231" i="45" s="1"/>
  <c r="C231" i="45"/>
  <c r="Q230" i="45" a="1"/>
  <c r="Q230" i="45" s="1"/>
  <c r="C230" i="45"/>
  <c r="Q229" i="45" a="1"/>
  <c r="Q229" i="45" s="1"/>
  <c r="C229" i="45"/>
  <c r="Q228" i="45" a="1"/>
  <c r="Q228" i="45" s="1"/>
  <c r="C228" i="45"/>
  <c r="Q227" i="45" a="1"/>
  <c r="Q227" i="45" s="1"/>
  <c r="C227" i="45"/>
  <c r="Q226" i="45" a="1"/>
  <c r="Q226" i="45" s="1"/>
  <c r="C226" i="45"/>
  <c r="Q225" i="45" a="1"/>
  <c r="Q225" i="45" s="1"/>
  <c r="C225" i="45"/>
  <c r="Q224" i="45" a="1"/>
  <c r="Q224" i="45" s="1"/>
  <c r="C224" i="45"/>
  <c r="Q223" i="45" a="1"/>
  <c r="Q223" i="45" s="1"/>
  <c r="C223" i="45"/>
  <c r="Q222" i="45" a="1"/>
  <c r="Q222" i="45" s="1"/>
  <c r="C222" i="45"/>
  <c r="Q221" i="45" a="1"/>
  <c r="Q221" i="45" s="1"/>
  <c r="C221" i="45"/>
  <c r="Q220" i="45" a="1"/>
  <c r="Q220" i="45" s="1"/>
  <c r="C220" i="45"/>
  <c r="Q219" i="45" a="1"/>
  <c r="Q219" i="45" s="1"/>
  <c r="C219" i="45"/>
  <c r="Q218" i="45" a="1"/>
  <c r="Q218" i="45" s="1"/>
  <c r="C218" i="45"/>
  <c r="Q217" i="45" a="1"/>
  <c r="Q217" i="45" s="1"/>
  <c r="C217" i="45"/>
  <c r="Q216" i="45" a="1"/>
  <c r="Q216" i="45" s="1"/>
  <c r="C216" i="45"/>
  <c r="Q215" i="45" a="1"/>
  <c r="Q215" i="45" s="1"/>
  <c r="C215" i="45"/>
  <c r="Q214" i="45" a="1"/>
  <c r="Q214" i="45" s="1"/>
  <c r="C214" i="45"/>
  <c r="Q213" i="45" a="1"/>
  <c r="Q213" i="45" s="1"/>
  <c r="C213" i="45"/>
  <c r="Q212" i="45" a="1"/>
  <c r="Q212" i="45" s="1"/>
  <c r="C212" i="45"/>
  <c r="Q211" i="45" a="1"/>
  <c r="Q211" i="45" s="1"/>
  <c r="C211" i="45"/>
  <c r="Q210" i="45" a="1"/>
  <c r="Q210" i="45" s="1"/>
  <c r="C210" i="45"/>
  <c r="Q209" i="45" a="1"/>
  <c r="Q209" i="45" s="1"/>
  <c r="C209" i="45"/>
  <c r="Q208" i="45" a="1"/>
  <c r="Q208" i="45" s="1"/>
  <c r="C208" i="45"/>
  <c r="Q207" i="45" a="1"/>
  <c r="Q207" i="45" s="1"/>
  <c r="C207" i="45"/>
  <c r="Q206" i="45" a="1"/>
  <c r="Q206" i="45" s="1"/>
  <c r="C206" i="45"/>
  <c r="Q205" i="45" a="1"/>
  <c r="Q205" i="45" s="1"/>
  <c r="C205" i="45"/>
  <c r="Q204" i="45" a="1"/>
  <c r="Q204" i="45" s="1"/>
  <c r="C204" i="45"/>
  <c r="Q203" i="45" a="1"/>
  <c r="Q203" i="45" s="1"/>
  <c r="C203" i="45"/>
  <c r="Q202" i="45" a="1"/>
  <c r="Q202" i="45" s="1"/>
  <c r="C202" i="45"/>
  <c r="Q201" i="45" a="1"/>
  <c r="Q201" i="45" s="1"/>
  <c r="C201" i="45"/>
  <c r="Q200" i="45" a="1"/>
  <c r="Q200" i="45" s="1"/>
  <c r="C200" i="45"/>
  <c r="Q199" i="45" a="1"/>
  <c r="Q199" i="45" s="1"/>
  <c r="C199" i="45"/>
  <c r="Q198" i="45" a="1"/>
  <c r="Q198" i="45" s="1"/>
  <c r="C198" i="45"/>
  <c r="Q197" i="45" a="1"/>
  <c r="Q197" i="45" s="1"/>
  <c r="C197" i="45"/>
  <c r="Q196" i="45" a="1"/>
  <c r="Q196" i="45" s="1"/>
  <c r="C196" i="45"/>
  <c r="Q195" i="45" a="1"/>
  <c r="Q195" i="45" s="1"/>
  <c r="C195" i="45"/>
  <c r="Q194" i="45" a="1"/>
  <c r="Q194" i="45" s="1"/>
  <c r="C194" i="45"/>
  <c r="Q193" i="45" a="1"/>
  <c r="Q193" i="45" s="1"/>
  <c r="C193" i="45"/>
  <c r="Q192" i="45" a="1"/>
  <c r="Q192" i="45" s="1"/>
  <c r="C192" i="45"/>
  <c r="Q191" i="45" a="1"/>
  <c r="Q191" i="45" s="1"/>
  <c r="C191" i="45"/>
  <c r="Q190" i="45" a="1"/>
  <c r="Q190" i="45" s="1"/>
  <c r="C190" i="45"/>
  <c r="Q189" i="45" a="1"/>
  <c r="Q189" i="45" s="1"/>
  <c r="C189" i="45"/>
  <c r="Q188" i="45" a="1"/>
  <c r="Q188" i="45" s="1"/>
  <c r="C188" i="45"/>
  <c r="Q187" i="45" a="1"/>
  <c r="Q187" i="45" s="1"/>
  <c r="C187" i="45"/>
  <c r="Q186" i="45" a="1"/>
  <c r="Q186" i="45" s="1"/>
  <c r="C186" i="45"/>
  <c r="Q185" i="45" a="1"/>
  <c r="Q185" i="45" s="1"/>
  <c r="C185" i="45"/>
  <c r="Q184" i="45" a="1"/>
  <c r="Q184" i="45" s="1"/>
  <c r="C184" i="45"/>
  <c r="Q183" i="45" a="1"/>
  <c r="Q183" i="45" s="1"/>
  <c r="C183" i="45"/>
  <c r="Q182" i="45" a="1"/>
  <c r="Q182" i="45" s="1"/>
  <c r="C182" i="45"/>
  <c r="Q181" i="45" a="1"/>
  <c r="Q181" i="45" s="1"/>
  <c r="C181" i="45"/>
  <c r="Q180" i="45" a="1"/>
  <c r="Q180" i="45" s="1"/>
  <c r="C180" i="45"/>
  <c r="Q179" i="45" a="1"/>
  <c r="Q179" i="45" s="1"/>
  <c r="C179" i="45"/>
  <c r="Q178" i="45" a="1"/>
  <c r="Q178" i="45" s="1"/>
  <c r="C178" i="45"/>
  <c r="Q177" i="45" a="1"/>
  <c r="Q177" i="45" s="1"/>
  <c r="C177" i="45"/>
  <c r="Q176" i="45" a="1"/>
  <c r="Q176" i="45" s="1"/>
  <c r="C176" i="45"/>
  <c r="Q175" i="45" a="1"/>
  <c r="Q175" i="45" s="1"/>
  <c r="C175" i="45"/>
  <c r="Q174" i="45" a="1"/>
  <c r="Q174" i="45" s="1"/>
  <c r="C174" i="45"/>
  <c r="Q173" i="45" a="1"/>
  <c r="Q173" i="45" s="1"/>
  <c r="C173" i="45"/>
  <c r="Q172" i="45" a="1"/>
  <c r="Q172" i="45" s="1"/>
  <c r="C172" i="45"/>
  <c r="Q171" i="45" a="1"/>
  <c r="Q171" i="45" s="1"/>
  <c r="C171" i="45"/>
  <c r="Q170" i="45" a="1"/>
  <c r="Q170" i="45" s="1"/>
  <c r="C170" i="45"/>
  <c r="Q169" i="45" a="1"/>
  <c r="Q169" i="45" s="1"/>
  <c r="C169" i="45"/>
  <c r="Q168" i="45" a="1"/>
  <c r="Q168" i="45" s="1"/>
  <c r="C168" i="45"/>
  <c r="Q167" i="45" a="1"/>
  <c r="Q167" i="45" s="1"/>
  <c r="C167" i="45"/>
  <c r="Q166" i="45" a="1"/>
  <c r="Q166" i="45" s="1"/>
  <c r="C166" i="45"/>
  <c r="Q165" i="45" a="1"/>
  <c r="Q165" i="45" s="1"/>
  <c r="C165" i="45"/>
  <c r="Q164" i="45" a="1"/>
  <c r="Q164" i="45" s="1"/>
  <c r="C164" i="45"/>
  <c r="Q163" i="45" a="1"/>
  <c r="Q163" i="45" s="1"/>
  <c r="C163" i="45"/>
  <c r="Q162" i="45" a="1"/>
  <c r="Q162" i="45" s="1"/>
  <c r="C162" i="45"/>
  <c r="Q161" i="45" a="1"/>
  <c r="Q161" i="45" s="1"/>
  <c r="C161" i="45"/>
  <c r="Q160" i="45" a="1"/>
  <c r="Q160" i="45" s="1"/>
  <c r="C160" i="45"/>
  <c r="Q159" i="45" a="1"/>
  <c r="Q159" i="45" s="1"/>
  <c r="C159" i="45"/>
  <c r="Q158" i="45" a="1"/>
  <c r="Q158" i="45" s="1"/>
  <c r="C158" i="45"/>
  <c r="Q157" i="45" a="1"/>
  <c r="Q157" i="45" s="1"/>
  <c r="C157" i="45"/>
  <c r="Q156" i="45" a="1"/>
  <c r="Q156" i="45" s="1"/>
  <c r="C156" i="45"/>
  <c r="Q155" i="45" a="1"/>
  <c r="Q155" i="45" s="1"/>
  <c r="C155" i="45"/>
  <c r="Q154" i="45" a="1"/>
  <c r="Q154" i="45" s="1"/>
  <c r="C154" i="45"/>
  <c r="Q153" i="45" a="1"/>
  <c r="Q153" i="45" s="1"/>
  <c r="C153" i="45"/>
  <c r="Q152" i="45" a="1"/>
  <c r="Q152" i="45" s="1"/>
  <c r="C152" i="45"/>
  <c r="Q151" i="45" a="1"/>
  <c r="Q151" i="45" s="1"/>
  <c r="C151" i="45"/>
  <c r="Q150" i="45" a="1"/>
  <c r="Q150" i="45" s="1"/>
  <c r="C150" i="45"/>
  <c r="Q149" i="45" a="1"/>
  <c r="Q149" i="45" s="1"/>
  <c r="C149" i="45"/>
  <c r="Q148" i="45" a="1"/>
  <c r="Q148" i="45" s="1"/>
  <c r="C148" i="45"/>
  <c r="Q147" i="45" a="1"/>
  <c r="Q147" i="45" s="1"/>
  <c r="C147" i="45"/>
  <c r="Q146" i="45" a="1"/>
  <c r="Q146" i="45" s="1"/>
  <c r="C146" i="45"/>
  <c r="Q145" i="45" a="1"/>
  <c r="Q145" i="45" s="1"/>
  <c r="C145" i="45"/>
  <c r="Q144" i="45" a="1"/>
  <c r="Q144" i="45" s="1"/>
  <c r="C144" i="45"/>
  <c r="Q143" i="45" a="1"/>
  <c r="Q143" i="45" s="1"/>
  <c r="C143" i="45"/>
  <c r="Q142" i="45" a="1"/>
  <c r="Q142" i="45" s="1"/>
  <c r="C142" i="45"/>
  <c r="Q141" i="45" a="1"/>
  <c r="Q141" i="45" s="1"/>
  <c r="C141" i="45"/>
  <c r="Q140" i="45" a="1"/>
  <c r="Q140" i="45" s="1"/>
  <c r="C140" i="45"/>
  <c r="Q139" i="45" a="1"/>
  <c r="Q139" i="45" s="1"/>
  <c r="C139" i="45"/>
  <c r="Q138" i="45" a="1"/>
  <c r="Q138" i="45" s="1"/>
  <c r="C138" i="45"/>
  <c r="Q137" i="45" a="1"/>
  <c r="Q137" i="45" s="1"/>
  <c r="C137" i="45"/>
  <c r="Q136" i="45" a="1"/>
  <c r="Q136" i="45" s="1"/>
  <c r="C136" i="45"/>
  <c r="Q135" i="45" a="1"/>
  <c r="Q135" i="45" s="1"/>
  <c r="C135" i="45"/>
  <c r="Q134" i="45" a="1"/>
  <c r="Q134" i="45" s="1"/>
  <c r="C134" i="45"/>
  <c r="Q133" i="45" a="1"/>
  <c r="Q133" i="45" s="1"/>
  <c r="C133" i="45"/>
  <c r="Q132" i="45" a="1"/>
  <c r="Q132" i="45" s="1"/>
  <c r="C132" i="45"/>
  <c r="Q131" i="45" a="1"/>
  <c r="Q131" i="45" s="1"/>
  <c r="C131" i="45"/>
  <c r="Q130" i="45" a="1"/>
  <c r="Q130" i="45" s="1"/>
  <c r="C130" i="45"/>
  <c r="Q129" i="45" a="1"/>
  <c r="Q129" i="45" s="1"/>
  <c r="C129" i="45"/>
  <c r="Q128" i="45" a="1"/>
  <c r="Q128" i="45" s="1"/>
  <c r="C128" i="45"/>
  <c r="Q127" i="45" a="1"/>
  <c r="Q127" i="45" s="1"/>
  <c r="C127" i="45"/>
  <c r="Q126" i="45" a="1"/>
  <c r="Q126" i="45" s="1"/>
  <c r="C126" i="45"/>
  <c r="Q125" i="45" a="1"/>
  <c r="Q125" i="45" s="1"/>
  <c r="C125" i="45"/>
  <c r="Q124" i="45" a="1"/>
  <c r="Q124" i="45" s="1"/>
  <c r="C124" i="45"/>
  <c r="Q123" i="45" a="1"/>
  <c r="Q123" i="45" s="1"/>
  <c r="C123" i="45"/>
  <c r="Q122" i="45" a="1"/>
  <c r="Q122" i="45" s="1"/>
  <c r="C122" i="45"/>
  <c r="Q121" i="45" a="1"/>
  <c r="Q121" i="45" s="1"/>
  <c r="C121" i="45"/>
  <c r="Q120" i="45" a="1"/>
  <c r="Q120" i="45" s="1"/>
  <c r="C120" i="45"/>
  <c r="Q119" i="45" a="1"/>
  <c r="Q119" i="45" s="1"/>
  <c r="C119" i="45"/>
  <c r="Q118" i="45" a="1"/>
  <c r="Q118" i="45" s="1"/>
  <c r="C118" i="45"/>
  <c r="Q117" i="45" a="1"/>
  <c r="Q117" i="45" s="1"/>
  <c r="C117" i="45"/>
  <c r="Q116" i="45" a="1"/>
  <c r="Q116" i="45" s="1"/>
  <c r="C116" i="45"/>
  <c r="Q115" i="45" a="1"/>
  <c r="Q115" i="45" s="1"/>
  <c r="C115" i="45"/>
  <c r="Q114" i="45" a="1"/>
  <c r="Q114" i="45" s="1"/>
  <c r="C114" i="45"/>
  <c r="Q113" i="45" a="1"/>
  <c r="Q113" i="45" s="1"/>
  <c r="C113" i="45"/>
  <c r="Q112" i="45" a="1"/>
  <c r="Q112" i="45" s="1"/>
  <c r="C112" i="45"/>
  <c r="Q111" i="45" a="1"/>
  <c r="Q111" i="45" s="1"/>
  <c r="C111" i="45"/>
  <c r="Q110" i="45" a="1"/>
  <c r="Q110" i="45" s="1"/>
  <c r="C110" i="45"/>
  <c r="Q109" i="45" a="1"/>
  <c r="Q109" i="45" s="1"/>
  <c r="C109" i="45"/>
  <c r="Q108" i="45" a="1"/>
  <c r="Q108" i="45" s="1"/>
  <c r="C108" i="45"/>
  <c r="Q107" i="45" a="1"/>
  <c r="Q107" i="45" s="1"/>
  <c r="C107" i="45"/>
  <c r="Q106" i="45" a="1"/>
  <c r="Q106" i="45" s="1"/>
  <c r="C106" i="45"/>
  <c r="Q105" i="45" a="1"/>
  <c r="Q105" i="45" s="1"/>
  <c r="C105" i="45"/>
  <c r="Q104" i="45" a="1"/>
  <c r="Q104" i="45" s="1"/>
  <c r="C104" i="45"/>
  <c r="Q103" i="45" a="1"/>
  <c r="Q103" i="45" s="1"/>
  <c r="C103" i="45"/>
  <c r="Q102" i="45" a="1"/>
  <c r="Q102" i="45" s="1"/>
  <c r="C102" i="45"/>
  <c r="Q101" i="45" a="1"/>
  <c r="Q101" i="45" s="1"/>
  <c r="C101" i="45"/>
  <c r="Q100" i="45" a="1"/>
  <c r="Q100" i="45" s="1"/>
  <c r="C100" i="45"/>
  <c r="Q99" i="45" a="1"/>
  <c r="Q99" i="45" s="1"/>
  <c r="C99" i="45"/>
  <c r="Q98" i="45" a="1"/>
  <c r="Q98" i="45" s="1"/>
  <c r="C98" i="45"/>
  <c r="Q97" i="45" a="1"/>
  <c r="Q97" i="45" s="1"/>
  <c r="C97" i="45"/>
  <c r="Q96" i="45" a="1"/>
  <c r="Q96" i="45" s="1"/>
  <c r="C96" i="45"/>
  <c r="Q95" i="45" a="1"/>
  <c r="Q95" i="45" s="1"/>
  <c r="C95" i="45"/>
  <c r="Q94" i="45" a="1"/>
  <c r="Q94" i="45" s="1"/>
  <c r="C94" i="45"/>
  <c r="Q93" i="45" a="1"/>
  <c r="Q93" i="45" s="1"/>
  <c r="C93" i="45"/>
  <c r="Q92" i="45" a="1"/>
  <c r="Q92" i="45" s="1"/>
  <c r="C92" i="45"/>
  <c r="Q91" i="45" a="1"/>
  <c r="Q91" i="45" s="1"/>
  <c r="C91" i="45"/>
  <c r="Q90" i="45" a="1"/>
  <c r="Q90" i="45" s="1"/>
  <c r="C90" i="45"/>
  <c r="Q89" i="45" a="1"/>
  <c r="Q89" i="45" s="1"/>
  <c r="C89" i="45"/>
  <c r="Q88" i="45" a="1"/>
  <c r="Q88" i="45" s="1"/>
  <c r="C88" i="45"/>
  <c r="Q87" i="45" a="1"/>
  <c r="Q87" i="45" s="1"/>
  <c r="C87" i="45"/>
  <c r="Q86" i="45" a="1"/>
  <c r="Q86" i="45" s="1"/>
  <c r="C86" i="45"/>
  <c r="Q85" i="45" a="1"/>
  <c r="Q85" i="45" s="1"/>
  <c r="C85" i="45"/>
  <c r="Q84" i="45" a="1"/>
  <c r="Q84" i="45" s="1"/>
  <c r="C84" i="45"/>
  <c r="Q83" i="45" a="1"/>
  <c r="Q83" i="45" s="1"/>
  <c r="C83" i="45"/>
  <c r="Q82" i="45" a="1"/>
  <c r="Q82" i="45" s="1"/>
  <c r="C82" i="45"/>
  <c r="Q81" i="45" a="1"/>
  <c r="Q81" i="45" s="1"/>
  <c r="C81" i="45"/>
  <c r="Q80" i="45" a="1"/>
  <c r="Q80" i="45" s="1"/>
  <c r="C80" i="45"/>
  <c r="Q79" i="45" a="1"/>
  <c r="Q79" i="45" s="1"/>
  <c r="C79" i="45"/>
  <c r="Q78" i="45" a="1"/>
  <c r="Q78" i="45" s="1"/>
  <c r="C78" i="45"/>
  <c r="Q77" i="45" a="1"/>
  <c r="Q77" i="45" s="1"/>
  <c r="C77" i="45"/>
  <c r="Q76" i="45" a="1"/>
  <c r="Q76" i="45" s="1"/>
  <c r="C76" i="45"/>
  <c r="Q438" i="44" a="1"/>
  <c r="Q438" i="44" s="1"/>
  <c r="C438" i="44"/>
  <c r="Q437" i="44" a="1"/>
  <c r="Q437" i="44" s="1"/>
  <c r="C437" i="44"/>
  <c r="Q436" i="44" a="1"/>
  <c r="Q436" i="44" s="1"/>
  <c r="C436" i="44"/>
  <c r="Q435" i="44" a="1"/>
  <c r="Q435" i="44" s="1"/>
  <c r="C435" i="44"/>
  <c r="Q434" i="44" a="1"/>
  <c r="Q434" i="44" s="1"/>
  <c r="C434" i="44"/>
  <c r="Q433" i="44" a="1"/>
  <c r="Q433" i="44" s="1"/>
  <c r="C433" i="44"/>
  <c r="Q432" i="44" a="1"/>
  <c r="Q432" i="44" s="1"/>
  <c r="C432" i="44"/>
  <c r="Q431" i="44" a="1"/>
  <c r="Q431" i="44" s="1"/>
  <c r="C431" i="44"/>
  <c r="Q430" i="44" a="1"/>
  <c r="Q430" i="44" s="1"/>
  <c r="C430" i="44"/>
  <c r="Q429" i="44" a="1"/>
  <c r="Q429" i="44" s="1"/>
  <c r="C429" i="44"/>
  <c r="Q428" i="44" a="1"/>
  <c r="Q428" i="44" s="1"/>
  <c r="C428" i="44"/>
  <c r="Q427" i="44" a="1"/>
  <c r="Q427" i="44" s="1"/>
  <c r="C427" i="44"/>
  <c r="Q426" i="44" a="1"/>
  <c r="Q426" i="44" s="1"/>
  <c r="C426" i="44"/>
  <c r="Q425" i="44" a="1"/>
  <c r="Q425" i="44" s="1"/>
  <c r="C425" i="44"/>
  <c r="Q424" i="44" a="1"/>
  <c r="Q424" i="44" s="1"/>
  <c r="C424" i="44"/>
  <c r="Q423" i="44" a="1"/>
  <c r="Q423" i="44" s="1"/>
  <c r="C423" i="44"/>
  <c r="Q422" i="44" a="1"/>
  <c r="Q422" i="44" s="1"/>
  <c r="C422" i="44"/>
  <c r="Q421" i="44" a="1"/>
  <c r="Q421" i="44" s="1"/>
  <c r="C421" i="44"/>
  <c r="Q420" i="44" a="1"/>
  <c r="Q420" i="44" s="1"/>
  <c r="C420" i="44"/>
  <c r="Q419" i="44" a="1"/>
  <c r="Q419" i="44" s="1"/>
  <c r="C419" i="44"/>
  <c r="Q418" i="44" a="1"/>
  <c r="Q418" i="44" s="1"/>
  <c r="C418" i="44"/>
  <c r="Q417" i="44" a="1"/>
  <c r="Q417" i="44" s="1"/>
  <c r="C417" i="44"/>
  <c r="Q416" i="44" a="1"/>
  <c r="Q416" i="44" s="1"/>
  <c r="C416" i="44"/>
  <c r="Q415" i="44" a="1"/>
  <c r="Q415" i="44" s="1"/>
  <c r="C415" i="44"/>
  <c r="Q414" i="44" a="1"/>
  <c r="Q414" i="44" s="1"/>
  <c r="C414" i="44"/>
  <c r="Q413" i="44" a="1"/>
  <c r="Q413" i="44" s="1"/>
  <c r="C413" i="44"/>
  <c r="Q412" i="44" a="1"/>
  <c r="Q412" i="44" s="1"/>
  <c r="C412" i="44"/>
  <c r="Q411" i="44" a="1"/>
  <c r="Q411" i="44" s="1"/>
  <c r="C411" i="44"/>
  <c r="Q410" i="44" a="1"/>
  <c r="Q410" i="44" s="1"/>
  <c r="C410" i="44"/>
  <c r="Q409" i="44" a="1"/>
  <c r="Q409" i="44" s="1"/>
  <c r="C409" i="44"/>
  <c r="Q408" i="44" a="1"/>
  <c r="Q408" i="44" s="1"/>
  <c r="C408" i="44"/>
  <c r="Q407" i="44" a="1"/>
  <c r="Q407" i="44" s="1"/>
  <c r="C407" i="44"/>
  <c r="Q406" i="44" a="1"/>
  <c r="Q406" i="44" s="1"/>
  <c r="C406" i="44"/>
  <c r="Q405" i="44" a="1"/>
  <c r="Q405" i="44" s="1"/>
  <c r="C405" i="44"/>
  <c r="Q404" i="44" a="1"/>
  <c r="Q404" i="44" s="1"/>
  <c r="C404" i="44"/>
  <c r="Q403" i="44" a="1"/>
  <c r="Q403" i="44" s="1"/>
  <c r="C403" i="44"/>
  <c r="Q402" i="44" a="1"/>
  <c r="Q402" i="44" s="1"/>
  <c r="C402" i="44"/>
  <c r="Q401" i="44" a="1"/>
  <c r="Q401" i="44" s="1"/>
  <c r="C401" i="44"/>
  <c r="Q400" i="44" a="1"/>
  <c r="Q400" i="44" s="1"/>
  <c r="C400" i="44"/>
  <c r="Q399" i="44" a="1"/>
  <c r="Q399" i="44" s="1"/>
  <c r="C399" i="44"/>
  <c r="Q398" i="44" a="1"/>
  <c r="Q398" i="44" s="1"/>
  <c r="C398" i="44"/>
  <c r="Q397" i="44" a="1"/>
  <c r="Q397" i="44" s="1"/>
  <c r="C397" i="44"/>
  <c r="Q396" i="44" a="1"/>
  <c r="Q396" i="44" s="1"/>
  <c r="C396" i="44"/>
  <c r="Q395" i="44" a="1"/>
  <c r="Q395" i="44" s="1"/>
  <c r="C395" i="44"/>
  <c r="Q394" i="44" a="1"/>
  <c r="Q394" i="44" s="1"/>
  <c r="C394" i="44"/>
  <c r="Q393" i="44" a="1"/>
  <c r="Q393" i="44" s="1"/>
  <c r="C393" i="44"/>
  <c r="Q392" i="44" a="1"/>
  <c r="Q392" i="44" s="1"/>
  <c r="C392" i="44"/>
  <c r="Q391" i="44" a="1"/>
  <c r="Q391" i="44" s="1"/>
  <c r="C391" i="44"/>
  <c r="Q390" i="44" a="1"/>
  <c r="Q390" i="44" s="1"/>
  <c r="C390" i="44"/>
  <c r="Q389" i="44" a="1"/>
  <c r="Q389" i="44" s="1"/>
  <c r="C389" i="44"/>
  <c r="Q388" i="44" a="1"/>
  <c r="Q388" i="44" s="1"/>
  <c r="C388" i="44"/>
  <c r="Q387" i="44" a="1"/>
  <c r="Q387" i="44" s="1"/>
  <c r="C387" i="44"/>
  <c r="Q386" i="44" a="1"/>
  <c r="Q386" i="44" s="1"/>
  <c r="C386" i="44"/>
  <c r="Q385" i="44" a="1"/>
  <c r="Q385" i="44" s="1"/>
  <c r="C385" i="44"/>
  <c r="Q384" i="44" a="1"/>
  <c r="Q384" i="44" s="1"/>
  <c r="C384" i="44"/>
  <c r="Q383" i="44" a="1"/>
  <c r="Q383" i="44" s="1"/>
  <c r="C383" i="44"/>
  <c r="Q382" i="44" a="1"/>
  <c r="Q382" i="44" s="1"/>
  <c r="C382" i="44"/>
  <c r="Q381" i="44" a="1"/>
  <c r="Q381" i="44" s="1"/>
  <c r="C381" i="44"/>
  <c r="Q380" i="44" a="1"/>
  <c r="Q380" i="44" s="1"/>
  <c r="C380" i="44"/>
  <c r="Q379" i="44" a="1"/>
  <c r="Q379" i="44" s="1"/>
  <c r="C379" i="44"/>
  <c r="Q378" i="44" a="1"/>
  <c r="Q378" i="44" s="1"/>
  <c r="C378" i="44"/>
  <c r="Q377" i="44" a="1"/>
  <c r="Q377" i="44" s="1"/>
  <c r="C377" i="44"/>
  <c r="Q376" i="44" a="1"/>
  <c r="Q376" i="44" s="1"/>
  <c r="C376" i="44"/>
  <c r="Q375" i="44" a="1"/>
  <c r="Q375" i="44" s="1"/>
  <c r="C375" i="44"/>
  <c r="Q374" i="44" a="1"/>
  <c r="Q374" i="44" s="1"/>
  <c r="C374" i="44"/>
  <c r="Q373" i="44" a="1"/>
  <c r="Q373" i="44" s="1"/>
  <c r="C373" i="44"/>
  <c r="Q372" i="44" a="1"/>
  <c r="Q372" i="44" s="1"/>
  <c r="C372" i="44"/>
  <c r="Q371" i="44" a="1"/>
  <c r="Q371" i="44" s="1"/>
  <c r="C371" i="44"/>
  <c r="Q370" i="44" a="1"/>
  <c r="Q370" i="44" s="1"/>
  <c r="C370" i="44"/>
  <c r="Q369" i="44" a="1"/>
  <c r="Q369" i="44" s="1"/>
  <c r="C369" i="44"/>
  <c r="Q368" i="44" a="1"/>
  <c r="Q368" i="44" s="1"/>
  <c r="C368" i="44"/>
  <c r="Q367" i="44" a="1"/>
  <c r="Q367" i="44" s="1"/>
  <c r="C367" i="44"/>
  <c r="Q366" i="44" a="1"/>
  <c r="Q366" i="44" s="1"/>
  <c r="C366" i="44"/>
  <c r="Q365" i="44" a="1"/>
  <c r="Q365" i="44" s="1"/>
  <c r="C365" i="44"/>
  <c r="Q364" i="44" a="1"/>
  <c r="Q364" i="44" s="1"/>
  <c r="C364" i="44"/>
  <c r="Q363" i="44" a="1"/>
  <c r="Q363" i="44" s="1"/>
  <c r="C363" i="44"/>
  <c r="Q362" i="44" a="1"/>
  <c r="Q362" i="44" s="1"/>
  <c r="C362" i="44"/>
  <c r="Q361" i="44" a="1"/>
  <c r="Q361" i="44" s="1"/>
  <c r="C361" i="44"/>
  <c r="Q360" i="44" a="1"/>
  <c r="Q360" i="44" s="1"/>
  <c r="C360" i="44"/>
  <c r="Q359" i="44" a="1"/>
  <c r="Q359" i="44" s="1"/>
  <c r="C359" i="44"/>
  <c r="Q358" i="44" a="1"/>
  <c r="Q358" i="44" s="1"/>
  <c r="C358" i="44"/>
  <c r="Q357" i="44" a="1"/>
  <c r="Q357" i="44" s="1"/>
  <c r="C357" i="44"/>
  <c r="Q356" i="44" a="1"/>
  <c r="Q356" i="44" s="1"/>
  <c r="C356" i="44"/>
  <c r="Q355" i="44" a="1"/>
  <c r="Q355" i="44" s="1"/>
  <c r="C355" i="44"/>
  <c r="Q354" i="44" a="1"/>
  <c r="Q354" i="44" s="1"/>
  <c r="C354" i="44"/>
  <c r="Q353" i="44" a="1"/>
  <c r="Q353" i="44" s="1"/>
  <c r="C353" i="44"/>
  <c r="Q352" i="44" a="1"/>
  <c r="Q352" i="44" s="1"/>
  <c r="C352" i="44"/>
  <c r="Q351" i="44" a="1"/>
  <c r="Q351" i="44" s="1"/>
  <c r="C351" i="44"/>
  <c r="Q350" i="44" a="1"/>
  <c r="Q350" i="44" s="1"/>
  <c r="C350" i="44"/>
  <c r="Q349" i="44" a="1"/>
  <c r="Q349" i="44" s="1"/>
  <c r="C349" i="44"/>
  <c r="Q348" i="44" a="1"/>
  <c r="Q348" i="44" s="1"/>
  <c r="C348" i="44"/>
  <c r="Q347" i="44" a="1"/>
  <c r="Q347" i="44" s="1"/>
  <c r="C347" i="44"/>
  <c r="Q346" i="44" a="1"/>
  <c r="Q346" i="44" s="1"/>
  <c r="C346" i="44"/>
  <c r="Q345" i="44" a="1"/>
  <c r="Q345" i="44" s="1"/>
  <c r="C345" i="44"/>
  <c r="Q344" i="44" a="1"/>
  <c r="Q344" i="44" s="1"/>
  <c r="C344" i="44"/>
  <c r="Q343" i="44" a="1"/>
  <c r="Q343" i="44" s="1"/>
  <c r="C343" i="44"/>
  <c r="Q342" i="44" a="1"/>
  <c r="Q342" i="44" s="1"/>
  <c r="C342" i="44"/>
  <c r="Q341" i="44" a="1"/>
  <c r="Q341" i="44" s="1"/>
  <c r="C341" i="44"/>
  <c r="Q340" i="44" a="1"/>
  <c r="Q340" i="44" s="1"/>
  <c r="C340" i="44"/>
  <c r="Q339" i="44" a="1"/>
  <c r="Q339" i="44" s="1"/>
  <c r="C339" i="44"/>
  <c r="Q338" i="44" a="1"/>
  <c r="Q338" i="44" s="1"/>
  <c r="C338" i="44"/>
  <c r="Q337" i="44" a="1"/>
  <c r="Q337" i="44" s="1"/>
  <c r="C337" i="44"/>
  <c r="Q336" i="44" a="1"/>
  <c r="Q336" i="44" s="1"/>
  <c r="C336" i="44"/>
  <c r="Q335" i="44" a="1"/>
  <c r="Q335" i="44" s="1"/>
  <c r="C335" i="44"/>
  <c r="Q334" i="44" a="1"/>
  <c r="Q334" i="44" s="1"/>
  <c r="C334" i="44"/>
  <c r="Q333" i="44" a="1"/>
  <c r="Q333" i="44" s="1"/>
  <c r="C333" i="44"/>
  <c r="Q332" i="44" a="1"/>
  <c r="Q332" i="44" s="1"/>
  <c r="C332" i="44"/>
  <c r="Q331" i="44" a="1"/>
  <c r="Q331" i="44" s="1"/>
  <c r="C331" i="44"/>
  <c r="Q330" i="44" a="1"/>
  <c r="Q330" i="44" s="1"/>
  <c r="C330" i="44"/>
  <c r="Q329" i="44" a="1"/>
  <c r="Q329" i="44" s="1"/>
  <c r="C329" i="44"/>
  <c r="Q328" i="44" a="1"/>
  <c r="Q328" i="44" s="1"/>
  <c r="C328" i="44"/>
  <c r="Q327" i="44" a="1"/>
  <c r="Q327" i="44" s="1"/>
  <c r="C327" i="44"/>
  <c r="Q326" i="44" a="1"/>
  <c r="Q326" i="44" s="1"/>
  <c r="C326" i="44"/>
  <c r="Q325" i="44" a="1"/>
  <c r="Q325" i="44" s="1"/>
  <c r="C325" i="44"/>
  <c r="Q324" i="44" a="1"/>
  <c r="Q324" i="44" s="1"/>
  <c r="C324" i="44"/>
  <c r="Q323" i="44" a="1"/>
  <c r="Q323" i="44" s="1"/>
  <c r="C323" i="44"/>
  <c r="Q322" i="44" a="1"/>
  <c r="Q322" i="44" s="1"/>
  <c r="C322" i="44"/>
  <c r="Q321" i="44" a="1"/>
  <c r="Q321" i="44" s="1"/>
  <c r="C321" i="44"/>
  <c r="Q320" i="44" a="1"/>
  <c r="Q320" i="44" s="1"/>
  <c r="C320" i="44"/>
  <c r="Q319" i="44" a="1"/>
  <c r="Q319" i="44" s="1"/>
  <c r="C319" i="44"/>
  <c r="Q318" i="44" a="1"/>
  <c r="Q318" i="44" s="1"/>
  <c r="C318" i="44"/>
  <c r="Q317" i="44" a="1"/>
  <c r="Q317" i="44" s="1"/>
  <c r="C317" i="44"/>
  <c r="Q316" i="44" a="1"/>
  <c r="Q316" i="44" s="1"/>
  <c r="C316" i="44"/>
  <c r="Q315" i="44" a="1"/>
  <c r="Q315" i="44" s="1"/>
  <c r="C315" i="44"/>
  <c r="Q314" i="44" a="1"/>
  <c r="Q314" i="44" s="1"/>
  <c r="C314" i="44"/>
  <c r="Q313" i="44" a="1"/>
  <c r="Q313" i="44" s="1"/>
  <c r="C313" i="44"/>
  <c r="Q312" i="44" a="1"/>
  <c r="Q312" i="44" s="1"/>
  <c r="C312" i="44"/>
  <c r="Q311" i="44" a="1"/>
  <c r="Q311" i="44" s="1"/>
  <c r="C311" i="44"/>
  <c r="Q310" i="44" a="1"/>
  <c r="Q310" i="44" s="1"/>
  <c r="C310" i="44"/>
  <c r="Q309" i="44" a="1"/>
  <c r="Q309" i="44" s="1"/>
  <c r="C309" i="44"/>
  <c r="Q308" i="44" a="1"/>
  <c r="Q308" i="44" s="1"/>
  <c r="C308" i="44"/>
  <c r="Q307" i="44" a="1"/>
  <c r="Q307" i="44" s="1"/>
  <c r="C307" i="44"/>
  <c r="Q306" i="44" a="1"/>
  <c r="Q306" i="44" s="1"/>
  <c r="C306" i="44"/>
  <c r="Q305" i="44" a="1"/>
  <c r="Q305" i="44" s="1"/>
  <c r="C305" i="44"/>
  <c r="Q304" i="44" a="1"/>
  <c r="Q304" i="44" s="1"/>
  <c r="C304" i="44"/>
  <c r="Q303" i="44" a="1"/>
  <c r="Q303" i="44" s="1"/>
  <c r="C303" i="44"/>
  <c r="Q302" i="44" a="1"/>
  <c r="Q302" i="44" s="1"/>
  <c r="C302" i="44"/>
  <c r="Q301" i="44" a="1"/>
  <c r="Q301" i="44" s="1"/>
  <c r="C301" i="44"/>
  <c r="Q300" i="44" a="1"/>
  <c r="Q300" i="44" s="1"/>
  <c r="C300" i="44"/>
  <c r="Q299" i="44" a="1"/>
  <c r="Q299" i="44" s="1"/>
  <c r="C299" i="44"/>
  <c r="Q298" i="44" a="1"/>
  <c r="Q298" i="44" s="1"/>
  <c r="C298" i="44"/>
  <c r="Q297" i="44" a="1"/>
  <c r="Q297" i="44" s="1"/>
  <c r="C297" i="44"/>
  <c r="Q296" i="44" a="1"/>
  <c r="Q296" i="44" s="1"/>
  <c r="C296" i="44"/>
  <c r="Q295" i="44" a="1"/>
  <c r="Q295" i="44" s="1"/>
  <c r="C295" i="44"/>
  <c r="Q294" i="44" a="1"/>
  <c r="Q294" i="44" s="1"/>
  <c r="C294" i="44"/>
  <c r="Q293" i="44" a="1"/>
  <c r="Q293" i="44" s="1"/>
  <c r="C293" i="44"/>
  <c r="Q292" i="44" a="1"/>
  <c r="Q292" i="44" s="1"/>
  <c r="C292" i="44"/>
  <c r="Q291" i="44" a="1"/>
  <c r="Q291" i="44" s="1"/>
  <c r="C291" i="44"/>
  <c r="Q290" i="44" a="1"/>
  <c r="Q290" i="44" s="1"/>
  <c r="C290" i="44"/>
  <c r="Q289" i="44" a="1"/>
  <c r="Q289" i="44" s="1"/>
  <c r="C289" i="44"/>
  <c r="Q288" i="44" a="1"/>
  <c r="Q288" i="44" s="1"/>
  <c r="C288" i="44"/>
  <c r="Q287" i="44" a="1"/>
  <c r="Q287" i="44" s="1"/>
  <c r="C287" i="44"/>
  <c r="Q286" i="44" a="1"/>
  <c r="Q286" i="44" s="1"/>
  <c r="C286" i="44"/>
  <c r="Q285" i="44" a="1"/>
  <c r="Q285" i="44" s="1"/>
  <c r="C285" i="44"/>
  <c r="Q284" i="44" a="1"/>
  <c r="Q284" i="44" s="1"/>
  <c r="C284" i="44"/>
  <c r="Q283" i="44" a="1"/>
  <c r="Q283" i="44" s="1"/>
  <c r="C283" i="44"/>
  <c r="Q282" i="44" a="1"/>
  <c r="Q282" i="44" s="1"/>
  <c r="C282" i="44"/>
  <c r="Q281" i="44" a="1"/>
  <c r="Q281" i="44" s="1"/>
  <c r="C281" i="44"/>
  <c r="Q280" i="44" a="1"/>
  <c r="Q280" i="44" s="1"/>
  <c r="C280" i="44"/>
  <c r="Q279" i="44" a="1"/>
  <c r="Q279" i="44" s="1"/>
  <c r="C279" i="44"/>
  <c r="Q278" i="44" a="1"/>
  <c r="Q278" i="44" s="1"/>
  <c r="C278" i="44"/>
  <c r="Q277" i="44" a="1"/>
  <c r="Q277" i="44" s="1"/>
  <c r="C277" i="44"/>
  <c r="Q276" i="44" a="1"/>
  <c r="Q276" i="44" s="1"/>
  <c r="C276" i="44"/>
  <c r="Q275" i="44" a="1"/>
  <c r="Q275" i="44" s="1"/>
  <c r="C275" i="44"/>
  <c r="Q274" i="44" a="1"/>
  <c r="Q274" i="44" s="1"/>
  <c r="C274" i="44"/>
  <c r="Q273" i="44" a="1"/>
  <c r="Q273" i="44" s="1"/>
  <c r="C273" i="44"/>
  <c r="Q272" i="44" a="1"/>
  <c r="Q272" i="44" s="1"/>
  <c r="C272" i="44"/>
  <c r="Q271" i="44" a="1"/>
  <c r="Q271" i="44" s="1"/>
  <c r="C271" i="44"/>
  <c r="Q270" i="44" a="1"/>
  <c r="Q270" i="44" s="1"/>
  <c r="C270" i="44"/>
  <c r="Q269" i="44" a="1"/>
  <c r="Q269" i="44" s="1"/>
  <c r="C269" i="44"/>
  <c r="Q268" i="44" a="1"/>
  <c r="Q268" i="44" s="1"/>
  <c r="C268" i="44"/>
  <c r="Q267" i="44" a="1"/>
  <c r="Q267" i="44" s="1"/>
  <c r="C267" i="44"/>
  <c r="Q266" i="44" a="1"/>
  <c r="Q266" i="44" s="1"/>
  <c r="C266" i="44"/>
  <c r="Q265" i="44" a="1"/>
  <c r="Q265" i="44" s="1"/>
  <c r="C265" i="44"/>
  <c r="Q264" i="44" a="1"/>
  <c r="Q264" i="44" s="1"/>
  <c r="C264" i="44"/>
  <c r="Q263" i="44" a="1"/>
  <c r="Q263" i="44" s="1"/>
  <c r="C263" i="44"/>
  <c r="Q262" i="44" a="1"/>
  <c r="Q262" i="44" s="1"/>
  <c r="C262" i="44"/>
  <c r="Q261" i="44" a="1"/>
  <c r="Q261" i="44" s="1"/>
  <c r="C261" i="44"/>
  <c r="Q260" i="44" a="1"/>
  <c r="Q260" i="44" s="1"/>
  <c r="C260" i="44"/>
  <c r="Q259" i="44" a="1"/>
  <c r="Q259" i="44" s="1"/>
  <c r="C259" i="44"/>
  <c r="Q258" i="44" a="1"/>
  <c r="Q258" i="44" s="1"/>
  <c r="C258" i="44"/>
  <c r="Q257" i="44" a="1"/>
  <c r="Q257" i="44" s="1"/>
  <c r="C257" i="44"/>
  <c r="Q256" i="44" a="1"/>
  <c r="Q256" i="44" s="1"/>
  <c r="C256" i="44"/>
  <c r="Q255" i="44" a="1"/>
  <c r="Q255" i="44" s="1"/>
  <c r="C255" i="44"/>
  <c r="Q254" i="44" a="1"/>
  <c r="Q254" i="44" s="1"/>
  <c r="C254" i="44"/>
  <c r="Q253" i="44" a="1"/>
  <c r="Q253" i="44" s="1"/>
  <c r="C253" i="44"/>
  <c r="Q252" i="44" a="1"/>
  <c r="Q252" i="44" s="1"/>
  <c r="C252" i="44"/>
  <c r="Q251" i="44" a="1"/>
  <c r="Q251" i="44" s="1"/>
  <c r="C251" i="44"/>
  <c r="Q250" i="44" a="1"/>
  <c r="Q250" i="44" s="1"/>
  <c r="C250" i="44"/>
  <c r="Q249" i="44" a="1"/>
  <c r="Q249" i="44" s="1"/>
  <c r="C249" i="44"/>
  <c r="Q248" i="44" a="1"/>
  <c r="Q248" i="44" s="1"/>
  <c r="C248" i="44"/>
  <c r="Q247" i="44" a="1"/>
  <c r="Q247" i="44" s="1"/>
  <c r="C247" i="44"/>
  <c r="Q246" i="44" a="1"/>
  <c r="Q246" i="44" s="1"/>
  <c r="C246" i="44"/>
  <c r="Q245" i="44" a="1"/>
  <c r="Q245" i="44" s="1"/>
  <c r="C245" i="44"/>
  <c r="Q244" i="44" a="1"/>
  <c r="Q244" i="44" s="1"/>
  <c r="C244" i="44"/>
  <c r="Q243" i="44" a="1"/>
  <c r="Q243" i="44" s="1"/>
  <c r="C243" i="44"/>
  <c r="Q242" i="44" a="1"/>
  <c r="Q242" i="44" s="1"/>
  <c r="C242" i="44"/>
  <c r="Q241" i="44" a="1"/>
  <c r="Q241" i="44" s="1"/>
  <c r="C241" i="44"/>
  <c r="Q240" i="44" a="1"/>
  <c r="Q240" i="44" s="1"/>
  <c r="C240" i="44"/>
  <c r="Q239" i="44" a="1"/>
  <c r="Q239" i="44" s="1"/>
  <c r="C239" i="44"/>
  <c r="Q238" i="44" a="1"/>
  <c r="Q238" i="44" s="1"/>
  <c r="C238" i="44"/>
  <c r="Q237" i="44" a="1"/>
  <c r="Q237" i="44" s="1"/>
  <c r="C237" i="44"/>
  <c r="Q236" i="44" a="1"/>
  <c r="Q236" i="44" s="1"/>
  <c r="C236" i="44"/>
  <c r="Q235" i="44" a="1"/>
  <c r="Q235" i="44" s="1"/>
  <c r="C235" i="44"/>
  <c r="Q234" i="44" a="1"/>
  <c r="Q234" i="44" s="1"/>
  <c r="C234" i="44"/>
  <c r="Q233" i="44" a="1"/>
  <c r="Q233" i="44" s="1"/>
  <c r="C233" i="44"/>
  <c r="Q232" i="44" a="1"/>
  <c r="Q232" i="44" s="1"/>
  <c r="C232" i="44"/>
  <c r="Q231" i="44" a="1"/>
  <c r="Q231" i="44" s="1"/>
  <c r="C231" i="44"/>
  <c r="Q230" i="44" a="1"/>
  <c r="Q230" i="44" s="1"/>
  <c r="C230" i="44"/>
  <c r="Q229" i="44" a="1"/>
  <c r="Q229" i="44" s="1"/>
  <c r="C229" i="44"/>
  <c r="Q228" i="44" a="1"/>
  <c r="Q228" i="44" s="1"/>
  <c r="C228" i="44"/>
  <c r="Q227" i="44" a="1"/>
  <c r="Q227" i="44" s="1"/>
  <c r="C227" i="44"/>
  <c r="Q226" i="44" a="1"/>
  <c r="Q226" i="44" s="1"/>
  <c r="C226" i="44"/>
  <c r="Q225" i="44" a="1"/>
  <c r="Q225" i="44" s="1"/>
  <c r="C225" i="44"/>
  <c r="Q224" i="44" a="1"/>
  <c r="Q224" i="44" s="1"/>
  <c r="C224" i="44"/>
  <c r="Q223" i="44" a="1"/>
  <c r="Q223" i="44" s="1"/>
  <c r="C223" i="44"/>
  <c r="Q222" i="44" a="1"/>
  <c r="Q222" i="44" s="1"/>
  <c r="C222" i="44"/>
  <c r="Q221" i="44" a="1"/>
  <c r="Q221" i="44" s="1"/>
  <c r="C221" i="44"/>
  <c r="Q220" i="44" a="1"/>
  <c r="Q220" i="44" s="1"/>
  <c r="C220" i="44"/>
  <c r="Q219" i="44" a="1"/>
  <c r="Q219" i="44" s="1"/>
  <c r="C219" i="44"/>
  <c r="Q218" i="44" a="1"/>
  <c r="Q218" i="44" s="1"/>
  <c r="C218" i="44"/>
  <c r="Q217" i="44" a="1"/>
  <c r="Q217" i="44" s="1"/>
  <c r="C217" i="44"/>
  <c r="Q216" i="44" a="1"/>
  <c r="Q216" i="44" s="1"/>
  <c r="C216" i="44"/>
  <c r="Q215" i="44" a="1"/>
  <c r="Q215" i="44" s="1"/>
  <c r="C215" i="44"/>
  <c r="Q214" i="44" a="1"/>
  <c r="Q214" i="44" s="1"/>
  <c r="C214" i="44"/>
  <c r="Q213" i="44" a="1"/>
  <c r="Q213" i="44" s="1"/>
  <c r="C213" i="44"/>
  <c r="Q212" i="44" a="1"/>
  <c r="Q212" i="44" s="1"/>
  <c r="C212" i="44"/>
  <c r="Q211" i="44" a="1"/>
  <c r="Q211" i="44" s="1"/>
  <c r="C211" i="44"/>
  <c r="Q210" i="44" a="1"/>
  <c r="Q210" i="44" s="1"/>
  <c r="C210" i="44"/>
  <c r="Q209" i="44" a="1"/>
  <c r="Q209" i="44" s="1"/>
  <c r="C209" i="44"/>
  <c r="Q208" i="44" a="1"/>
  <c r="Q208" i="44" s="1"/>
  <c r="C208" i="44"/>
  <c r="Q207" i="44" a="1"/>
  <c r="Q207" i="44" s="1"/>
  <c r="C207" i="44"/>
  <c r="Q206" i="44" a="1"/>
  <c r="Q206" i="44" s="1"/>
  <c r="C206" i="44"/>
  <c r="Q205" i="44" a="1"/>
  <c r="Q205" i="44" s="1"/>
  <c r="C205" i="44"/>
  <c r="Q204" i="44" a="1"/>
  <c r="Q204" i="44" s="1"/>
  <c r="C204" i="44"/>
  <c r="Q203" i="44" a="1"/>
  <c r="Q203" i="44" s="1"/>
  <c r="C203" i="44"/>
  <c r="Q202" i="44" a="1"/>
  <c r="Q202" i="44" s="1"/>
  <c r="C202" i="44"/>
  <c r="Q201" i="44" a="1"/>
  <c r="Q201" i="44" s="1"/>
  <c r="C201" i="44"/>
  <c r="Q200" i="44" a="1"/>
  <c r="Q200" i="44" s="1"/>
  <c r="C200" i="44"/>
  <c r="Q199" i="44" a="1"/>
  <c r="Q199" i="44" s="1"/>
  <c r="C199" i="44"/>
  <c r="Q198" i="44" a="1"/>
  <c r="Q198" i="44" s="1"/>
  <c r="C198" i="44"/>
  <c r="Q197" i="44" a="1"/>
  <c r="Q197" i="44" s="1"/>
  <c r="C197" i="44"/>
  <c r="Q196" i="44" a="1"/>
  <c r="Q196" i="44" s="1"/>
  <c r="C196" i="44"/>
  <c r="Q195" i="44" a="1"/>
  <c r="Q195" i="44" s="1"/>
  <c r="C195" i="44"/>
  <c r="Q194" i="44" a="1"/>
  <c r="Q194" i="44" s="1"/>
  <c r="C194" i="44"/>
  <c r="Q193" i="44" a="1"/>
  <c r="Q193" i="44" s="1"/>
  <c r="C193" i="44"/>
  <c r="Q192" i="44" a="1"/>
  <c r="Q192" i="44" s="1"/>
  <c r="C192" i="44"/>
  <c r="Q191" i="44" a="1"/>
  <c r="Q191" i="44" s="1"/>
  <c r="C191" i="44"/>
  <c r="Q190" i="44" a="1"/>
  <c r="Q190" i="44" s="1"/>
  <c r="C190" i="44"/>
  <c r="Q189" i="44" a="1"/>
  <c r="Q189" i="44" s="1"/>
  <c r="C189" i="44"/>
  <c r="Q188" i="44" a="1"/>
  <c r="Q188" i="44" s="1"/>
  <c r="C188" i="44"/>
  <c r="Q187" i="44" a="1"/>
  <c r="Q187" i="44" s="1"/>
  <c r="C187" i="44"/>
  <c r="Q186" i="44" a="1"/>
  <c r="Q186" i="44" s="1"/>
  <c r="C186" i="44"/>
  <c r="Q185" i="44" a="1"/>
  <c r="Q185" i="44" s="1"/>
  <c r="C185" i="44"/>
  <c r="Q184" i="44" a="1"/>
  <c r="Q184" i="44" s="1"/>
  <c r="C184" i="44"/>
  <c r="Q183" i="44" a="1"/>
  <c r="Q183" i="44" s="1"/>
  <c r="C183" i="44"/>
  <c r="Q182" i="44" a="1"/>
  <c r="Q182" i="44" s="1"/>
  <c r="C182" i="44"/>
  <c r="Q181" i="44" a="1"/>
  <c r="Q181" i="44" s="1"/>
  <c r="C181" i="44"/>
  <c r="Q180" i="44" a="1"/>
  <c r="Q180" i="44" s="1"/>
  <c r="C180" i="44"/>
  <c r="Q179" i="44" a="1"/>
  <c r="Q179" i="44" s="1"/>
  <c r="C179" i="44"/>
  <c r="Q178" i="44" a="1"/>
  <c r="Q178" i="44" s="1"/>
  <c r="C178" i="44"/>
  <c r="Q177" i="44" a="1"/>
  <c r="Q177" i="44" s="1"/>
  <c r="C177" i="44"/>
  <c r="Q176" i="44" a="1"/>
  <c r="Q176" i="44" s="1"/>
  <c r="C176" i="44"/>
  <c r="Q175" i="44" a="1"/>
  <c r="Q175" i="44" s="1"/>
  <c r="C175" i="44"/>
  <c r="Q174" i="44" a="1"/>
  <c r="Q174" i="44" s="1"/>
  <c r="C174" i="44"/>
  <c r="Q173" i="44" a="1"/>
  <c r="Q173" i="44" s="1"/>
  <c r="C173" i="44"/>
  <c r="Q172" i="44" a="1"/>
  <c r="Q172" i="44" s="1"/>
  <c r="C172" i="44"/>
  <c r="Q171" i="44" a="1"/>
  <c r="Q171" i="44" s="1"/>
  <c r="C171" i="44"/>
  <c r="Q170" i="44" a="1"/>
  <c r="Q170" i="44" s="1"/>
  <c r="C170" i="44"/>
  <c r="Q169" i="44" a="1"/>
  <c r="Q169" i="44" s="1"/>
  <c r="C169" i="44"/>
  <c r="Q168" i="44" a="1"/>
  <c r="Q168" i="44" s="1"/>
  <c r="C168" i="44"/>
  <c r="Q167" i="44" a="1"/>
  <c r="Q167" i="44" s="1"/>
  <c r="C167" i="44"/>
  <c r="Q166" i="44" a="1"/>
  <c r="Q166" i="44" s="1"/>
  <c r="C166" i="44"/>
  <c r="Q165" i="44" a="1"/>
  <c r="Q165" i="44" s="1"/>
  <c r="C165" i="44"/>
  <c r="Q164" i="44" a="1"/>
  <c r="Q164" i="44" s="1"/>
  <c r="C164" i="44"/>
  <c r="Q163" i="44" a="1"/>
  <c r="Q163" i="44" s="1"/>
  <c r="C163" i="44"/>
  <c r="Q162" i="44" a="1"/>
  <c r="Q162" i="44" s="1"/>
  <c r="C162" i="44"/>
  <c r="Q161" i="44" a="1"/>
  <c r="Q161" i="44" s="1"/>
  <c r="C161" i="44"/>
  <c r="Q160" i="44" a="1"/>
  <c r="Q160" i="44" s="1"/>
  <c r="C160" i="44"/>
  <c r="Q159" i="44" a="1"/>
  <c r="Q159" i="44" s="1"/>
  <c r="C159" i="44"/>
  <c r="Q158" i="44" a="1"/>
  <c r="Q158" i="44" s="1"/>
  <c r="C158" i="44"/>
  <c r="Q157" i="44" a="1"/>
  <c r="Q157" i="44" s="1"/>
  <c r="C157" i="44"/>
  <c r="Q156" i="44" a="1"/>
  <c r="Q156" i="44" s="1"/>
  <c r="C156" i="44"/>
  <c r="Q155" i="44" a="1"/>
  <c r="Q155" i="44" s="1"/>
  <c r="C155" i="44"/>
  <c r="Q154" i="44" a="1"/>
  <c r="Q154" i="44" s="1"/>
  <c r="C154" i="44"/>
  <c r="Q153" i="44" a="1"/>
  <c r="Q153" i="44" s="1"/>
  <c r="C153" i="44"/>
  <c r="Q152" i="44" a="1"/>
  <c r="Q152" i="44" s="1"/>
  <c r="C152" i="44"/>
  <c r="Q151" i="44" a="1"/>
  <c r="Q151" i="44" s="1"/>
  <c r="C151" i="44"/>
  <c r="Q150" i="44" a="1"/>
  <c r="Q150" i="44" s="1"/>
  <c r="C150" i="44"/>
  <c r="Q149" i="44" a="1"/>
  <c r="Q149" i="44" s="1"/>
  <c r="C149" i="44"/>
  <c r="Q148" i="44" a="1"/>
  <c r="Q148" i="44" s="1"/>
  <c r="C148" i="44"/>
  <c r="Q147" i="44" a="1"/>
  <c r="Q147" i="44" s="1"/>
  <c r="C147" i="44"/>
  <c r="Q146" i="44" a="1"/>
  <c r="Q146" i="44" s="1"/>
  <c r="C146" i="44"/>
  <c r="Q145" i="44" a="1"/>
  <c r="Q145" i="44" s="1"/>
  <c r="C145" i="44"/>
  <c r="Q144" i="44" a="1"/>
  <c r="Q144" i="44" s="1"/>
  <c r="C144" i="44"/>
  <c r="Q143" i="44" a="1"/>
  <c r="Q143" i="44" s="1"/>
  <c r="C143" i="44"/>
  <c r="Q142" i="44" a="1"/>
  <c r="Q142" i="44" s="1"/>
  <c r="C142" i="44"/>
  <c r="Q141" i="44" a="1"/>
  <c r="Q141" i="44" s="1"/>
  <c r="C141" i="44"/>
  <c r="Q140" i="44" a="1"/>
  <c r="Q140" i="44" s="1"/>
  <c r="C140" i="44"/>
  <c r="Q139" i="44" a="1"/>
  <c r="Q139" i="44" s="1"/>
  <c r="C139" i="44"/>
  <c r="Q138" i="44" a="1"/>
  <c r="Q138" i="44" s="1"/>
  <c r="C138" i="44"/>
  <c r="Q137" i="44" a="1"/>
  <c r="Q137" i="44" s="1"/>
  <c r="C137" i="44"/>
  <c r="Q136" i="44" a="1"/>
  <c r="Q136" i="44" s="1"/>
  <c r="C136" i="44"/>
  <c r="Q135" i="44" a="1"/>
  <c r="Q135" i="44" s="1"/>
  <c r="C135" i="44"/>
  <c r="Q134" i="44" a="1"/>
  <c r="Q134" i="44" s="1"/>
  <c r="C134" i="44"/>
  <c r="Q133" i="44" a="1"/>
  <c r="Q133" i="44" s="1"/>
  <c r="C133" i="44"/>
  <c r="Q132" i="44" a="1"/>
  <c r="Q132" i="44" s="1"/>
  <c r="C132" i="44"/>
  <c r="Q131" i="44" a="1"/>
  <c r="Q131" i="44" s="1"/>
  <c r="C131" i="44"/>
  <c r="Q130" i="44" a="1"/>
  <c r="Q130" i="44" s="1"/>
  <c r="C130" i="44"/>
  <c r="Q129" i="44" a="1"/>
  <c r="Q129" i="44" s="1"/>
  <c r="C129" i="44"/>
  <c r="Q128" i="44" a="1"/>
  <c r="Q128" i="44" s="1"/>
  <c r="C128" i="44"/>
  <c r="Q127" i="44" a="1"/>
  <c r="Q127" i="44" s="1"/>
  <c r="C127" i="44"/>
  <c r="Q126" i="44" a="1"/>
  <c r="Q126" i="44" s="1"/>
  <c r="C126" i="44"/>
  <c r="Q125" i="44" a="1"/>
  <c r="Q125" i="44" s="1"/>
  <c r="C125" i="44"/>
  <c r="Q124" i="44" a="1"/>
  <c r="Q124" i="44" s="1"/>
  <c r="C124" i="44"/>
  <c r="Q123" i="44" a="1"/>
  <c r="Q123" i="44" s="1"/>
  <c r="C123" i="44"/>
  <c r="Q122" i="44" a="1"/>
  <c r="Q122" i="44" s="1"/>
  <c r="C122" i="44"/>
  <c r="Q121" i="44" a="1"/>
  <c r="Q121" i="44" s="1"/>
  <c r="C121" i="44"/>
  <c r="Q120" i="44" a="1"/>
  <c r="Q120" i="44" s="1"/>
  <c r="C120" i="44"/>
  <c r="Q119" i="44" a="1"/>
  <c r="Q119" i="44" s="1"/>
  <c r="C119" i="44"/>
  <c r="Q118" i="44" a="1"/>
  <c r="Q118" i="44" s="1"/>
  <c r="C118" i="44"/>
  <c r="Q117" i="44" a="1"/>
  <c r="Q117" i="44" s="1"/>
  <c r="C117" i="44"/>
  <c r="Q116" i="44" a="1"/>
  <c r="Q116" i="44" s="1"/>
  <c r="C116" i="44"/>
  <c r="Q115" i="44" a="1"/>
  <c r="Q115" i="44" s="1"/>
  <c r="C115" i="44"/>
  <c r="Q114" i="44" a="1"/>
  <c r="Q114" i="44" s="1"/>
  <c r="C114" i="44"/>
  <c r="Q113" i="44" a="1"/>
  <c r="Q113" i="44" s="1"/>
  <c r="C113" i="44"/>
  <c r="Q112" i="44" a="1"/>
  <c r="Q112" i="44" s="1"/>
  <c r="C112" i="44"/>
  <c r="Q111" i="44" a="1"/>
  <c r="Q111" i="44" s="1"/>
  <c r="C111" i="44"/>
  <c r="Q110" i="44" a="1"/>
  <c r="Q110" i="44" s="1"/>
  <c r="C110" i="44"/>
  <c r="Q109" i="44" a="1"/>
  <c r="Q109" i="44" s="1"/>
  <c r="C109" i="44"/>
  <c r="Q108" i="44" a="1"/>
  <c r="Q108" i="44" s="1"/>
  <c r="C108" i="44"/>
  <c r="Q107" i="44" a="1"/>
  <c r="Q107" i="44" s="1"/>
  <c r="C107" i="44"/>
  <c r="Q106" i="44" a="1"/>
  <c r="Q106" i="44" s="1"/>
  <c r="C106" i="44"/>
  <c r="Q105" i="44" a="1"/>
  <c r="Q105" i="44" s="1"/>
  <c r="C105" i="44"/>
  <c r="Q104" i="44" a="1"/>
  <c r="Q104" i="44" s="1"/>
  <c r="C104" i="44"/>
  <c r="Q103" i="44" a="1"/>
  <c r="Q103" i="44" s="1"/>
  <c r="C103" i="44"/>
  <c r="Q102" i="44" a="1"/>
  <c r="Q102" i="44" s="1"/>
  <c r="C102" i="44"/>
  <c r="Q101" i="44" a="1"/>
  <c r="Q101" i="44" s="1"/>
  <c r="C101" i="44"/>
  <c r="Q100" i="44" a="1"/>
  <c r="Q100" i="44" s="1"/>
  <c r="C100" i="44"/>
  <c r="Q99" i="44" a="1"/>
  <c r="Q99" i="44" s="1"/>
  <c r="C99" i="44"/>
  <c r="Q98" i="44" a="1"/>
  <c r="Q98" i="44" s="1"/>
  <c r="C98" i="44"/>
  <c r="Q97" i="44" a="1"/>
  <c r="Q97" i="44" s="1"/>
  <c r="C97" i="44"/>
  <c r="Q96" i="44" a="1"/>
  <c r="Q96" i="44" s="1"/>
  <c r="C96" i="44"/>
  <c r="Q95" i="44" a="1"/>
  <c r="Q95" i="44" s="1"/>
  <c r="C95" i="44"/>
  <c r="Q94" i="44" a="1"/>
  <c r="Q94" i="44" s="1"/>
  <c r="C94" i="44"/>
  <c r="Q93" i="44" a="1"/>
  <c r="Q93" i="44" s="1"/>
  <c r="C93" i="44"/>
  <c r="Q92" i="44" a="1"/>
  <c r="Q92" i="44" s="1"/>
  <c r="C92" i="44"/>
  <c r="Q91" i="44" a="1"/>
  <c r="Q91" i="44" s="1"/>
  <c r="C91" i="44"/>
  <c r="Q90" i="44" a="1"/>
  <c r="Q90" i="44" s="1"/>
  <c r="C90" i="44"/>
  <c r="Q89" i="44" a="1"/>
  <c r="Q89" i="44" s="1"/>
  <c r="C89" i="44"/>
  <c r="Q88" i="44" a="1"/>
  <c r="Q88" i="44" s="1"/>
  <c r="C88" i="44"/>
  <c r="Q87" i="44" a="1"/>
  <c r="Q87" i="44" s="1"/>
  <c r="C87" i="44"/>
  <c r="Q86" i="44" a="1"/>
  <c r="Q86" i="44" s="1"/>
  <c r="C86" i="44"/>
  <c r="Q85" i="44" a="1"/>
  <c r="Q85" i="44" s="1"/>
  <c r="C85" i="44"/>
  <c r="Q84" i="44" a="1"/>
  <c r="Q84" i="44" s="1"/>
  <c r="C84" i="44"/>
  <c r="Q83" i="44" a="1"/>
  <c r="Q83" i="44" s="1"/>
  <c r="C83" i="44"/>
  <c r="Q82" i="44" a="1"/>
  <c r="Q82" i="44" s="1"/>
  <c r="C82" i="44"/>
  <c r="Q81" i="44" a="1"/>
  <c r="Q81" i="44" s="1"/>
  <c r="C81" i="44"/>
  <c r="Q80" i="44" a="1"/>
  <c r="Q80" i="44" s="1"/>
  <c r="C80" i="44"/>
  <c r="Q79" i="44" a="1"/>
  <c r="Q79" i="44" s="1"/>
  <c r="C79" i="44"/>
  <c r="Q78" i="44" a="1"/>
  <c r="Q78" i="44" s="1"/>
  <c r="C78" i="44"/>
  <c r="Q77" i="44" a="1"/>
  <c r="Q77" i="44" s="1"/>
  <c r="C77" i="44"/>
  <c r="Q76" i="44" a="1"/>
  <c r="Q76" i="44" s="1"/>
  <c r="C76" i="44"/>
  <c r="Q438" i="43" a="1"/>
  <c r="Q438" i="43" s="1"/>
  <c r="C438" i="43"/>
  <c r="Q437" i="43" a="1"/>
  <c r="Q437" i="43" s="1"/>
  <c r="C437" i="43"/>
  <c r="Q436" i="43" a="1"/>
  <c r="Q436" i="43" s="1"/>
  <c r="C436" i="43"/>
  <c r="Q435" i="43" a="1"/>
  <c r="Q435" i="43" s="1"/>
  <c r="C435" i="43"/>
  <c r="Q434" i="43" a="1"/>
  <c r="Q434" i="43" s="1"/>
  <c r="C434" i="43"/>
  <c r="Q433" i="43" a="1"/>
  <c r="Q433" i="43" s="1"/>
  <c r="C433" i="43"/>
  <c r="Q432" i="43" a="1"/>
  <c r="Q432" i="43" s="1"/>
  <c r="C432" i="43"/>
  <c r="Q431" i="43" a="1"/>
  <c r="Q431" i="43" s="1"/>
  <c r="C431" i="43"/>
  <c r="Q430" i="43" a="1"/>
  <c r="Q430" i="43" s="1"/>
  <c r="C430" i="43"/>
  <c r="Q429" i="43" a="1"/>
  <c r="Q429" i="43" s="1"/>
  <c r="C429" i="43"/>
  <c r="Q428" i="43" a="1"/>
  <c r="Q428" i="43" s="1"/>
  <c r="C428" i="43"/>
  <c r="Q427" i="43" a="1"/>
  <c r="Q427" i="43" s="1"/>
  <c r="C427" i="43"/>
  <c r="Q426" i="43" a="1"/>
  <c r="Q426" i="43" s="1"/>
  <c r="C426" i="43"/>
  <c r="Q425" i="43" a="1"/>
  <c r="Q425" i="43" s="1"/>
  <c r="C425" i="43"/>
  <c r="Q424" i="43" a="1"/>
  <c r="Q424" i="43" s="1"/>
  <c r="C424" i="43"/>
  <c r="Q423" i="43" a="1"/>
  <c r="Q423" i="43" s="1"/>
  <c r="C423" i="43"/>
  <c r="Q422" i="43" a="1"/>
  <c r="Q422" i="43" s="1"/>
  <c r="C422" i="43"/>
  <c r="Q421" i="43" a="1"/>
  <c r="Q421" i="43" s="1"/>
  <c r="C421" i="43"/>
  <c r="Q420" i="43" a="1"/>
  <c r="Q420" i="43" s="1"/>
  <c r="C420" i="43"/>
  <c r="Q419" i="43" a="1"/>
  <c r="Q419" i="43" s="1"/>
  <c r="C419" i="43"/>
  <c r="Q418" i="43" a="1"/>
  <c r="Q418" i="43" s="1"/>
  <c r="C418" i="43"/>
  <c r="Q417" i="43" a="1"/>
  <c r="Q417" i="43" s="1"/>
  <c r="C417" i="43"/>
  <c r="Q416" i="43" a="1"/>
  <c r="Q416" i="43" s="1"/>
  <c r="C416" i="43"/>
  <c r="Q415" i="43" a="1"/>
  <c r="Q415" i="43" s="1"/>
  <c r="C415" i="43"/>
  <c r="Q414" i="43" a="1"/>
  <c r="Q414" i="43" s="1"/>
  <c r="C414" i="43"/>
  <c r="Q413" i="43" a="1"/>
  <c r="Q413" i="43" s="1"/>
  <c r="C413" i="43"/>
  <c r="Q412" i="43" a="1"/>
  <c r="Q412" i="43" s="1"/>
  <c r="C412" i="43"/>
  <c r="Q411" i="43" a="1"/>
  <c r="Q411" i="43" s="1"/>
  <c r="C411" i="43"/>
  <c r="Q410" i="43" a="1"/>
  <c r="Q410" i="43" s="1"/>
  <c r="C410" i="43"/>
  <c r="Q409" i="43" a="1"/>
  <c r="Q409" i="43" s="1"/>
  <c r="C409" i="43"/>
  <c r="Q408" i="43" a="1"/>
  <c r="Q408" i="43" s="1"/>
  <c r="C408" i="43"/>
  <c r="Q407" i="43" a="1"/>
  <c r="Q407" i="43" s="1"/>
  <c r="C407" i="43"/>
  <c r="Q406" i="43" a="1"/>
  <c r="Q406" i="43" s="1"/>
  <c r="C406" i="43"/>
  <c r="Q405" i="43" a="1"/>
  <c r="Q405" i="43" s="1"/>
  <c r="C405" i="43"/>
  <c r="Q404" i="43" a="1"/>
  <c r="Q404" i="43" s="1"/>
  <c r="C404" i="43"/>
  <c r="Q403" i="43" a="1"/>
  <c r="Q403" i="43" s="1"/>
  <c r="C403" i="43"/>
  <c r="Q402" i="43" a="1"/>
  <c r="Q402" i="43" s="1"/>
  <c r="C402" i="43"/>
  <c r="Q401" i="43" a="1"/>
  <c r="Q401" i="43" s="1"/>
  <c r="C401" i="43"/>
  <c r="Q400" i="43" a="1"/>
  <c r="Q400" i="43" s="1"/>
  <c r="C400" i="43"/>
  <c r="Q399" i="43" a="1"/>
  <c r="Q399" i="43" s="1"/>
  <c r="C399" i="43"/>
  <c r="Q398" i="43" a="1"/>
  <c r="Q398" i="43" s="1"/>
  <c r="C398" i="43"/>
  <c r="Q397" i="43" a="1"/>
  <c r="Q397" i="43" s="1"/>
  <c r="C397" i="43"/>
  <c r="Q396" i="43" a="1"/>
  <c r="Q396" i="43" s="1"/>
  <c r="C396" i="43"/>
  <c r="Q395" i="43" a="1"/>
  <c r="Q395" i="43" s="1"/>
  <c r="C395" i="43"/>
  <c r="Q394" i="43" a="1"/>
  <c r="Q394" i="43" s="1"/>
  <c r="C394" i="43"/>
  <c r="Q393" i="43" a="1"/>
  <c r="Q393" i="43" s="1"/>
  <c r="C393" i="43"/>
  <c r="Q392" i="43" a="1"/>
  <c r="Q392" i="43" s="1"/>
  <c r="C392" i="43"/>
  <c r="Q391" i="43" a="1"/>
  <c r="Q391" i="43" s="1"/>
  <c r="C391" i="43"/>
  <c r="Q390" i="43" a="1"/>
  <c r="Q390" i="43" s="1"/>
  <c r="C390" i="43"/>
  <c r="Q389" i="43" a="1"/>
  <c r="Q389" i="43" s="1"/>
  <c r="C389" i="43"/>
  <c r="Q388" i="43" a="1"/>
  <c r="Q388" i="43" s="1"/>
  <c r="C388" i="43"/>
  <c r="Q387" i="43" a="1"/>
  <c r="Q387" i="43" s="1"/>
  <c r="C387" i="43"/>
  <c r="Q386" i="43" a="1"/>
  <c r="Q386" i="43" s="1"/>
  <c r="C386" i="43"/>
  <c r="Q385" i="43" a="1"/>
  <c r="Q385" i="43" s="1"/>
  <c r="C385" i="43"/>
  <c r="Q384" i="43" a="1"/>
  <c r="Q384" i="43" s="1"/>
  <c r="C384" i="43"/>
  <c r="Q383" i="43" a="1"/>
  <c r="Q383" i="43" s="1"/>
  <c r="C383" i="43"/>
  <c r="Q382" i="43" a="1"/>
  <c r="Q382" i="43" s="1"/>
  <c r="C382" i="43"/>
  <c r="Q381" i="43" a="1"/>
  <c r="Q381" i="43" s="1"/>
  <c r="C381" i="43"/>
  <c r="Q380" i="43" a="1"/>
  <c r="Q380" i="43" s="1"/>
  <c r="C380" i="43"/>
  <c r="Q379" i="43" a="1"/>
  <c r="Q379" i="43" s="1"/>
  <c r="C379" i="43"/>
  <c r="Q378" i="43" a="1"/>
  <c r="Q378" i="43" s="1"/>
  <c r="C378" i="43"/>
  <c r="Q377" i="43" a="1"/>
  <c r="Q377" i="43" s="1"/>
  <c r="C377" i="43"/>
  <c r="Q376" i="43" a="1"/>
  <c r="Q376" i="43" s="1"/>
  <c r="C376" i="43"/>
  <c r="Q375" i="43" a="1"/>
  <c r="Q375" i="43" s="1"/>
  <c r="C375" i="43"/>
  <c r="Q374" i="43" a="1"/>
  <c r="Q374" i="43" s="1"/>
  <c r="C374" i="43"/>
  <c r="Q373" i="43" a="1"/>
  <c r="Q373" i="43" s="1"/>
  <c r="C373" i="43"/>
  <c r="Q372" i="43" a="1"/>
  <c r="Q372" i="43" s="1"/>
  <c r="C372" i="43"/>
  <c r="Q371" i="43" a="1"/>
  <c r="Q371" i="43" s="1"/>
  <c r="C371" i="43"/>
  <c r="Q370" i="43" a="1"/>
  <c r="Q370" i="43" s="1"/>
  <c r="C370" i="43"/>
  <c r="Q369" i="43" a="1"/>
  <c r="Q369" i="43" s="1"/>
  <c r="C369" i="43"/>
  <c r="Q368" i="43" a="1"/>
  <c r="Q368" i="43" s="1"/>
  <c r="C368" i="43"/>
  <c r="Q367" i="43" a="1"/>
  <c r="Q367" i="43" s="1"/>
  <c r="C367" i="43"/>
  <c r="Q366" i="43" a="1"/>
  <c r="Q366" i="43" s="1"/>
  <c r="C366" i="43"/>
  <c r="Q365" i="43" a="1"/>
  <c r="Q365" i="43" s="1"/>
  <c r="C365" i="43"/>
  <c r="Q364" i="43" a="1"/>
  <c r="Q364" i="43" s="1"/>
  <c r="C364" i="43"/>
  <c r="Q363" i="43" a="1"/>
  <c r="Q363" i="43" s="1"/>
  <c r="C363" i="43"/>
  <c r="Q362" i="43" a="1"/>
  <c r="Q362" i="43" s="1"/>
  <c r="C362" i="43"/>
  <c r="Q361" i="43" a="1"/>
  <c r="Q361" i="43" s="1"/>
  <c r="C361" i="43"/>
  <c r="Q360" i="43" a="1"/>
  <c r="Q360" i="43" s="1"/>
  <c r="C360" i="43"/>
  <c r="Q359" i="43" a="1"/>
  <c r="Q359" i="43" s="1"/>
  <c r="C359" i="43"/>
  <c r="Q358" i="43" a="1"/>
  <c r="Q358" i="43" s="1"/>
  <c r="C358" i="43"/>
  <c r="Q357" i="43" a="1"/>
  <c r="Q357" i="43" s="1"/>
  <c r="C357" i="43"/>
  <c r="Q356" i="43" a="1"/>
  <c r="Q356" i="43" s="1"/>
  <c r="C356" i="43"/>
  <c r="Q355" i="43" a="1"/>
  <c r="Q355" i="43" s="1"/>
  <c r="C355" i="43"/>
  <c r="Q354" i="43" a="1"/>
  <c r="Q354" i="43" s="1"/>
  <c r="C354" i="43"/>
  <c r="Q353" i="43" a="1"/>
  <c r="Q353" i="43" s="1"/>
  <c r="C353" i="43"/>
  <c r="Q352" i="43" a="1"/>
  <c r="Q352" i="43" s="1"/>
  <c r="C352" i="43"/>
  <c r="Q351" i="43" a="1"/>
  <c r="Q351" i="43" s="1"/>
  <c r="C351" i="43"/>
  <c r="Q350" i="43" a="1"/>
  <c r="Q350" i="43" s="1"/>
  <c r="C350" i="43"/>
  <c r="Q349" i="43" a="1"/>
  <c r="Q349" i="43" s="1"/>
  <c r="C349" i="43"/>
  <c r="Q348" i="43" a="1"/>
  <c r="Q348" i="43" s="1"/>
  <c r="C348" i="43"/>
  <c r="Q347" i="43" a="1"/>
  <c r="Q347" i="43" s="1"/>
  <c r="C347" i="43"/>
  <c r="Q346" i="43" a="1"/>
  <c r="Q346" i="43" s="1"/>
  <c r="C346" i="43"/>
  <c r="Q345" i="43" a="1"/>
  <c r="Q345" i="43" s="1"/>
  <c r="C345" i="43"/>
  <c r="Q344" i="43" a="1"/>
  <c r="Q344" i="43" s="1"/>
  <c r="C344" i="43"/>
  <c r="Q343" i="43" a="1"/>
  <c r="Q343" i="43" s="1"/>
  <c r="C343" i="43"/>
  <c r="Q342" i="43" a="1"/>
  <c r="Q342" i="43" s="1"/>
  <c r="C342" i="43"/>
  <c r="Q341" i="43" a="1"/>
  <c r="Q341" i="43" s="1"/>
  <c r="C341" i="43"/>
  <c r="Q340" i="43" a="1"/>
  <c r="Q340" i="43" s="1"/>
  <c r="C340" i="43"/>
  <c r="Q339" i="43" a="1"/>
  <c r="Q339" i="43" s="1"/>
  <c r="C339" i="43"/>
  <c r="Q338" i="43" a="1"/>
  <c r="Q338" i="43" s="1"/>
  <c r="C338" i="43"/>
  <c r="Q337" i="43" a="1"/>
  <c r="Q337" i="43" s="1"/>
  <c r="C337" i="43"/>
  <c r="Q336" i="43" a="1"/>
  <c r="Q336" i="43" s="1"/>
  <c r="C336" i="43"/>
  <c r="Q335" i="43" a="1"/>
  <c r="Q335" i="43" s="1"/>
  <c r="C335" i="43"/>
  <c r="Q334" i="43" a="1"/>
  <c r="Q334" i="43" s="1"/>
  <c r="C334" i="43"/>
  <c r="Q333" i="43" a="1"/>
  <c r="Q333" i="43" s="1"/>
  <c r="C333" i="43"/>
  <c r="Q332" i="43" a="1"/>
  <c r="Q332" i="43" s="1"/>
  <c r="C332" i="43"/>
  <c r="Q331" i="43" a="1"/>
  <c r="Q331" i="43" s="1"/>
  <c r="C331" i="43"/>
  <c r="Q330" i="43" a="1"/>
  <c r="Q330" i="43" s="1"/>
  <c r="C330" i="43"/>
  <c r="Q329" i="43" a="1"/>
  <c r="Q329" i="43" s="1"/>
  <c r="C329" i="43"/>
  <c r="Q328" i="43" a="1"/>
  <c r="Q328" i="43" s="1"/>
  <c r="C328" i="43"/>
  <c r="Q327" i="43" a="1"/>
  <c r="Q327" i="43" s="1"/>
  <c r="C327" i="43"/>
  <c r="Q326" i="43" a="1"/>
  <c r="Q326" i="43" s="1"/>
  <c r="C326" i="43"/>
  <c r="Q325" i="43" a="1"/>
  <c r="Q325" i="43" s="1"/>
  <c r="C325" i="43"/>
  <c r="Q324" i="43" a="1"/>
  <c r="Q324" i="43" s="1"/>
  <c r="C324" i="43"/>
  <c r="Q323" i="43" a="1"/>
  <c r="Q323" i="43" s="1"/>
  <c r="C323" i="43"/>
  <c r="Q322" i="43" a="1"/>
  <c r="Q322" i="43" s="1"/>
  <c r="C322" i="43"/>
  <c r="Q321" i="43" a="1"/>
  <c r="Q321" i="43" s="1"/>
  <c r="C321" i="43"/>
  <c r="Q320" i="43" a="1"/>
  <c r="Q320" i="43" s="1"/>
  <c r="C320" i="43"/>
  <c r="Q319" i="43" a="1"/>
  <c r="Q319" i="43" s="1"/>
  <c r="C319" i="43"/>
  <c r="Q318" i="43" a="1"/>
  <c r="Q318" i="43" s="1"/>
  <c r="C318" i="43"/>
  <c r="Q317" i="43" a="1"/>
  <c r="Q317" i="43" s="1"/>
  <c r="C317" i="43"/>
  <c r="Q316" i="43" a="1"/>
  <c r="Q316" i="43" s="1"/>
  <c r="C316" i="43"/>
  <c r="Q315" i="43" a="1"/>
  <c r="Q315" i="43" s="1"/>
  <c r="C315" i="43"/>
  <c r="Q314" i="43" a="1"/>
  <c r="Q314" i="43" s="1"/>
  <c r="C314" i="43"/>
  <c r="Q313" i="43" a="1"/>
  <c r="Q313" i="43" s="1"/>
  <c r="C313" i="43"/>
  <c r="Q312" i="43" a="1"/>
  <c r="Q312" i="43" s="1"/>
  <c r="C312" i="43"/>
  <c r="Q311" i="43" a="1"/>
  <c r="Q311" i="43" s="1"/>
  <c r="C311" i="43"/>
  <c r="Q310" i="43" a="1"/>
  <c r="Q310" i="43" s="1"/>
  <c r="C310" i="43"/>
  <c r="Q309" i="43" a="1"/>
  <c r="Q309" i="43" s="1"/>
  <c r="C309" i="43"/>
  <c r="Q308" i="43" a="1"/>
  <c r="Q308" i="43" s="1"/>
  <c r="C308" i="43"/>
  <c r="Q307" i="43" a="1"/>
  <c r="Q307" i="43" s="1"/>
  <c r="C307" i="43"/>
  <c r="Q306" i="43" a="1"/>
  <c r="Q306" i="43" s="1"/>
  <c r="C306" i="43"/>
  <c r="Q305" i="43" a="1"/>
  <c r="Q305" i="43" s="1"/>
  <c r="C305" i="43"/>
  <c r="Q304" i="43" a="1"/>
  <c r="Q304" i="43" s="1"/>
  <c r="C304" i="43"/>
  <c r="Q303" i="43" a="1"/>
  <c r="Q303" i="43" s="1"/>
  <c r="C303" i="43"/>
  <c r="Q302" i="43" a="1"/>
  <c r="Q302" i="43" s="1"/>
  <c r="C302" i="43"/>
  <c r="Q301" i="43" a="1"/>
  <c r="Q301" i="43" s="1"/>
  <c r="C301" i="43"/>
  <c r="Q300" i="43" a="1"/>
  <c r="Q300" i="43" s="1"/>
  <c r="C300" i="43"/>
  <c r="Q299" i="43" a="1"/>
  <c r="Q299" i="43" s="1"/>
  <c r="C299" i="43"/>
  <c r="Q298" i="43" a="1"/>
  <c r="Q298" i="43" s="1"/>
  <c r="C298" i="43"/>
  <c r="Q297" i="43" a="1"/>
  <c r="Q297" i="43" s="1"/>
  <c r="C297" i="43"/>
  <c r="Q296" i="43" a="1"/>
  <c r="Q296" i="43" s="1"/>
  <c r="C296" i="43"/>
  <c r="Q295" i="43" a="1"/>
  <c r="Q295" i="43" s="1"/>
  <c r="C295" i="43"/>
  <c r="Q294" i="43" a="1"/>
  <c r="Q294" i="43" s="1"/>
  <c r="C294" i="43"/>
  <c r="Q293" i="43" a="1"/>
  <c r="Q293" i="43" s="1"/>
  <c r="C293" i="43"/>
  <c r="Q292" i="43" a="1"/>
  <c r="Q292" i="43" s="1"/>
  <c r="C292" i="43"/>
  <c r="Q291" i="43" a="1"/>
  <c r="Q291" i="43" s="1"/>
  <c r="C291" i="43"/>
  <c r="Q290" i="43" a="1"/>
  <c r="Q290" i="43" s="1"/>
  <c r="C290" i="43"/>
  <c r="Q289" i="43" a="1"/>
  <c r="Q289" i="43" s="1"/>
  <c r="C289" i="43"/>
  <c r="Q288" i="43" a="1"/>
  <c r="Q288" i="43" s="1"/>
  <c r="C288" i="43"/>
  <c r="Q287" i="43" a="1"/>
  <c r="Q287" i="43" s="1"/>
  <c r="C287" i="43"/>
  <c r="Q286" i="43" a="1"/>
  <c r="Q286" i="43" s="1"/>
  <c r="C286" i="43"/>
  <c r="Q285" i="43" a="1"/>
  <c r="Q285" i="43" s="1"/>
  <c r="C285" i="43"/>
  <c r="Q284" i="43" a="1"/>
  <c r="Q284" i="43" s="1"/>
  <c r="C284" i="43"/>
  <c r="Q283" i="43" a="1"/>
  <c r="Q283" i="43" s="1"/>
  <c r="C283" i="43"/>
  <c r="Q282" i="43" a="1"/>
  <c r="Q282" i="43" s="1"/>
  <c r="C282" i="43"/>
  <c r="Q281" i="43" a="1"/>
  <c r="Q281" i="43" s="1"/>
  <c r="C281" i="43"/>
  <c r="Q280" i="43" a="1"/>
  <c r="Q280" i="43" s="1"/>
  <c r="C280" i="43"/>
  <c r="Q279" i="43" a="1"/>
  <c r="Q279" i="43" s="1"/>
  <c r="C279" i="43"/>
  <c r="Q278" i="43" a="1"/>
  <c r="Q278" i="43" s="1"/>
  <c r="C278" i="43"/>
  <c r="Q277" i="43" a="1"/>
  <c r="Q277" i="43" s="1"/>
  <c r="C277" i="43"/>
  <c r="Q276" i="43" a="1"/>
  <c r="Q276" i="43" s="1"/>
  <c r="C276" i="43"/>
  <c r="Q275" i="43" a="1"/>
  <c r="Q275" i="43" s="1"/>
  <c r="C275" i="43"/>
  <c r="Q274" i="43" a="1"/>
  <c r="Q274" i="43" s="1"/>
  <c r="C274" i="43"/>
  <c r="Q273" i="43" a="1"/>
  <c r="Q273" i="43" s="1"/>
  <c r="C273" i="43"/>
  <c r="Q272" i="43" a="1"/>
  <c r="Q272" i="43" s="1"/>
  <c r="C272" i="43"/>
  <c r="Q271" i="43" a="1"/>
  <c r="Q271" i="43" s="1"/>
  <c r="C271" i="43"/>
  <c r="Q270" i="43" a="1"/>
  <c r="Q270" i="43" s="1"/>
  <c r="C270" i="43"/>
  <c r="Q269" i="43" a="1"/>
  <c r="Q269" i="43" s="1"/>
  <c r="C269" i="43"/>
  <c r="Q268" i="43" a="1"/>
  <c r="Q268" i="43" s="1"/>
  <c r="C268" i="43"/>
  <c r="Q267" i="43" a="1"/>
  <c r="Q267" i="43" s="1"/>
  <c r="C267" i="43"/>
  <c r="Q266" i="43" a="1"/>
  <c r="Q266" i="43" s="1"/>
  <c r="C266" i="43"/>
  <c r="Q265" i="43" a="1"/>
  <c r="Q265" i="43" s="1"/>
  <c r="C265" i="43"/>
  <c r="Q264" i="43" a="1"/>
  <c r="Q264" i="43" s="1"/>
  <c r="C264" i="43"/>
  <c r="Q263" i="43" a="1"/>
  <c r="Q263" i="43" s="1"/>
  <c r="C263" i="43"/>
  <c r="Q262" i="43" a="1"/>
  <c r="Q262" i="43" s="1"/>
  <c r="C262" i="43"/>
  <c r="Q261" i="43" a="1"/>
  <c r="Q261" i="43" s="1"/>
  <c r="C261" i="43"/>
  <c r="Q260" i="43" a="1"/>
  <c r="Q260" i="43" s="1"/>
  <c r="C260" i="43"/>
  <c r="Q259" i="43" a="1"/>
  <c r="Q259" i="43" s="1"/>
  <c r="C259" i="43"/>
  <c r="Q258" i="43" a="1"/>
  <c r="Q258" i="43" s="1"/>
  <c r="C258" i="43"/>
  <c r="Q257" i="43" a="1"/>
  <c r="Q257" i="43" s="1"/>
  <c r="C257" i="43"/>
  <c r="Q256" i="43" a="1"/>
  <c r="Q256" i="43" s="1"/>
  <c r="C256" i="43"/>
  <c r="Q255" i="43" a="1"/>
  <c r="Q255" i="43" s="1"/>
  <c r="C255" i="43"/>
  <c r="Q254" i="43" a="1"/>
  <c r="Q254" i="43" s="1"/>
  <c r="C254" i="43"/>
  <c r="Q253" i="43" a="1"/>
  <c r="Q253" i="43" s="1"/>
  <c r="C253" i="43"/>
  <c r="Q252" i="43" a="1"/>
  <c r="Q252" i="43" s="1"/>
  <c r="C252" i="43"/>
  <c r="Q251" i="43" a="1"/>
  <c r="Q251" i="43" s="1"/>
  <c r="C251" i="43"/>
  <c r="Q250" i="43" a="1"/>
  <c r="Q250" i="43" s="1"/>
  <c r="C250" i="43"/>
  <c r="Q249" i="43" a="1"/>
  <c r="Q249" i="43" s="1"/>
  <c r="C249" i="43"/>
  <c r="Q248" i="43" a="1"/>
  <c r="Q248" i="43" s="1"/>
  <c r="C248" i="43"/>
  <c r="Q247" i="43" a="1"/>
  <c r="Q247" i="43" s="1"/>
  <c r="C247" i="43"/>
  <c r="Q246" i="43" a="1"/>
  <c r="Q246" i="43" s="1"/>
  <c r="C246" i="43"/>
  <c r="Q245" i="43" a="1"/>
  <c r="Q245" i="43" s="1"/>
  <c r="C245" i="43"/>
  <c r="Q244" i="43" a="1"/>
  <c r="Q244" i="43" s="1"/>
  <c r="C244" i="43"/>
  <c r="Q243" i="43" a="1"/>
  <c r="Q243" i="43" s="1"/>
  <c r="C243" i="43"/>
  <c r="Q242" i="43" a="1"/>
  <c r="Q242" i="43" s="1"/>
  <c r="C242" i="43"/>
  <c r="Q241" i="43" a="1"/>
  <c r="Q241" i="43" s="1"/>
  <c r="C241" i="43"/>
  <c r="Q240" i="43" a="1"/>
  <c r="Q240" i="43" s="1"/>
  <c r="C240" i="43"/>
  <c r="Q239" i="43" a="1"/>
  <c r="Q239" i="43" s="1"/>
  <c r="C239" i="43"/>
  <c r="Q238" i="43" a="1"/>
  <c r="Q238" i="43" s="1"/>
  <c r="C238" i="43"/>
  <c r="Q237" i="43" a="1"/>
  <c r="Q237" i="43" s="1"/>
  <c r="C237" i="43"/>
  <c r="Q236" i="43" a="1"/>
  <c r="Q236" i="43" s="1"/>
  <c r="C236" i="43"/>
  <c r="Q235" i="43" a="1"/>
  <c r="Q235" i="43" s="1"/>
  <c r="C235" i="43"/>
  <c r="Q234" i="43" a="1"/>
  <c r="Q234" i="43" s="1"/>
  <c r="C234" i="43"/>
  <c r="Q233" i="43" a="1"/>
  <c r="Q233" i="43" s="1"/>
  <c r="C233" i="43"/>
  <c r="Q232" i="43" a="1"/>
  <c r="Q232" i="43" s="1"/>
  <c r="C232" i="43"/>
  <c r="Q231" i="43" a="1"/>
  <c r="Q231" i="43" s="1"/>
  <c r="C231" i="43"/>
  <c r="Q230" i="43" a="1"/>
  <c r="Q230" i="43" s="1"/>
  <c r="C230" i="43"/>
  <c r="Q229" i="43" a="1"/>
  <c r="Q229" i="43" s="1"/>
  <c r="C229" i="43"/>
  <c r="Q228" i="43" a="1"/>
  <c r="Q228" i="43" s="1"/>
  <c r="C228" i="43"/>
  <c r="Q227" i="43" a="1"/>
  <c r="Q227" i="43" s="1"/>
  <c r="C227" i="43"/>
  <c r="Q226" i="43" a="1"/>
  <c r="Q226" i="43" s="1"/>
  <c r="C226" i="43"/>
  <c r="Q225" i="43" a="1"/>
  <c r="Q225" i="43" s="1"/>
  <c r="C225" i="43"/>
  <c r="Q224" i="43" a="1"/>
  <c r="Q224" i="43" s="1"/>
  <c r="C224" i="43"/>
  <c r="Q223" i="43" a="1"/>
  <c r="Q223" i="43" s="1"/>
  <c r="C223" i="43"/>
  <c r="Q222" i="43" a="1"/>
  <c r="Q222" i="43" s="1"/>
  <c r="C222" i="43"/>
  <c r="Q221" i="43" a="1"/>
  <c r="Q221" i="43" s="1"/>
  <c r="C221" i="43"/>
  <c r="Q220" i="43" a="1"/>
  <c r="Q220" i="43" s="1"/>
  <c r="C220" i="43"/>
  <c r="Q219" i="43" a="1"/>
  <c r="Q219" i="43" s="1"/>
  <c r="C219" i="43"/>
  <c r="Q218" i="43" a="1"/>
  <c r="Q218" i="43" s="1"/>
  <c r="C218" i="43"/>
  <c r="Q217" i="43" a="1"/>
  <c r="Q217" i="43" s="1"/>
  <c r="C217" i="43"/>
  <c r="Q216" i="43" a="1"/>
  <c r="Q216" i="43" s="1"/>
  <c r="C216" i="43"/>
  <c r="Q215" i="43" a="1"/>
  <c r="Q215" i="43" s="1"/>
  <c r="C215" i="43"/>
  <c r="Q214" i="43" a="1"/>
  <c r="Q214" i="43" s="1"/>
  <c r="C214" i="43"/>
  <c r="Q213" i="43" a="1"/>
  <c r="Q213" i="43" s="1"/>
  <c r="C213" i="43"/>
  <c r="Q212" i="43" a="1"/>
  <c r="Q212" i="43" s="1"/>
  <c r="C212" i="43"/>
  <c r="Q211" i="43" a="1"/>
  <c r="Q211" i="43" s="1"/>
  <c r="C211" i="43"/>
  <c r="Q210" i="43" a="1"/>
  <c r="Q210" i="43" s="1"/>
  <c r="C210" i="43"/>
  <c r="Q209" i="43" a="1"/>
  <c r="Q209" i="43" s="1"/>
  <c r="C209" i="43"/>
  <c r="Q208" i="43" a="1"/>
  <c r="Q208" i="43" s="1"/>
  <c r="C208" i="43"/>
  <c r="Q207" i="43" a="1"/>
  <c r="Q207" i="43" s="1"/>
  <c r="C207" i="43"/>
  <c r="Q206" i="43" a="1"/>
  <c r="Q206" i="43" s="1"/>
  <c r="C206" i="43"/>
  <c r="Q205" i="43" a="1"/>
  <c r="Q205" i="43" s="1"/>
  <c r="C205" i="43"/>
  <c r="Q204" i="43" a="1"/>
  <c r="Q204" i="43" s="1"/>
  <c r="C204" i="43"/>
  <c r="Q203" i="43" a="1"/>
  <c r="Q203" i="43" s="1"/>
  <c r="C203" i="43"/>
  <c r="Q202" i="43" a="1"/>
  <c r="Q202" i="43" s="1"/>
  <c r="C202" i="43"/>
  <c r="Q201" i="43" a="1"/>
  <c r="Q201" i="43" s="1"/>
  <c r="C201" i="43"/>
  <c r="Q200" i="43" a="1"/>
  <c r="Q200" i="43" s="1"/>
  <c r="C200" i="43"/>
  <c r="Q199" i="43" a="1"/>
  <c r="Q199" i="43" s="1"/>
  <c r="C199" i="43"/>
  <c r="Q198" i="43" a="1"/>
  <c r="Q198" i="43" s="1"/>
  <c r="C198" i="43"/>
  <c r="Q197" i="43" a="1"/>
  <c r="Q197" i="43" s="1"/>
  <c r="C197" i="43"/>
  <c r="Q196" i="43" a="1"/>
  <c r="Q196" i="43" s="1"/>
  <c r="C196" i="43"/>
  <c r="Q195" i="43" a="1"/>
  <c r="Q195" i="43" s="1"/>
  <c r="C195" i="43"/>
  <c r="Q194" i="43" a="1"/>
  <c r="Q194" i="43" s="1"/>
  <c r="C194" i="43"/>
  <c r="Q193" i="43" a="1"/>
  <c r="Q193" i="43" s="1"/>
  <c r="C193" i="43"/>
  <c r="Q192" i="43" a="1"/>
  <c r="Q192" i="43" s="1"/>
  <c r="C192" i="43"/>
  <c r="Q191" i="43" a="1"/>
  <c r="Q191" i="43" s="1"/>
  <c r="C191" i="43"/>
  <c r="Q190" i="43" a="1"/>
  <c r="Q190" i="43" s="1"/>
  <c r="C190" i="43"/>
  <c r="Q189" i="43" a="1"/>
  <c r="Q189" i="43" s="1"/>
  <c r="C189" i="43"/>
  <c r="Q188" i="43" a="1"/>
  <c r="Q188" i="43" s="1"/>
  <c r="C188" i="43"/>
  <c r="Q187" i="43" a="1"/>
  <c r="Q187" i="43" s="1"/>
  <c r="C187" i="43"/>
  <c r="Q186" i="43" a="1"/>
  <c r="Q186" i="43" s="1"/>
  <c r="C186" i="43"/>
  <c r="Q185" i="43" a="1"/>
  <c r="Q185" i="43" s="1"/>
  <c r="C185" i="43"/>
  <c r="Q184" i="43" a="1"/>
  <c r="Q184" i="43" s="1"/>
  <c r="C184" i="43"/>
  <c r="Q183" i="43" a="1"/>
  <c r="Q183" i="43" s="1"/>
  <c r="C183" i="43"/>
  <c r="Q182" i="43" a="1"/>
  <c r="Q182" i="43" s="1"/>
  <c r="C182" i="43"/>
  <c r="Q181" i="43" a="1"/>
  <c r="Q181" i="43" s="1"/>
  <c r="C181" i="43"/>
  <c r="Q180" i="43" a="1"/>
  <c r="Q180" i="43" s="1"/>
  <c r="C180" i="43"/>
  <c r="Q179" i="43" a="1"/>
  <c r="Q179" i="43" s="1"/>
  <c r="C179" i="43"/>
  <c r="Q178" i="43" a="1"/>
  <c r="Q178" i="43" s="1"/>
  <c r="C178" i="43"/>
  <c r="Q177" i="43" a="1"/>
  <c r="Q177" i="43" s="1"/>
  <c r="C177" i="43"/>
  <c r="Q176" i="43" a="1"/>
  <c r="Q176" i="43" s="1"/>
  <c r="C176" i="43"/>
  <c r="Q175" i="43" a="1"/>
  <c r="Q175" i="43" s="1"/>
  <c r="C175" i="43"/>
  <c r="Q174" i="43" a="1"/>
  <c r="Q174" i="43" s="1"/>
  <c r="C174" i="43"/>
  <c r="Q173" i="43" a="1"/>
  <c r="Q173" i="43" s="1"/>
  <c r="C173" i="43"/>
  <c r="Q172" i="43" a="1"/>
  <c r="Q172" i="43" s="1"/>
  <c r="C172" i="43"/>
  <c r="Q171" i="43" a="1"/>
  <c r="Q171" i="43" s="1"/>
  <c r="C171" i="43"/>
  <c r="Q170" i="43" a="1"/>
  <c r="Q170" i="43" s="1"/>
  <c r="C170" i="43"/>
  <c r="Q169" i="43" a="1"/>
  <c r="Q169" i="43" s="1"/>
  <c r="C169" i="43"/>
  <c r="Q168" i="43" a="1"/>
  <c r="Q168" i="43" s="1"/>
  <c r="C168" i="43"/>
  <c r="Q167" i="43" a="1"/>
  <c r="Q167" i="43" s="1"/>
  <c r="C167" i="43"/>
  <c r="Q166" i="43" a="1"/>
  <c r="Q166" i="43" s="1"/>
  <c r="C166" i="43"/>
  <c r="Q165" i="43" a="1"/>
  <c r="Q165" i="43" s="1"/>
  <c r="C165" i="43"/>
  <c r="Q164" i="43" a="1"/>
  <c r="Q164" i="43" s="1"/>
  <c r="C164" i="43"/>
  <c r="Q163" i="43" a="1"/>
  <c r="Q163" i="43" s="1"/>
  <c r="C163" i="43"/>
  <c r="Q162" i="43" a="1"/>
  <c r="Q162" i="43" s="1"/>
  <c r="C162" i="43"/>
  <c r="Q161" i="43" a="1"/>
  <c r="Q161" i="43" s="1"/>
  <c r="C161" i="43"/>
  <c r="Q160" i="43" a="1"/>
  <c r="Q160" i="43" s="1"/>
  <c r="C160" i="43"/>
  <c r="Q159" i="43" a="1"/>
  <c r="Q159" i="43" s="1"/>
  <c r="C159" i="43"/>
  <c r="Q158" i="43" a="1"/>
  <c r="Q158" i="43" s="1"/>
  <c r="C158" i="43"/>
  <c r="Q157" i="43" a="1"/>
  <c r="Q157" i="43" s="1"/>
  <c r="C157" i="43"/>
  <c r="Q156" i="43" a="1"/>
  <c r="Q156" i="43" s="1"/>
  <c r="C156" i="43"/>
  <c r="Q155" i="43" a="1"/>
  <c r="Q155" i="43" s="1"/>
  <c r="C155" i="43"/>
  <c r="Q154" i="43" a="1"/>
  <c r="Q154" i="43" s="1"/>
  <c r="C154" i="43"/>
  <c r="Q153" i="43" a="1"/>
  <c r="Q153" i="43" s="1"/>
  <c r="C153" i="43"/>
  <c r="Q152" i="43" a="1"/>
  <c r="Q152" i="43" s="1"/>
  <c r="C152" i="43"/>
  <c r="Q151" i="43" a="1"/>
  <c r="Q151" i="43" s="1"/>
  <c r="C151" i="43"/>
  <c r="Q150" i="43" a="1"/>
  <c r="Q150" i="43" s="1"/>
  <c r="C150" i="43"/>
  <c r="Q149" i="43" a="1"/>
  <c r="Q149" i="43" s="1"/>
  <c r="C149" i="43"/>
  <c r="Q148" i="43" a="1"/>
  <c r="Q148" i="43" s="1"/>
  <c r="C148" i="43"/>
  <c r="Q147" i="43" a="1"/>
  <c r="Q147" i="43" s="1"/>
  <c r="C147" i="43"/>
  <c r="Q146" i="43" a="1"/>
  <c r="Q146" i="43" s="1"/>
  <c r="C146" i="43"/>
  <c r="Q145" i="43" a="1"/>
  <c r="Q145" i="43" s="1"/>
  <c r="C145" i="43"/>
  <c r="Q144" i="43" a="1"/>
  <c r="Q144" i="43" s="1"/>
  <c r="C144" i="43"/>
  <c r="Q143" i="43" a="1"/>
  <c r="Q143" i="43" s="1"/>
  <c r="C143" i="43"/>
  <c r="Q142" i="43" a="1"/>
  <c r="Q142" i="43" s="1"/>
  <c r="C142" i="43"/>
  <c r="Q141" i="43" a="1"/>
  <c r="Q141" i="43" s="1"/>
  <c r="C141" i="43"/>
  <c r="Q140" i="43" a="1"/>
  <c r="Q140" i="43" s="1"/>
  <c r="C140" i="43"/>
  <c r="Q139" i="43" a="1"/>
  <c r="Q139" i="43" s="1"/>
  <c r="C139" i="43"/>
  <c r="Q138" i="43" a="1"/>
  <c r="Q138" i="43" s="1"/>
  <c r="C138" i="43"/>
  <c r="Q137" i="43" a="1"/>
  <c r="Q137" i="43" s="1"/>
  <c r="C137" i="43"/>
  <c r="Q136" i="43" a="1"/>
  <c r="Q136" i="43" s="1"/>
  <c r="C136" i="43"/>
  <c r="Q135" i="43" a="1"/>
  <c r="Q135" i="43" s="1"/>
  <c r="C135" i="43"/>
  <c r="Q134" i="43" a="1"/>
  <c r="Q134" i="43" s="1"/>
  <c r="C134" i="43"/>
  <c r="Q133" i="43" a="1"/>
  <c r="Q133" i="43" s="1"/>
  <c r="C133" i="43"/>
  <c r="Q132" i="43" a="1"/>
  <c r="Q132" i="43" s="1"/>
  <c r="C132" i="43"/>
  <c r="Q131" i="43" a="1"/>
  <c r="Q131" i="43" s="1"/>
  <c r="C131" i="43"/>
  <c r="Q130" i="43" a="1"/>
  <c r="Q130" i="43" s="1"/>
  <c r="C130" i="43"/>
  <c r="Q129" i="43" a="1"/>
  <c r="Q129" i="43" s="1"/>
  <c r="C129" i="43"/>
  <c r="Q128" i="43" a="1"/>
  <c r="Q128" i="43" s="1"/>
  <c r="C128" i="43"/>
  <c r="Q127" i="43" a="1"/>
  <c r="Q127" i="43" s="1"/>
  <c r="C127" i="43"/>
  <c r="Q126" i="43" a="1"/>
  <c r="Q126" i="43" s="1"/>
  <c r="C126" i="43"/>
  <c r="Q125" i="43" a="1"/>
  <c r="Q125" i="43" s="1"/>
  <c r="C125" i="43"/>
  <c r="Q124" i="43" a="1"/>
  <c r="Q124" i="43" s="1"/>
  <c r="C124" i="43"/>
  <c r="Q123" i="43" a="1"/>
  <c r="Q123" i="43" s="1"/>
  <c r="C123" i="43"/>
  <c r="Q122" i="43" a="1"/>
  <c r="Q122" i="43" s="1"/>
  <c r="C122" i="43"/>
  <c r="Q121" i="43" a="1"/>
  <c r="Q121" i="43" s="1"/>
  <c r="C121" i="43"/>
  <c r="Q120" i="43" a="1"/>
  <c r="Q120" i="43" s="1"/>
  <c r="C120" i="43"/>
  <c r="Q119" i="43" a="1"/>
  <c r="Q119" i="43" s="1"/>
  <c r="C119" i="43"/>
  <c r="Q118" i="43" a="1"/>
  <c r="Q118" i="43" s="1"/>
  <c r="C118" i="43"/>
  <c r="Q117" i="43" a="1"/>
  <c r="Q117" i="43" s="1"/>
  <c r="C117" i="43"/>
  <c r="Q116" i="43" a="1"/>
  <c r="Q116" i="43" s="1"/>
  <c r="C116" i="43"/>
  <c r="Q115" i="43" a="1"/>
  <c r="Q115" i="43" s="1"/>
  <c r="C115" i="43"/>
  <c r="Q114" i="43" a="1"/>
  <c r="Q114" i="43" s="1"/>
  <c r="C114" i="43"/>
  <c r="Q113" i="43" a="1"/>
  <c r="Q113" i="43" s="1"/>
  <c r="C113" i="43"/>
  <c r="Q112" i="43" a="1"/>
  <c r="Q112" i="43" s="1"/>
  <c r="C112" i="43"/>
  <c r="Q111" i="43" a="1"/>
  <c r="Q111" i="43" s="1"/>
  <c r="C111" i="43"/>
  <c r="Q110" i="43" a="1"/>
  <c r="Q110" i="43" s="1"/>
  <c r="C110" i="43"/>
  <c r="Q109" i="43" a="1"/>
  <c r="Q109" i="43" s="1"/>
  <c r="C109" i="43"/>
  <c r="Q108" i="43" a="1"/>
  <c r="Q108" i="43" s="1"/>
  <c r="C108" i="43"/>
  <c r="Q107" i="43" a="1"/>
  <c r="Q107" i="43" s="1"/>
  <c r="C107" i="43"/>
  <c r="Q106" i="43" a="1"/>
  <c r="Q106" i="43" s="1"/>
  <c r="C106" i="43"/>
  <c r="Q105" i="43" a="1"/>
  <c r="Q105" i="43" s="1"/>
  <c r="C105" i="43"/>
  <c r="Q104" i="43" a="1"/>
  <c r="Q104" i="43" s="1"/>
  <c r="C104" i="43"/>
  <c r="Q103" i="43" a="1"/>
  <c r="Q103" i="43" s="1"/>
  <c r="C103" i="43"/>
  <c r="Q102" i="43" a="1"/>
  <c r="Q102" i="43" s="1"/>
  <c r="C102" i="43"/>
  <c r="Q101" i="43" a="1"/>
  <c r="Q101" i="43" s="1"/>
  <c r="C101" i="43"/>
  <c r="Q100" i="43" a="1"/>
  <c r="Q100" i="43" s="1"/>
  <c r="C100" i="43"/>
  <c r="Q99" i="43" a="1"/>
  <c r="Q99" i="43" s="1"/>
  <c r="C99" i="43"/>
  <c r="Q98" i="43" a="1"/>
  <c r="Q98" i="43" s="1"/>
  <c r="C98" i="43"/>
  <c r="Q97" i="43" a="1"/>
  <c r="Q97" i="43" s="1"/>
  <c r="C97" i="43"/>
  <c r="Q96" i="43" a="1"/>
  <c r="Q96" i="43" s="1"/>
  <c r="C96" i="43"/>
  <c r="Q95" i="43" a="1"/>
  <c r="Q95" i="43" s="1"/>
  <c r="C95" i="43"/>
  <c r="Q94" i="43" a="1"/>
  <c r="Q94" i="43" s="1"/>
  <c r="C94" i="43"/>
  <c r="Q93" i="43" a="1"/>
  <c r="Q93" i="43" s="1"/>
  <c r="C93" i="43"/>
  <c r="Q92" i="43" a="1"/>
  <c r="Q92" i="43" s="1"/>
  <c r="C92" i="43"/>
  <c r="Q91" i="43" a="1"/>
  <c r="Q91" i="43" s="1"/>
  <c r="C91" i="43"/>
  <c r="Q90" i="43" a="1"/>
  <c r="Q90" i="43" s="1"/>
  <c r="C90" i="43"/>
  <c r="Q89" i="43" a="1"/>
  <c r="Q89" i="43" s="1"/>
  <c r="C89" i="43"/>
  <c r="Q88" i="43" a="1"/>
  <c r="Q88" i="43" s="1"/>
  <c r="C88" i="43"/>
  <c r="Q87" i="43" a="1"/>
  <c r="Q87" i="43" s="1"/>
  <c r="C87" i="43"/>
  <c r="Q86" i="43" a="1"/>
  <c r="Q86" i="43" s="1"/>
  <c r="C86" i="43"/>
  <c r="Q85" i="43" a="1"/>
  <c r="Q85" i="43" s="1"/>
  <c r="C85" i="43"/>
  <c r="Q84" i="43" a="1"/>
  <c r="Q84" i="43" s="1"/>
  <c r="C84" i="43"/>
  <c r="Q83" i="43" a="1"/>
  <c r="Q83" i="43" s="1"/>
  <c r="C83" i="43"/>
  <c r="Q82" i="43" a="1"/>
  <c r="Q82" i="43" s="1"/>
  <c r="C82" i="43"/>
  <c r="Q81" i="43" a="1"/>
  <c r="Q81" i="43" s="1"/>
  <c r="C81" i="43"/>
  <c r="Q80" i="43" a="1"/>
  <c r="Q80" i="43" s="1"/>
  <c r="C80" i="43"/>
  <c r="Q79" i="43" a="1"/>
  <c r="Q79" i="43" s="1"/>
  <c r="C79" i="43"/>
  <c r="Q78" i="43" a="1"/>
  <c r="Q78" i="43" s="1"/>
  <c r="C78" i="43"/>
  <c r="Q77" i="43" a="1"/>
  <c r="Q77" i="43" s="1"/>
  <c r="C77" i="43"/>
  <c r="Q76" i="43" a="1"/>
  <c r="Q76" i="43" s="1"/>
  <c r="C76" i="43"/>
  <c r="Q438" i="42" a="1"/>
  <c r="Q438" i="42" s="1"/>
  <c r="C438" i="42"/>
  <c r="Q437" i="42" a="1"/>
  <c r="Q437" i="42" s="1"/>
  <c r="C437" i="42"/>
  <c r="Q436" i="42" a="1"/>
  <c r="Q436" i="42" s="1"/>
  <c r="C436" i="42"/>
  <c r="Q435" i="42" a="1"/>
  <c r="Q435" i="42" s="1"/>
  <c r="C435" i="42"/>
  <c r="Q434" i="42" a="1"/>
  <c r="Q434" i="42" s="1"/>
  <c r="C434" i="42"/>
  <c r="Q433" i="42" a="1"/>
  <c r="Q433" i="42" s="1"/>
  <c r="C433" i="42"/>
  <c r="Q432" i="42" a="1"/>
  <c r="Q432" i="42" s="1"/>
  <c r="C432" i="42"/>
  <c r="Q431" i="42" a="1"/>
  <c r="Q431" i="42" s="1"/>
  <c r="C431" i="42"/>
  <c r="Q430" i="42" a="1"/>
  <c r="Q430" i="42" s="1"/>
  <c r="C430" i="42"/>
  <c r="Q429" i="42" a="1"/>
  <c r="Q429" i="42" s="1"/>
  <c r="C429" i="42"/>
  <c r="Q428" i="42" a="1"/>
  <c r="Q428" i="42" s="1"/>
  <c r="C428" i="42"/>
  <c r="Q427" i="42" a="1"/>
  <c r="Q427" i="42" s="1"/>
  <c r="C427" i="42"/>
  <c r="Q426" i="42" a="1"/>
  <c r="Q426" i="42" s="1"/>
  <c r="C426" i="42"/>
  <c r="Q425" i="42" a="1"/>
  <c r="Q425" i="42" s="1"/>
  <c r="C425" i="42"/>
  <c r="Q424" i="42" a="1"/>
  <c r="Q424" i="42" s="1"/>
  <c r="C424" i="42"/>
  <c r="Q423" i="42" a="1"/>
  <c r="Q423" i="42" s="1"/>
  <c r="C423" i="42"/>
  <c r="Q422" i="42" a="1"/>
  <c r="Q422" i="42" s="1"/>
  <c r="C422" i="42"/>
  <c r="Q421" i="42" a="1"/>
  <c r="Q421" i="42" s="1"/>
  <c r="C421" i="42"/>
  <c r="Q420" i="42" a="1"/>
  <c r="Q420" i="42" s="1"/>
  <c r="C420" i="42"/>
  <c r="Q419" i="42" a="1"/>
  <c r="Q419" i="42" s="1"/>
  <c r="C419" i="42"/>
  <c r="Q418" i="42" a="1"/>
  <c r="Q418" i="42" s="1"/>
  <c r="C418" i="42"/>
  <c r="Q417" i="42" a="1"/>
  <c r="Q417" i="42" s="1"/>
  <c r="C417" i="42"/>
  <c r="Q416" i="42" a="1"/>
  <c r="Q416" i="42" s="1"/>
  <c r="C416" i="42"/>
  <c r="Q415" i="42" a="1"/>
  <c r="Q415" i="42" s="1"/>
  <c r="C415" i="42"/>
  <c r="Q414" i="42" a="1"/>
  <c r="Q414" i="42" s="1"/>
  <c r="C414" i="42"/>
  <c r="Q413" i="42" a="1"/>
  <c r="Q413" i="42" s="1"/>
  <c r="C413" i="42"/>
  <c r="Q412" i="42" a="1"/>
  <c r="Q412" i="42" s="1"/>
  <c r="C412" i="42"/>
  <c r="Q411" i="42" a="1"/>
  <c r="Q411" i="42" s="1"/>
  <c r="C411" i="42"/>
  <c r="Q410" i="42" a="1"/>
  <c r="Q410" i="42" s="1"/>
  <c r="C410" i="42"/>
  <c r="Q409" i="42" a="1"/>
  <c r="Q409" i="42" s="1"/>
  <c r="C409" i="42"/>
  <c r="Q408" i="42" a="1"/>
  <c r="Q408" i="42" s="1"/>
  <c r="C408" i="42"/>
  <c r="Q407" i="42" a="1"/>
  <c r="Q407" i="42" s="1"/>
  <c r="C407" i="42"/>
  <c r="Q406" i="42" a="1"/>
  <c r="Q406" i="42" s="1"/>
  <c r="C406" i="42"/>
  <c r="Q405" i="42" a="1"/>
  <c r="Q405" i="42" s="1"/>
  <c r="C405" i="42"/>
  <c r="Q404" i="42" a="1"/>
  <c r="Q404" i="42" s="1"/>
  <c r="C404" i="42"/>
  <c r="Q403" i="42" a="1"/>
  <c r="Q403" i="42" s="1"/>
  <c r="C403" i="42"/>
  <c r="Q402" i="42" a="1"/>
  <c r="Q402" i="42" s="1"/>
  <c r="C402" i="42"/>
  <c r="Q401" i="42" a="1"/>
  <c r="Q401" i="42" s="1"/>
  <c r="C401" i="42"/>
  <c r="Q400" i="42" a="1"/>
  <c r="Q400" i="42" s="1"/>
  <c r="C400" i="42"/>
  <c r="Q399" i="42" a="1"/>
  <c r="Q399" i="42" s="1"/>
  <c r="C399" i="42"/>
  <c r="Q398" i="42" a="1"/>
  <c r="Q398" i="42" s="1"/>
  <c r="C398" i="42"/>
  <c r="Q397" i="42" a="1"/>
  <c r="Q397" i="42" s="1"/>
  <c r="C397" i="42"/>
  <c r="Q396" i="42" a="1"/>
  <c r="Q396" i="42" s="1"/>
  <c r="C396" i="42"/>
  <c r="Q395" i="42" a="1"/>
  <c r="Q395" i="42" s="1"/>
  <c r="C395" i="42"/>
  <c r="Q394" i="42" a="1"/>
  <c r="Q394" i="42" s="1"/>
  <c r="C394" i="42"/>
  <c r="Q393" i="42" a="1"/>
  <c r="Q393" i="42" s="1"/>
  <c r="C393" i="42"/>
  <c r="Q392" i="42" a="1"/>
  <c r="Q392" i="42" s="1"/>
  <c r="C392" i="42"/>
  <c r="Q391" i="42" a="1"/>
  <c r="Q391" i="42" s="1"/>
  <c r="C391" i="42"/>
  <c r="Q390" i="42" a="1"/>
  <c r="Q390" i="42" s="1"/>
  <c r="C390" i="42"/>
  <c r="Q389" i="42" a="1"/>
  <c r="Q389" i="42" s="1"/>
  <c r="C389" i="42"/>
  <c r="Q388" i="42" a="1"/>
  <c r="Q388" i="42" s="1"/>
  <c r="C388" i="42"/>
  <c r="Q387" i="42" a="1"/>
  <c r="Q387" i="42" s="1"/>
  <c r="C387" i="42"/>
  <c r="Q386" i="42" a="1"/>
  <c r="Q386" i="42" s="1"/>
  <c r="C386" i="42"/>
  <c r="Q385" i="42" a="1"/>
  <c r="Q385" i="42" s="1"/>
  <c r="C385" i="42"/>
  <c r="Q384" i="42" a="1"/>
  <c r="Q384" i="42" s="1"/>
  <c r="C384" i="42"/>
  <c r="Q383" i="42" a="1"/>
  <c r="Q383" i="42" s="1"/>
  <c r="C383" i="42"/>
  <c r="Q382" i="42" a="1"/>
  <c r="Q382" i="42" s="1"/>
  <c r="C382" i="42"/>
  <c r="Q381" i="42" a="1"/>
  <c r="Q381" i="42" s="1"/>
  <c r="C381" i="42"/>
  <c r="Q380" i="42" a="1"/>
  <c r="Q380" i="42" s="1"/>
  <c r="C380" i="42"/>
  <c r="Q379" i="42" a="1"/>
  <c r="Q379" i="42" s="1"/>
  <c r="C379" i="42"/>
  <c r="Q378" i="42" a="1"/>
  <c r="Q378" i="42" s="1"/>
  <c r="C378" i="42"/>
  <c r="Q377" i="42" a="1"/>
  <c r="Q377" i="42" s="1"/>
  <c r="C377" i="42"/>
  <c r="Q376" i="42" a="1"/>
  <c r="Q376" i="42" s="1"/>
  <c r="C376" i="42"/>
  <c r="Q375" i="42" a="1"/>
  <c r="Q375" i="42" s="1"/>
  <c r="C375" i="42"/>
  <c r="Q374" i="42" a="1"/>
  <c r="Q374" i="42" s="1"/>
  <c r="C374" i="42"/>
  <c r="Q373" i="42" a="1"/>
  <c r="Q373" i="42" s="1"/>
  <c r="C373" i="42"/>
  <c r="Q372" i="42" a="1"/>
  <c r="Q372" i="42" s="1"/>
  <c r="C372" i="42"/>
  <c r="Q371" i="42" a="1"/>
  <c r="Q371" i="42" s="1"/>
  <c r="C371" i="42"/>
  <c r="Q370" i="42" a="1"/>
  <c r="Q370" i="42" s="1"/>
  <c r="C370" i="42"/>
  <c r="Q369" i="42" a="1"/>
  <c r="Q369" i="42" s="1"/>
  <c r="C369" i="42"/>
  <c r="Q368" i="42" a="1"/>
  <c r="Q368" i="42" s="1"/>
  <c r="C368" i="42"/>
  <c r="Q367" i="42" a="1"/>
  <c r="Q367" i="42" s="1"/>
  <c r="C367" i="42"/>
  <c r="Q366" i="42" a="1"/>
  <c r="Q366" i="42" s="1"/>
  <c r="C366" i="42"/>
  <c r="Q365" i="42" a="1"/>
  <c r="Q365" i="42" s="1"/>
  <c r="C365" i="42"/>
  <c r="Q364" i="42" a="1"/>
  <c r="Q364" i="42" s="1"/>
  <c r="C364" i="42"/>
  <c r="Q363" i="42" a="1"/>
  <c r="Q363" i="42" s="1"/>
  <c r="C363" i="42"/>
  <c r="Q362" i="42" a="1"/>
  <c r="Q362" i="42" s="1"/>
  <c r="C362" i="42"/>
  <c r="Q361" i="42" a="1"/>
  <c r="Q361" i="42" s="1"/>
  <c r="C361" i="42"/>
  <c r="Q360" i="42" a="1"/>
  <c r="Q360" i="42" s="1"/>
  <c r="C360" i="42"/>
  <c r="Q359" i="42" a="1"/>
  <c r="Q359" i="42" s="1"/>
  <c r="C359" i="42"/>
  <c r="Q358" i="42" a="1"/>
  <c r="Q358" i="42" s="1"/>
  <c r="C358" i="42"/>
  <c r="Q357" i="42" a="1"/>
  <c r="Q357" i="42" s="1"/>
  <c r="C357" i="42"/>
  <c r="Q356" i="42" a="1"/>
  <c r="Q356" i="42" s="1"/>
  <c r="C356" i="42"/>
  <c r="Q355" i="42" a="1"/>
  <c r="Q355" i="42" s="1"/>
  <c r="C355" i="42"/>
  <c r="Q354" i="42" a="1"/>
  <c r="Q354" i="42" s="1"/>
  <c r="C354" i="42"/>
  <c r="Q353" i="42" a="1"/>
  <c r="Q353" i="42" s="1"/>
  <c r="C353" i="42"/>
  <c r="Q352" i="42" a="1"/>
  <c r="Q352" i="42" s="1"/>
  <c r="C352" i="42"/>
  <c r="Q351" i="42" a="1"/>
  <c r="Q351" i="42" s="1"/>
  <c r="C351" i="42"/>
  <c r="Q350" i="42" a="1"/>
  <c r="Q350" i="42" s="1"/>
  <c r="C350" i="42"/>
  <c r="Q349" i="42" a="1"/>
  <c r="Q349" i="42" s="1"/>
  <c r="C349" i="42"/>
  <c r="Q348" i="42" a="1"/>
  <c r="Q348" i="42" s="1"/>
  <c r="C348" i="42"/>
  <c r="Q347" i="42" a="1"/>
  <c r="Q347" i="42" s="1"/>
  <c r="C347" i="42"/>
  <c r="Q346" i="42" a="1"/>
  <c r="Q346" i="42" s="1"/>
  <c r="C346" i="42"/>
  <c r="Q345" i="42" a="1"/>
  <c r="Q345" i="42" s="1"/>
  <c r="C345" i="42"/>
  <c r="Q344" i="42" a="1"/>
  <c r="Q344" i="42" s="1"/>
  <c r="C344" i="42"/>
  <c r="Q343" i="42" a="1"/>
  <c r="Q343" i="42" s="1"/>
  <c r="C343" i="42"/>
  <c r="Q342" i="42" a="1"/>
  <c r="Q342" i="42" s="1"/>
  <c r="C342" i="42"/>
  <c r="Q341" i="42" a="1"/>
  <c r="Q341" i="42" s="1"/>
  <c r="C341" i="42"/>
  <c r="Q340" i="42" a="1"/>
  <c r="Q340" i="42" s="1"/>
  <c r="C340" i="42"/>
  <c r="Q339" i="42" a="1"/>
  <c r="Q339" i="42" s="1"/>
  <c r="C339" i="42"/>
  <c r="Q338" i="42" a="1"/>
  <c r="Q338" i="42" s="1"/>
  <c r="C338" i="42"/>
  <c r="Q337" i="42" a="1"/>
  <c r="Q337" i="42" s="1"/>
  <c r="C337" i="42"/>
  <c r="Q336" i="42" a="1"/>
  <c r="Q336" i="42" s="1"/>
  <c r="C336" i="42"/>
  <c r="Q335" i="42" a="1"/>
  <c r="Q335" i="42" s="1"/>
  <c r="C335" i="42"/>
  <c r="Q334" i="42" a="1"/>
  <c r="Q334" i="42" s="1"/>
  <c r="C334" i="42"/>
  <c r="Q333" i="42" a="1"/>
  <c r="Q333" i="42" s="1"/>
  <c r="C333" i="42"/>
  <c r="Q332" i="42" a="1"/>
  <c r="Q332" i="42" s="1"/>
  <c r="C332" i="42"/>
  <c r="Q331" i="42" a="1"/>
  <c r="Q331" i="42" s="1"/>
  <c r="C331" i="42"/>
  <c r="Q330" i="42" a="1"/>
  <c r="Q330" i="42" s="1"/>
  <c r="C330" i="42"/>
  <c r="Q329" i="42" a="1"/>
  <c r="Q329" i="42" s="1"/>
  <c r="C329" i="42"/>
  <c r="Q328" i="42" a="1"/>
  <c r="Q328" i="42" s="1"/>
  <c r="C328" i="42"/>
  <c r="Q327" i="42" a="1"/>
  <c r="Q327" i="42" s="1"/>
  <c r="C327" i="42"/>
  <c r="Q326" i="42" a="1"/>
  <c r="Q326" i="42" s="1"/>
  <c r="C326" i="42"/>
  <c r="Q325" i="42" a="1"/>
  <c r="Q325" i="42" s="1"/>
  <c r="C325" i="42"/>
  <c r="Q324" i="42" a="1"/>
  <c r="Q324" i="42" s="1"/>
  <c r="C324" i="42"/>
  <c r="Q323" i="42" a="1"/>
  <c r="Q323" i="42" s="1"/>
  <c r="C323" i="42"/>
  <c r="Q322" i="42" a="1"/>
  <c r="Q322" i="42" s="1"/>
  <c r="C322" i="42"/>
  <c r="Q321" i="42" a="1"/>
  <c r="Q321" i="42" s="1"/>
  <c r="C321" i="42"/>
  <c r="Q320" i="42" a="1"/>
  <c r="Q320" i="42" s="1"/>
  <c r="C320" i="42"/>
  <c r="Q319" i="42" a="1"/>
  <c r="Q319" i="42" s="1"/>
  <c r="C319" i="42"/>
  <c r="Q318" i="42" a="1"/>
  <c r="Q318" i="42" s="1"/>
  <c r="C318" i="42"/>
  <c r="Q317" i="42" a="1"/>
  <c r="Q317" i="42" s="1"/>
  <c r="C317" i="42"/>
  <c r="Q316" i="42" a="1"/>
  <c r="Q316" i="42" s="1"/>
  <c r="C316" i="42"/>
  <c r="Q315" i="42" a="1"/>
  <c r="Q315" i="42" s="1"/>
  <c r="C315" i="42"/>
  <c r="Q314" i="42" a="1"/>
  <c r="Q314" i="42" s="1"/>
  <c r="C314" i="42"/>
  <c r="Q313" i="42" a="1"/>
  <c r="Q313" i="42" s="1"/>
  <c r="C313" i="42"/>
  <c r="Q312" i="42" a="1"/>
  <c r="Q312" i="42" s="1"/>
  <c r="C312" i="42"/>
  <c r="Q311" i="42" a="1"/>
  <c r="Q311" i="42" s="1"/>
  <c r="C311" i="42"/>
  <c r="Q310" i="42" a="1"/>
  <c r="Q310" i="42" s="1"/>
  <c r="C310" i="42"/>
  <c r="Q309" i="42" a="1"/>
  <c r="Q309" i="42" s="1"/>
  <c r="C309" i="42"/>
  <c r="Q308" i="42" a="1"/>
  <c r="Q308" i="42" s="1"/>
  <c r="C308" i="42"/>
  <c r="Q307" i="42" a="1"/>
  <c r="Q307" i="42" s="1"/>
  <c r="C307" i="42"/>
  <c r="Q306" i="42" a="1"/>
  <c r="Q306" i="42" s="1"/>
  <c r="C306" i="42"/>
  <c r="Q305" i="42" a="1"/>
  <c r="Q305" i="42" s="1"/>
  <c r="C305" i="42"/>
  <c r="Q304" i="42" a="1"/>
  <c r="Q304" i="42" s="1"/>
  <c r="C304" i="42"/>
  <c r="Q303" i="42" a="1"/>
  <c r="Q303" i="42" s="1"/>
  <c r="C303" i="42"/>
  <c r="Q302" i="42" a="1"/>
  <c r="Q302" i="42" s="1"/>
  <c r="C302" i="42"/>
  <c r="Q301" i="42" a="1"/>
  <c r="Q301" i="42" s="1"/>
  <c r="C301" i="42"/>
  <c r="Q300" i="42" a="1"/>
  <c r="Q300" i="42" s="1"/>
  <c r="C300" i="42"/>
  <c r="Q299" i="42" a="1"/>
  <c r="Q299" i="42" s="1"/>
  <c r="C299" i="42"/>
  <c r="Q298" i="42" a="1"/>
  <c r="Q298" i="42" s="1"/>
  <c r="C298" i="42"/>
  <c r="Q297" i="42" a="1"/>
  <c r="Q297" i="42" s="1"/>
  <c r="C297" i="42"/>
  <c r="Q296" i="42" a="1"/>
  <c r="Q296" i="42" s="1"/>
  <c r="C296" i="42"/>
  <c r="Q295" i="42" a="1"/>
  <c r="Q295" i="42" s="1"/>
  <c r="C295" i="42"/>
  <c r="Q294" i="42" a="1"/>
  <c r="Q294" i="42" s="1"/>
  <c r="C294" i="42"/>
  <c r="Q293" i="42" a="1"/>
  <c r="Q293" i="42" s="1"/>
  <c r="C293" i="42"/>
  <c r="Q292" i="42" a="1"/>
  <c r="Q292" i="42" s="1"/>
  <c r="C292" i="42"/>
  <c r="Q291" i="42" a="1"/>
  <c r="Q291" i="42" s="1"/>
  <c r="C291" i="42"/>
  <c r="Q290" i="42" a="1"/>
  <c r="Q290" i="42" s="1"/>
  <c r="C290" i="42"/>
  <c r="Q289" i="42" a="1"/>
  <c r="Q289" i="42" s="1"/>
  <c r="C289" i="42"/>
  <c r="Q288" i="42" a="1"/>
  <c r="Q288" i="42" s="1"/>
  <c r="C288" i="42"/>
  <c r="Q287" i="42" a="1"/>
  <c r="Q287" i="42" s="1"/>
  <c r="C287" i="42"/>
  <c r="Q286" i="42" a="1"/>
  <c r="Q286" i="42" s="1"/>
  <c r="C286" i="42"/>
  <c r="Q285" i="42" a="1"/>
  <c r="Q285" i="42" s="1"/>
  <c r="C285" i="42"/>
  <c r="Q284" i="42" a="1"/>
  <c r="Q284" i="42" s="1"/>
  <c r="C284" i="42"/>
  <c r="Q283" i="42" a="1"/>
  <c r="Q283" i="42" s="1"/>
  <c r="C283" i="42"/>
  <c r="Q282" i="42" a="1"/>
  <c r="Q282" i="42" s="1"/>
  <c r="C282" i="42"/>
  <c r="Q281" i="42" a="1"/>
  <c r="Q281" i="42" s="1"/>
  <c r="C281" i="42"/>
  <c r="Q280" i="42" a="1"/>
  <c r="Q280" i="42" s="1"/>
  <c r="C280" i="42"/>
  <c r="Q279" i="42" a="1"/>
  <c r="Q279" i="42" s="1"/>
  <c r="C279" i="42"/>
  <c r="Q278" i="42" a="1"/>
  <c r="Q278" i="42" s="1"/>
  <c r="C278" i="42"/>
  <c r="Q277" i="42" a="1"/>
  <c r="Q277" i="42" s="1"/>
  <c r="C277" i="42"/>
  <c r="Q276" i="42" a="1"/>
  <c r="Q276" i="42" s="1"/>
  <c r="C276" i="42"/>
  <c r="Q275" i="42" a="1"/>
  <c r="Q275" i="42" s="1"/>
  <c r="C275" i="42"/>
  <c r="Q274" i="42" a="1"/>
  <c r="Q274" i="42" s="1"/>
  <c r="C274" i="42"/>
  <c r="Q273" i="42" a="1"/>
  <c r="Q273" i="42" s="1"/>
  <c r="C273" i="42"/>
  <c r="Q272" i="42" a="1"/>
  <c r="Q272" i="42" s="1"/>
  <c r="C272" i="42"/>
  <c r="Q271" i="42" a="1"/>
  <c r="Q271" i="42" s="1"/>
  <c r="C271" i="42"/>
  <c r="Q270" i="42" a="1"/>
  <c r="Q270" i="42" s="1"/>
  <c r="C270" i="42"/>
  <c r="Q269" i="42" a="1"/>
  <c r="Q269" i="42" s="1"/>
  <c r="C269" i="42"/>
  <c r="Q268" i="42" a="1"/>
  <c r="Q268" i="42" s="1"/>
  <c r="C268" i="42"/>
  <c r="Q267" i="42" a="1"/>
  <c r="Q267" i="42" s="1"/>
  <c r="C267" i="42"/>
  <c r="Q266" i="42" a="1"/>
  <c r="Q266" i="42" s="1"/>
  <c r="C266" i="42"/>
  <c r="Q265" i="42" a="1"/>
  <c r="Q265" i="42" s="1"/>
  <c r="C265" i="42"/>
  <c r="Q264" i="42" a="1"/>
  <c r="Q264" i="42" s="1"/>
  <c r="C264" i="42"/>
  <c r="Q263" i="42" a="1"/>
  <c r="Q263" i="42" s="1"/>
  <c r="C263" i="42"/>
  <c r="Q262" i="42" a="1"/>
  <c r="Q262" i="42" s="1"/>
  <c r="C262" i="42"/>
  <c r="Q261" i="42" a="1"/>
  <c r="Q261" i="42" s="1"/>
  <c r="C261" i="42"/>
  <c r="Q260" i="42" a="1"/>
  <c r="Q260" i="42" s="1"/>
  <c r="C260" i="42"/>
  <c r="Q259" i="42" a="1"/>
  <c r="Q259" i="42" s="1"/>
  <c r="C259" i="42"/>
  <c r="Q258" i="42" a="1"/>
  <c r="Q258" i="42" s="1"/>
  <c r="C258" i="42"/>
  <c r="Q257" i="42" a="1"/>
  <c r="Q257" i="42" s="1"/>
  <c r="C257" i="42"/>
  <c r="Q256" i="42" a="1"/>
  <c r="Q256" i="42" s="1"/>
  <c r="C256" i="42"/>
  <c r="Q255" i="42" a="1"/>
  <c r="Q255" i="42" s="1"/>
  <c r="C255" i="42"/>
  <c r="Q254" i="42" a="1"/>
  <c r="Q254" i="42" s="1"/>
  <c r="C254" i="42"/>
  <c r="Q253" i="42" a="1"/>
  <c r="Q253" i="42" s="1"/>
  <c r="C253" i="42"/>
  <c r="Q252" i="42" a="1"/>
  <c r="Q252" i="42" s="1"/>
  <c r="C252" i="42"/>
  <c r="Q251" i="42" a="1"/>
  <c r="Q251" i="42" s="1"/>
  <c r="C251" i="42"/>
  <c r="Q250" i="42" a="1"/>
  <c r="Q250" i="42" s="1"/>
  <c r="C250" i="42"/>
  <c r="Q249" i="42" a="1"/>
  <c r="Q249" i="42" s="1"/>
  <c r="C249" i="42"/>
  <c r="Q248" i="42" a="1"/>
  <c r="Q248" i="42" s="1"/>
  <c r="C248" i="42"/>
  <c r="Q247" i="42" a="1"/>
  <c r="Q247" i="42" s="1"/>
  <c r="C247" i="42"/>
  <c r="Q246" i="42" a="1"/>
  <c r="Q246" i="42" s="1"/>
  <c r="C246" i="42"/>
  <c r="Q245" i="42" a="1"/>
  <c r="Q245" i="42" s="1"/>
  <c r="C245" i="42"/>
  <c r="Q244" i="42" a="1"/>
  <c r="Q244" i="42" s="1"/>
  <c r="C244" i="42"/>
  <c r="Q243" i="42" a="1"/>
  <c r="Q243" i="42" s="1"/>
  <c r="C243" i="42"/>
  <c r="Q242" i="42" a="1"/>
  <c r="Q242" i="42" s="1"/>
  <c r="C242" i="42"/>
  <c r="Q241" i="42" a="1"/>
  <c r="Q241" i="42" s="1"/>
  <c r="C241" i="42"/>
  <c r="Q240" i="42" a="1"/>
  <c r="Q240" i="42" s="1"/>
  <c r="C240" i="42"/>
  <c r="Q239" i="42" a="1"/>
  <c r="Q239" i="42" s="1"/>
  <c r="C239" i="42"/>
  <c r="Q238" i="42" a="1"/>
  <c r="Q238" i="42" s="1"/>
  <c r="C238" i="42"/>
  <c r="Q237" i="42" a="1"/>
  <c r="Q237" i="42" s="1"/>
  <c r="C237" i="42"/>
  <c r="Q236" i="42" a="1"/>
  <c r="Q236" i="42" s="1"/>
  <c r="C236" i="42"/>
  <c r="Q235" i="42" a="1"/>
  <c r="Q235" i="42" s="1"/>
  <c r="C235" i="42"/>
  <c r="Q234" i="42" a="1"/>
  <c r="Q234" i="42" s="1"/>
  <c r="C234" i="42"/>
  <c r="Q233" i="42" a="1"/>
  <c r="Q233" i="42" s="1"/>
  <c r="C233" i="42"/>
  <c r="Q232" i="42" a="1"/>
  <c r="Q232" i="42" s="1"/>
  <c r="C232" i="42"/>
  <c r="Q231" i="42" a="1"/>
  <c r="Q231" i="42" s="1"/>
  <c r="C231" i="42"/>
  <c r="Q230" i="42" a="1"/>
  <c r="Q230" i="42" s="1"/>
  <c r="C230" i="42"/>
  <c r="Q229" i="42" a="1"/>
  <c r="Q229" i="42" s="1"/>
  <c r="C229" i="42"/>
  <c r="Q228" i="42" a="1"/>
  <c r="Q228" i="42" s="1"/>
  <c r="C228" i="42"/>
  <c r="Q227" i="42" a="1"/>
  <c r="Q227" i="42" s="1"/>
  <c r="C227" i="42"/>
  <c r="Q226" i="42" a="1"/>
  <c r="Q226" i="42" s="1"/>
  <c r="C226" i="42"/>
  <c r="Q225" i="42" a="1"/>
  <c r="Q225" i="42" s="1"/>
  <c r="C225" i="42"/>
  <c r="Q224" i="42" a="1"/>
  <c r="Q224" i="42" s="1"/>
  <c r="C224" i="42"/>
  <c r="Q223" i="42" a="1"/>
  <c r="Q223" i="42" s="1"/>
  <c r="C223" i="42"/>
  <c r="Q222" i="42" a="1"/>
  <c r="Q222" i="42" s="1"/>
  <c r="C222" i="42"/>
  <c r="Q221" i="42" a="1"/>
  <c r="Q221" i="42" s="1"/>
  <c r="C221" i="42"/>
  <c r="Q220" i="42" a="1"/>
  <c r="Q220" i="42" s="1"/>
  <c r="C220" i="42"/>
  <c r="Q219" i="42" a="1"/>
  <c r="Q219" i="42" s="1"/>
  <c r="C219" i="42"/>
  <c r="Q218" i="42" a="1"/>
  <c r="Q218" i="42" s="1"/>
  <c r="C218" i="42"/>
  <c r="Q217" i="42" a="1"/>
  <c r="Q217" i="42" s="1"/>
  <c r="C217" i="42"/>
  <c r="Q216" i="42" a="1"/>
  <c r="Q216" i="42" s="1"/>
  <c r="C216" i="42"/>
  <c r="Q215" i="42" a="1"/>
  <c r="Q215" i="42" s="1"/>
  <c r="C215" i="42"/>
  <c r="Q214" i="42" a="1"/>
  <c r="Q214" i="42" s="1"/>
  <c r="C214" i="42"/>
  <c r="Q213" i="42" a="1"/>
  <c r="Q213" i="42" s="1"/>
  <c r="C213" i="42"/>
  <c r="Q212" i="42" a="1"/>
  <c r="Q212" i="42" s="1"/>
  <c r="C212" i="42"/>
  <c r="Q211" i="42" a="1"/>
  <c r="Q211" i="42" s="1"/>
  <c r="C211" i="42"/>
  <c r="Q210" i="42" a="1"/>
  <c r="Q210" i="42" s="1"/>
  <c r="C210" i="42"/>
  <c r="Q209" i="42" a="1"/>
  <c r="Q209" i="42" s="1"/>
  <c r="C209" i="42"/>
  <c r="Q208" i="42" a="1"/>
  <c r="Q208" i="42" s="1"/>
  <c r="C208" i="42"/>
  <c r="Q207" i="42" a="1"/>
  <c r="Q207" i="42" s="1"/>
  <c r="C207" i="42"/>
  <c r="Q206" i="42" a="1"/>
  <c r="Q206" i="42" s="1"/>
  <c r="C206" i="42"/>
  <c r="Q205" i="42" a="1"/>
  <c r="Q205" i="42" s="1"/>
  <c r="C205" i="42"/>
  <c r="Q204" i="42" a="1"/>
  <c r="Q204" i="42" s="1"/>
  <c r="C204" i="42"/>
  <c r="Q203" i="42" a="1"/>
  <c r="Q203" i="42" s="1"/>
  <c r="C203" i="42"/>
  <c r="Q202" i="42" a="1"/>
  <c r="Q202" i="42" s="1"/>
  <c r="C202" i="42"/>
  <c r="Q201" i="42" a="1"/>
  <c r="Q201" i="42" s="1"/>
  <c r="C201" i="42"/>
  <c r="Q200" i="42" a="1"/>
  <c r="Q200" i="42" s="1"/>
  <c r="C200" i="42"/>
  <c r="Q199" i="42" a="1"/>
  <c r="Q199" i="42" s="1"/>
  <c r="C199" i="42"/>
  <c r="Q198" i="42" a="1"/>
  <c r="Q198" i="42" s="1"/>
  <c r="C198" i="42"/>
  <c r="Q197" i="42" a="1"/>
  <c r="Q197" i="42" s="1"/>
  <c r="C197" i="42"/>
  <c r="Q196" i="42" a="1"/>
  <c r="Q196" i="42" s="1"/>
  <c r="C196" i="42"/>
  <c r="Q195" i="42" a="1"/>
  <c r="Q195" i="42" s="1"/>
  <c r="C195" i="42"/>
  <c r="Q194" i="42" a="1"/>
  <c r="Q194" i="42" s="1"/>
  <c r="C194" i="42"/>
  <c r="Q193" i="42" a="1"/>
  <c r="Q193" i="42" s="1"/>
  <c r="C193" i="42"/>
  <c r="Q192" i="42" a="1"/>
  <c r="Q192" i="42" s="1"/>
  <c r="C192" i="42"/>
  <c r="Q191" i="42" a="1"/>
  <c r="Q191" i="42" s="1"/>
  <c r="C191" i="42"/>
  <c r="Q190" i="42" a="1"/>
  <c r="Q190" i="42" s="1"/>
  <c r="C190" i="42"/>
  <c r="Q189" i="42" a="1"/>
  <c r="Q189" i="42" s="1"/>
  <c r="C189" i="42"/>
  <c r="Q188" i="42" a="1"/>
  <c r="Q188" i="42" s="1"/>
  <c r="C188" i="42"/>
  <c r="Q187" i="42" a="1"/>
  <c r="Q187" i="42" s="1"/>
  <c r="C187" i="42"/>
  <c r="Q186" i="42" a="1"/>
  <c r="Q186" i="42" s="1"/>
  <c r="C186" i="42"/>
  <c r="Q185" i="42" a="1"/>
  <c r="Q185" i="42" s="1"/>
  <c r="C185" i="42"/>
  <c r="Q184" i="42" a="1"/>
  <c r="Q184" i="42" s="1"/>
  <c r="C184" i="42"/>
  <c r="Q183" i="42" a="1"/>
  <c r="Q183" i="42" s="1"/>
  <c r="C183" i="42"/>
  <c r="Q182" i="42" a="1"/>
  <c r="Q182" i="42" s="1"/>
  <c r="C182" i="42"/>
  <c r="Q181" i="42" a="1"/>
  <c r="Q181" i="42" s="1"/>
  <c r="C181" i="42"/>
  <c r="Q180" i="42" a="1"/>
  <c r="Q180" i="42" s="1"/>
  <c r="C180" i="42"/>
  <c r="Q179" i="42" a="1"/>
  <c r="Q179" i="42" s="1"/>
  <c r="C179" i="42"/>
  <c r="Q178" i="42" a="1"/>
  <c r="Q178" i="42" s="1"/>
  <c r="C178" i="42"/>
  <c r="Q177" i="42" a="1"/>
  <c r="Q177" i="42" s="1"/>
  <c r="C177" i="42"/>
  <c r="Q176" i="42" a="1"/>
  <c r="Q176" i="42" s="1"/>
  <c r="C176" i="42"/>
  <c r="Q175" i="42" a="1"/>
  <c r="Q175" i="42" s="1"/>
  <c r="C175" i="42"/>
  <c r="Q174" i="42" a="1"/>
  <c r="Q174" i="42" s="1"/>
  <c r="C174" i="42"/>
  <c r="Q173" i="42" a="1"/>
  <c r="Q173" i="42" s="1"/>
  <c r="C173" i="42"/>
  <c r="Q172" i="42" a="1"/>
  <c r="Q172" i="42" s="1"/>
  <c r="C172" i="42"/>
  <c r="Q171" i="42" a="1"/>
  <c r="Q171" i="42" s="1"/>
  <c r="C171" i="42"/>
  <c r="Q170" i="42" a="1"/>
  <c r="Q170" i="42" s="1"/>
  <c r="C170" i="42"/>
  <c r="Q169" i="42" a="1"/>
  <c r="Q169" i="42" s="1"/>
  <c r="C169" i="42"/>
  <c r="Q168" i="42" a="1"/>
  <c r="Q168" i="42" s="1"/>
  <c r="C168" i="42"/>
  <c r="Q167" i="42" a="1"/>
  <c r="Q167" i="42" s="1"/>
  <c r="C167" i="42"/>
  <c r="Q166" i="42" a="1"/>
  <c r="Q166" i="42" s="1"/>
  <c r="C166" i="42"/>
  <c r="Q165" i="42" a="1"/>
  <c r="Q165" i="42" s="1"/>
  <c r="C165" i="42"/>
  <c r="Q164" i="42" a="1"/>
  <c r="Q164" i="42" s="1"/>
  <c r="C164" i="42"/>
  <c r="Q163" i="42" a="1"/>
  <c r="Q163" i="42" s="1"/>
  <c r="C163" i="42"/>
  <c r="Q162" i="42" a="1"/>
  <c r="Q162" i="42" s="1"/>
  <c r="C162" i="42"/>
  <c r="Q161" i="42" a="1"/>
  <c r="Q161" i="42" s="1"/>
  <c r="C161" i="42"/>
  <c r="Q160" i="42" a="1"/>
  <c r="Q160" i="42" s="1"/>
  <c r="C160" i="42"/>
  <c r="Q159" i="42" a="1"/>
  <c r="Q159" i="42" s="1"/>
  <c r="C159" i="42"/>
  <c r="Q158" i="42" a="1"/>
  <c r="Q158" i="42" s="1"/>
  <c r="C158" i="42"/>
  <c r="Q157" i="42" a="1"/>
  <c r="Q157" i="42" s="1"/>
  <c r="C157" i="42"/>
  <c r="Q156" i="42" a="1"/>
  <c r="Q156" i="42" s="1"/>
  <c r="C156" i="42"/>
  <c r="Q155" i="42" a="1"/>
  <c r="Q155" i="42" s="1"/>
  <c r="C155" i="42"/>
  <c r="Q154" i="42" a="1"/>
  <c r="Q154" i="42" s="1"/>
  <c r="C154" i="42"/>
  <c r="Q153" i="42" a="1"/>
  <c r="Q153" i="42" s="1"/>
  <c r="C153" i="42"/>
  <c r="Q152" i="42" a="1"/>
  <c r="Q152" i="42" s="1"/>
  <c r="C152" i="42"/>
  <c r="Q151" i="42" a="1"/>
  <c r="Q151" i="42" s="1"/>
  <c r="C151" i="42"/>
  <c r="Q150" i="42" a="1"/>
  <c r="Q150" i="42" s="1"/>
  <c r="C150" i="42"/>
  <c r="Q149" i="42" a="1"/>
  <c r="Q149" i="42" s="1"/>
  <c r="C149" i="42"/>
  <c r="Q148" i="42" a="1"/>
  <c r="Q148" i="42" s="1"/>
  <c r="C148" i="42"/>
  <c r="Q147" i="42" a="1"/>
  <c r="Q147" i="42" s="1"/>
  <c r="C147" i="42"/>
  <c r="Q146" i="42" a="1"/>
  <c r="Q146" i="42" s="1"/>
  <c r="C146" i="42"/>
  <c r="Q145" i="42" a="1"/>
  <c r="Q145" i="42" s="1"/>
  <c r="C145" i="42"/>
  <c r="Q144" i="42" a="1"/>
  <c r="Q144" i="42" s="1"/>
  <c r="C144" i="42"/>
  <c r="Q143" i="42" a="1"/>
  <c r="Q143" i="42" s="1"/>
  <c r="C143" i="42"/>
  <c r="Q142" i="42" a="1"/>
  <c r="Q142" i="42" s="1"/>
  <c r="C142" i="42"/>
  <c r="Q141" i="42" a="1"/>
  <c r="Q141" i="42" s="1"/>
  <c r="C141" i="42"/>
  <c r="Q140" i="42" a="1"/>
  <c r="Q140" i="42" s="1"/>
  <c r="C140" i="42"/>
  <c r="Q139" i="42" a="1"/>
  <c r="Q139" i="42" s="1"/>
  <c r="C139" i="42"/>
  <c r="Q138" i="42" a="1"/>
  <c r="Q138" i="42" s="1"/>
  <c r="C138" i="42"/>
  <c r="Q137" i="42" a="1"/>
  <c r="Q137" i="42" s="1"/>
  <c r="C137" i="42"/>
  <c r="Q136" i="42" a="1"/>
  <c r="Q136" i="42" s="1"/>
  <c r="C136" i="42"/>
  <c r="Q135" i="42" a="1"/>
  <c r="Q135" i="42" s="1"/>
  <c r="C135" i="42"/>
  <c r="Q134" i="42" a="1"/>
  <c r="Q134" i="42" s="1"/>
  <c r="C134" i="42"/>
  <c r="Q133" i="42" a="1"/>
  <c r="Q133" i="42" s="1"/>
  <c r="C133" i="42"/>
  <c r="Q132" i="42" a="1"/>
  <c r="Q132" i="42" s="1"/>
  <c r="C132" i="42"/>
  <c r="Q131" i="42" a="1"/>
  <c r="Q131" i="42" s="1"/>
  <c r="C131" i="42"/>
  <c r="Q130" i="42" a="1"/>
  <c r="Q130" i="42" s="1"/>
  <c r="C130" i="42"/>
  <c r="Q129" i="42" a="1"/>
  <c r="Q129" i="42" s="1"/>
  <c r="C129" i="42"/>
  <c r="Q128" i="42" a="1"/>
  <c r="Q128" i="42" s="1"/>
  <c r="C128" i="42"/>
  <c r="Q127" i="42" a="1"/>
  <c r="Q127" i="42" s="1"/>
  <c r="C127" i="42"/>
  <c r="Q126" i="42" a="1"/>
  <c r="Q126" i="42" s="1"/>
  <c r="C126" i="42"/>
  <c r="Q125" i="42" a="1"/>
  <c r="Q125" i="42" s="1"/>
  <c r="C125" i="42"/>
  <c r="Q124" i="42" a="1"/>
  <c r="Q124" i="42" s="1"/>
  <c r="C124" i="42"/>
  <c r="Q123" i="42" a="1"/>
  <c r="Q123" i="42" s="1"/>
  <c r="C123" i="42"/>
  <c r="Q122" i="42" a="1"/>
  <c r="Q122" i="42" s="1"/>
  <c r="C122" i="42"/>
  <c r="Q121" i="42" a="1"/>
  <c r="Q121" i="42" s="1"/>
  <c r="C121" i="42"/>
  <c r="Q120" i="42" a="1"/>
  <c r="Q120" i="42" s="1"/>
  <c r="C120" i="42"/>
  <c r="Q119" i="42" a="1"/>
  <c r="Q119" i="42" s="1"/>
  <c r="C119" i="42"/>
  <c r="Q118" i="42" a="1"/>
  <c r="Q118" i="42" s="1"/>
  <c r="C118" i="42"/>
  <c r="Q117" i="42" a="1"/>
  <c r="Q117" i="42" s="1"/>
  <c r="C117" i="42"/>
  <c r="Q116" i="42" a="1"/>
  <c r="Q116" i="42" s="1"/>
  <c r="C116" i="42"/>
  <c r="Q115" i="42" a="1"/>
  <c r="Q115" i="42" s="1"/>
  <c r="C115" i="42"/>
  <c r="Q114" i="42" a="1"/>
  <c r="Q114" i="42" s="1"/>
  <c r="C114" i="42"/>
  <c r="Q113" i="42" a="1"/>
  <c r="Q113" i="42" s="1"/>
  <c r="C113" i="42"/>
  <c r="Q112" i="42" a="1"/>
  <c r="Q112" i="42" s="1"/>
  <c r="C112" i="42"/>
  <c r="Q111" i="42" a="1"/>
  <c r="Q111" i="42" s="1"/>
  <c r="C111" i="42"/>
  <c r="Q110" i="42" a="1"/>
  <c r="Q110" i="42" s="1"/>
  <c r="C110" i="42"/>
  <c r="Q109" i="42" a="1"/>
  <c r="Q109" i="42" s="1"/>
  <c r="C109" i="42"/>
  <c r="Q108" i="42" a="1"/>
  <c r="Q108" i="42" s="1"/>
  <c r="C108" i="42"/>
  <c r="Q107" i="42" a="1"/>
  <c r="Q107" i="42" s="1"/>
  <c r="C107" i="42"/>
  <c r="Q106" i="42" a="1"/>
  <c r="Q106" i="42" s="1"/>
  <c r="C106" i="42"/>
  <c r="Q105" i="42" a="1"/>
  <c r="Q105" i="42" s="1"/>
  <c r="C105" i="42"/>
  <c r="Q104" i="42" a="1"/>
  <c r="Q104" i="42" s="1"/>
  <c r="C104" i="42"/>
  <c r="Q103" i="42" a="1"/>
  <c r="Q103" i="42" s="1"/>
  <c r="C103" i="42"/>
  <c r="Q102" i="42" a="1"/>
  <c r="Q102" i="42" s="1"/>
  <c r="C102" i="42"/>
  <c r="Q101" i="42" a="1"/>
  <c r="Q101" i="42" s="1"/>
  <c r="C101" i="42"/>
  <c r="Q100" i="42" a="1"/>
  <c r="Q100" i="42" s="1"/>
  <c r="C100" i="42"/>
  <c r="Q99" i="42" a="1"/>
  <c r="Q99" i="42" s="1"/>
  <c r="C99" i="42"/>
  <c r="Q98" i="42" a="1"/>
  <c r="Q98" i="42" s="1"/>
  <c r="C98" i="42"/>
  <c r="Q97" i="42" a="1"/>
  <c r="Q97" i="42" s="1"/>
  <c r="C97" i="42"/>
  <c r="Q96" i="42" a="1"/>
  <c r="Q96" i="42" s="1"/>
  <c r="C96" i="42"/>
  <c r="Q95" i="42" a="1"/>
  <c r="Q95" i="42" s="1"/>
  <c r="C95" i="42"/>
  <c r="Q94" i="42" a="1"/>
  <c r="Q94" i="42" s="1"/>
  <c r="C94" i="42"/>
  <c r="Q93" i="42" a="1"/>
  <c r="Q93" i="42" s="1"/>
  <c r="C93" i="42"/>
  <c r="Q92" i="42" a="1"/>
  <c r="Q92" i="42" s="1"/>
  <c r="C92" i="42"/>
  <c r="Q91" i="42" a="1"/>
  <c r="Q91" i="42" s="1"/>
  <c r="C91" i="42"/>
  <c r="Q90" i="42" a="1"/>
  <c r="Q90" i="42" s="1"/>
  <c r="C90" i="42"/>
  <c r="Q89" i="42" a="1"/>
  <c r="Q89" i="42" s="1"/>
  <c r="C89" i="42"/>
  <c r="Q88" i="42" a="1"/>
  <c r="Q88" i="42" s="1"/>
  <c r="C88" i="42"/>
  <c r="Q87" i="42" a="1"/>
  <c r="Q87" i="42" s="1"/>
  <c r="C87" i="42"/>
  <c r="Q86" i="42" a="1"/>
  <c r="Q86" i="42" s="1"/>
  <c r="C86" i="42"/>
  <c r="Q85" i="42" a="1"/>
  <c r="Q85" i="42" s="1"/>
  <c r="C85" i="42"/>
  <c r="Q84" i="42" a="1"/>
  <c r="Q84" i="42" s="1"/>
  <c r="C84" i="42"/>
  <c r="Q83" i="42" a="1"/>
  <c r="Q83" i="42" s="1"/>
  <c r="C83" i="42"/>
  <c r="Q82" i="42" a="1"/>
  <c r="Q82" i="42" s="1"/>
  <c r="C82" i="42"/>
  <c r="Q81" i="42" a="1"/>
  <c r="Q81" i="42" s="1"/>
  <c r="C81" i="42"/>
  <c r="Q80" i="42" a="1"/>
  <c r="Q80" i="42" s="1"/>
  <c r="C80" i="42"/>
  <c r="Q79" i="42" a="1"/>
  <c r="Q79" i="42" s="1"/>
  <c r="C79" i="42"/>
  <c r="Q78" i="42" a="1"/>
  <c r="Q78" i="42" s="1"/>
  <c r="C78" i="42"/>
  <c r="Q77" i="42" a="1"/>
  <c r="Q77" i="42" s="1"/>
  <c r="C77" i="42"/>
  <c r="Q76" i="42" a="1"/>
  <c r="Q76" i="42" s="1"/>
  <c r="C76" i="42"/>
  <c r="Q438" i="41" a="1"/>
  <c r="Q438" i="41" s="1"/>
  <c r="C438" i="41"/>
  <c r="Q437" i="41" a="1"/>
  <c r="Q437" i="41" s="1"/>
  <c r="C437" i="41"/>
  <c r="Q436" i="41" a="1"/>
  <c r="Q436" i="41" s="1"/>
  <c r="C436" i="41"/>
  <c r="Q435" i="41" a="1"/>
  <c r="Q435" i="41" s="1"/>
  <c r="C435" i="41"/>
  <c r="Q434" i="41" a="1"/>
  <c r="Q434" i="41" s="1"/>
  <c r="C434" i="41"/>
  <c r="Q433" i="41" a="1"/>
  <c r="Q433" i="41" s="1"/>
  <c r="C433" i="41"/>
  <c r="Q432" i="41" a="1"/>
  <c r="Q432" i="41" s="1"/>
  <c r="C432" i="41"/>
  <c r="Q431" i="41" a="1"/>
  <c r="Q431" i="41" s="1"/>
  <c r="C431" i="41"/>
  <c r="Q430" i="41" a="1"/>
  <c r="Q430" i="41" s="1"/>
  <c r="C430" i="41"/>
  <c r="Q429" i="41" a="1"/>
  <c r="Q429" i="41" s="1"/>
  <c r="C429" i="41"/>
  <c r="Q428" i="41" a="1"/>
  <c r="Q428" i="41" s="1"/>
  <c r="C428" i="41"/>
  <c r="Q427" i="41" a="1"/>
  <c r="Q427" i="41" s="1"/>
  <c r="C427" i="41"/>
  <c r="Q426" i="41" a="1"/>
  <c r="Q426" i="41" s="1"/>
  <c r="C426" i="41"/>
  <c r="Q425" i="41" a="1"/>
  <c r="Q425" i="41" s="1"/>
  <c r="C425" i="41"/>
  <c r="Q424" i="41" a="1"/>
  <c r="Q424" i="41" s="1"/>
  <c r="C424" i="41"/>
  <c r="Q423" i="41" a="1"/>
  <c r="Q423" i="41" s="1"/>
  <c r="C423" i="41"/>
  <c r="Q422" i="41" a="1"/>
  <c r="Q422" i="41" s="1"/>
  <c r="C422" i="41"/>
  <c r="Q421" i="41" a="1"/>
  <c r="Q421" i="41" s="1"/>
  <c r="C421" i="41"/>
  <c r="Q420" i="41" a="1"/>
  <c r="Q420" i="41" s="1"/>
  <c r="C420" i="41"/>
  <c r="Q419" i="41" a="1"/>
  <c r="Q419" i="41" s="1"/>
  <c r="C419" i="41"/>
  <c r="Q418" i="41" a="1"/>
  <c r="Q418" i="41" s="1"/>
  <c r="C418" i="41"/>
  <c r="Q417" i="41" a="1"/>
  <c r="Q417" i="41" s="1"/>
  <c r="C417" i="41"/>
  <c r="Q416" i="41" a="1"/>
  <c r="Q416" i="41" s="1"/>
  <c r="C416" i="41"/>
  <c r="Q415" i="41" a="1"/>
  <c r="Q415" i="41" s="1"/>
  <c r="C415" i="41"/>
  <c r="Q414" i="41" a="1"/>
  <c r="Q414" i="41" s="1"/>
  <c r="C414" i="41"/>
  <c r="Q413" i="41" a="1"/>
  <c r="Q413" i="41" s="1"/>
  <c r="C413" i="41"/>
  <c r="Q412" i="41" a="1"/>
  <c r="Q412" i="41" s="1"/>
  <c r="C412" i="41"/>
  <c r="Q411" i="41" a="1"/>
  <c r="Q411" i="41" s="1"/>
  <c r="C411" i="41"/>
  <c r="Q410" i="41" a="1"/>
  <c r="Q410" i="41" s="1"/>
  <c r="C410" i="41"/>
  <c r="Q409" i="41" a="1"/>
  <c r="Q409" i="41" s="1"/>
  <c r="C409" i="41"/>
  <c r="Q408" i="41" a="1"/>
  <c r="Q408" i="41" s="1"/>
  <c r="C408" i="41"/>
  <c r="Q407" i="41" a="1"/>
  <c r="Q407" i="41" s="1"/>
  <c r="C407" i="41"/>
  <c r="Q406" i="41" a="1"/>
  <c r="Q406" i="41" s="1"/>
  <c r="C406" i="41"/>
  <c r="Q405" i="41" a="1"/>
  <c r="Q405" i="41" s="1"/>
  <c r="C405" i="41"/>
  <c r="Q404" i="41" a="1"/>
  <c r="Q404" i="41" s="1"/>
  <c r="C404" i="41"/>
  <c r="Q403" i="41" a="1"/>
  <c r="Q403" i="41" s="1"/>
  <c r="C403" i="41"/>
  <c r="Q402" i="41" a="1"/>
  <c r="Q402" i="41" s="1"/>
  <c r="C402" i="41"/>
  <c r="Q401" i="41" a="1"/>
  <c r="Q401" i="41" s="1"/>
  <c r="C401" i="41"/>
  <c r="Q400" i="41" a="1"/>
  <c r="Q400" i="41" s="1"/>
  <c r="C400" i="41"/>
  <c r="Q399" i="41" a="1"/>
  <c r="Q399" i="41" s="1"/>
  <c r="C399" i="41"/>
  <c r="Q398" i="41" a="1"/>
  <c r="Q398" i="41" s="1"/>
  <c r="C398" i="41"/>
  <c r="Q397" i="41" a="1"/>
  <c r="Q397" i="41" s="1"/>
  <c r="C397" i="41"/>
  <c r="Q396" i="41" a="1"/>
  <c r="Q396" i="41" s="1"/>
  <c r="C396" i="41"/>
  <c r="Q395" i="41" a="1"/>
  <c r="Q395" i="41" s="1"/>
  <c r="C395" i="41"/>
  <c r="Q394" i="41" a="1"/>
  <c r="Q394" i="41" s="1"/>
  <c r="C394" i="41"/>
  <c r="Q393" i="41" a="1"/>
  <c r="Q393" i="41" s="1"/>
  <c r="C393" i="41"/>
  <c r="Q392" i="41" a="1"/>
  <c r="Q392" i="41" s="1"/>
  <c r="C392" i="41"/>
  <c r="Q391" i="41" a="1"/>
  <c r="Q391" i="41" s="1"/>
  <c r="C391" i="41"/>
  <c r="Q390" i="41" a="1"/>
  <c r="Q390" i="41" s="1"/>
  <c r="C390" i="41"/>
  <c r="Q389" i="41" a="1"/>
  <c r="Q389" i="41" s="1"/>
  <c r="C389" i="41"/>
  <c r="Q388" i="41" a="1"/>
  <c r="Q388" i="41" s="1"/>
  <c r="C388" i="41"/>
  <c r="Q387" i="41" a="1"/>
  <c r="Q387" i="41" s="1"/>
  <c r="C387" i="41"/>
  <c r="Q386" i="41" a="1"/>
  <c r="Q386" i="41" s="1"/>
  <c r="C386" i="41"/>
  <c r="Q385" i="41" a="1"/>
  <c r="Q385" i="41" s="1"/>
  <c r="C385" i="41"/>
  <c r="Q384" i="41" a="1"/>
  <c r="Q384" i="41" s="1"/>
  <c r="C384" i="41"/>
  <c r="Q383" i="41" a="1"/>
  <c r="Q383" i="41" s="1"/>
  <c r="C383" i="41"/>
  <c r="Q382" i="41" a="1"/>
  <c r="Q382" i="41" s="1"/>
  <c r="C382" i="41"/>
  <c r="Q381" i="41" a="1"/>
  <c r="Q381" i="41" s="1"/>
  <c r="C381" i="41"/>
  <c r="Q380" i="41" a="1"/>
  <c r="Q380" i="41" s="1"/>
  <c r="C380" i="41"/>
  <c r="Q379" i="41" a="1"/>
  <c r="Q379" i="41" s="1"/>
  <c r="C379" i="41"/>
  <c r="Q378" i="41" a="1"/>
  <c r="Q378" i="41" s="1"/>
  <c r="C378" i="41"/>
  <c r="Q377" i="41" a="1"/>
  <c r="Q377" i="41" s="1"/>
  <c r="C377" i="41"/>
  <c r="Q376" i="41" a="1"/>
  <c r="Q376" i="41" s="1"/>
  <c r="C376" i="41"/>
  <c r="Q375" i="41" a="1"/>
  <c r="Q375" i="41" s="1"/>
  <c r="C375" i="41"/>
  <c r="Q374" i="41" a="1"/>
  <c r="Q374" i="41" s="1"/>
  <c r="C374" i="41"/>
  <c r="Q373" i="41" a="1"/>
  <c r="Q373" i="41" s="1"/>
  <c r="C373" i="41"/>
  <c r="Q372" i="41" a="1"/>
  <c r="Q372" i="41" s="1"/>
  <c r="C372" i="41"/>
  <c r="Q371" i="41" a="1"/>
  <c r="Q371" i="41" s="1"/>
  <c r="C371" i="41"/>
  <c r="Q370" i="41" a="1"/>
  <c r="Q370" i="41" s="1"/>
  <c r="C370" i="41"/>
  <c r="Q369" i="41" a="1"/>
  <c r="Q369" i="41" s="1"/>
  <c r="C369" i="41"/>
  <c r="Q368" i="41" a="1"/>
  <c r="Q368" i="41" s="1"/>
  <c r="C368" i="41"/>
  <c r="Q367" i="41" a="1"/>
  <c r="Q367" i="41" s="1"/>
  <c r="C367" i="41"/>
  <c r="Q366" i="41" a="1"/>
  <c r="Q366" i="41" s="1"/>
  <c r="C366" i="41"/>
  <c r="Q365" i="41" a="1"/>
  <c r="Q365" i="41" s="1"/>
  <c r="C365" i="41"/>
  <c r="Q364" i="41" a="1"/>
  <c r="Q364" i="41" s="1"/>
  <c r="C364" i="41"/>
  <c r="Q363" i="41" a="1"/>
  <c r="Q363" i="41" s="1"/>
  <c r="C363" i="41"/>
  <c r="Q362" i="41" a="1"/>
  <c r="Q362" i="41" s="1"/>
  <c r="C362" i="41"/>
  <c r="Q361" i="41" a="1"/>
  <c r="Q361" i="41" s="1"/>
  <c r="C361" i="41"/>
  <c r="Q360" i="41" a="1"/>
  <c r="Q360" i="41" s="1"/>
  <c r="C360" i="41"/>
  <c r="Q359" i="41" a="1"/>
  <c r="Q359" i="41" s="1"/>
  <c r="C359" i="41"/>
  <c r="Q358" i="41" a="1"/>
  <c r="Q358" i="41" s="1"/>
  <c r="C358" i="41"/>
  <c r="Q357" i="41" a="1"/>
  <c r="Q357" i="41" s="1"/>
  <c r="C357" i="41"/>
  <c r="Q356" i="41" a="1"/>
  <c r="Q356" i="41" s="1"/>
  <c r="C356" i="41"/>
  <c r="Q355" i="41" a="1"/>
  <c r="Q355" i="41" s="1"/>
  <c r="C355" i="41"/>
  <c r="Q354" i="41" a="1"/>
  <c r="Q354" i="41" s="1"/>
  <c r="C354" i="41"/>
  <c r="Q353" i="41" a="1"/>
  <c r="Q353" i="41" s="1"/>
  <c r="C353" i="41"/>
  <c r="Q352" i="41" a="1"/>
  <c r="Q352" i="41" s="1"/>
  <c r="C352" i="41"/>
  <c r="Q351" i="41" a="1"/>
  <c r="Q351" i="41" s="1"/>
  <c r="C351" i="41"/>
  <c r="Q350" i="41" a="1"/>
  <c r="Q350" i="41" s="1"/>
  <c r="C350" i="41"/>
  <c r="Q349" i="41" a="1"/>
  <c r="Q349" i="41" s="1"/>
  <c r="C349" i="41"/>
  <c r="Q348" i="41" a="1"/>
  <c r="Q348" i="41" s="1"/>
  <c r="C348" i="41"/>
  <c r="Q347" i="41" a="1"/>
  <c r="Q347" i="41" s="1"/>
  <c r="C347" i="41"/>
  <c r="Q346" i="41" a="1"/>
  <c r="Q346" i="41" s="1"/>
  <c r="C346" i="41"/>
  <c r="Q345" i="41" a="1"/>
  <c r="Q345" i="41" s="1"/>
  <c r="C345" i="41"/>
  <c r="Q344" i="41" a="1"/>
  <c r="Q344" i="41" s="1"/>
  <c r="C344" i="41"/>
  <c r="Q343" i="41" a="1"/>
  <c r="Q343" i="41" s="1"/>
  <c r="C343" i="41"/>
  <c r="Q342" i="41" a="1"/>
  <c r="Q342" i="41" s="1"/>
  <c r="C342" i="41"/>
  <c r="Q341" i="41" a="1"/>
  <c r="Q341" i="41" s="1"/>
  <c r="C341" i="41"/>
  <c r="Q340" i="41" a="1"/>
  <c r="Q340" i="41" s="1"/>
  <c r="C340" i="41"/>
  <c r="Q339" i="41" a="1"/>
  <c r="Q339" i="41" s="1"/>
  <c r="C339" i="41"/>
  <c r="Q338" i="41" a="1"/>
  <c r="Q338" i="41" s="1"/>
  <c r="C338" i="41"/>
  <c r="Q337" i="41" a="1"/>
  <c r="Q337" i="41" s="1"/>
  <c r="C337" i="41"/>
  <c r="Q336" i="41" a="1"/>
  <c r="Q336" i="41" s="1"/>
  <c r="C336" i="41"/>
  <c r="Q335" i="41" a="1"/>
  <c r="Q335" i="41" s="1"/>
  <c r="C335" i="41"/>
  <c r="Q334" i="41" a="1"/>
  <c r="Q334" i="41" s="1"/>
  <c r="C334" i="41"/>
  <c r="Q333" i="41" a="1"/>
  <c r="Q333" i="41" s="1"/>
  <c r="C333" i="41"/>
  <c r="Q332" i="41" a="1"/>
  <c r="Q332" i="41" s="1"/>
  <c r="C332" i="41"/>
  <c r="Q331" i="41" a="1"/>
  <c r="Q331" i="41" s="1"/>
  <c r="C331" i="41"/>
  <c r="Q330" i="41" a="1"/>
  <c r="Q330" i="41" s="1"/>
  <c r="C330" i="41"/>
  <c r="Q329" i="41" a="1"/>
  <c r="Q329" i="41" s="1"/>
  <c r="C329" i="41"/>
  <c r="Q328" i="41" a="1"/>
  <c r="Q328" i="41" s="1"/>
  <c r="C328" i="41"/>
  <c r="Q327" i="41" a="1"/>
  <c r="Q327" i="41" s="1"/>
  <c r="C327" i="41"/>
  <c r="Q326" i="41" a="1"/>
  <c r="Q326" i="41" s="1"/>
  <c r="C326" i="41"/>
  <c r="Q325" i="41" a="1"/>
  <c r="Q325" i="41" s="1"/>
  <c r="C325" i="41"/>
  <c r="Q324" i="41" a="1"/>
  <c r="Q324" i="41" s="1"/>
  <c r="C324" i="41"/>
  <c r="Q323" i="41" a="1"/>
  <c r="Q323" i="41" s="1"/>
  <c r="C323" i="41"/>
  <c r="Q322" i="41" a="1"/>
  <c r="Q322" i="41" s="1"/>
  <c r="C322" i="41"/>
  <c r="Q321" i="41" a="1"/>
  <c r="Q321" i="41" s="1"/>
  <c r="C321" i="41"/>
  <c r="Q320" i="41" a="1"/>
  <c r="Q320" i="41" s="1"/>
  <c r="C320" i="41"/>
  <c r="Q319" i="41" a="1"/>
  <c r="Q319" i="41" s="1"/>
  <c r="C319" i="41"/>
  <c r="Q318" i="41" a="1"/>
  <c r="Q318" i="41" s="1"/>
  <c r="C318" i="41"/>
  <c r="Q317" i="41" a="1"/>
  <c r="Q317" i="41" s="1"/>
  <c r="C317" i="41"/>
  <c r="Q316" i="41" a="1"/>
  <c r="Q316" i="41" s="1"/>
  <c r="C316" i="41"/>
  <c r="Q315" i="41" a="1"/>
  <c r="Q315" i="41" s="1"/>
  <c r="C315" i="41"/>
  <c r="Q314" i="41" a="1"/>
  <c r="Q314" i="41" s="1"/>
  <c r="C314" i="41"/>
  <c r="Q313" i="41" a="1"/>
  <c r="Q313" i="41" s="1"/>
  <c r="C313" i="41"/>
  <c r="Q312" i="41" a="1"/>
  <c r="Q312" i="41" s="1"/>
  <c r="C312" i="41"/>
  <c r="Q311" i="41" a="1"/>
  <c r="Q311" i="41" s="1"/>
  <c r="C311" i="41"/>
  <c r="Q310" i="41" a="1"/>
  <c r="Q310" i="41" s="1"/>
  <c r="C310" i="41"/>
  <c r="Q309" i="41" a="1"/>
  <c r="Q309" i="41" s="1"/>
  <c r="C309" i="41"/>
  <c r="Q308" i="41" a="1"/>
  <c r="Q308" i="41" s="1"/>
  <c r="C308" i="41"/>
  <c r="Q307" i="41" a="1"/>
  <c r="Q307" i="41" s="1"/>
  <c r="C307" i="41"/>
  <c r="Q306" i="41" a="1"/>
  <c r="Q306" i="41" s="1"/>
  <c r="C306" i="41"/>
  <c r="Q305" i="41" a="1"/>
  <c r="Q305" i="41" s="1"/>
  <c r="C305" i="41"/>
  <c r="Q304" i="41" a="1"/>
  <c r="Q304" i="41" s="1"/>
  <c r="C304" i="41"/>
  <c r="Q303" i="41" a="1"/>
  <c r="Q303" i="41" s="1"/>
  <c r="C303" i="41"/>
  <c r="Q302" i="41" a="1"/>
  <c r="Q302" i="41" s="1"/>
  <c r="C302" i="41"/>
  <c r="Q301" i="41" a="1"/>
  <c r="Q301" i="41" s="1"/>
  <c r="C301" i="41"/>
  <c r="Q300" i="41" a="1"/>
  <c r="Q300" i="41" s="1"/>
  <c r="C300" i="41"/>
  <c r="Q299" i="41" a="1"/>
  <c r="Q299" i="41" s="1"/>
  <c r="C299" i="41"/>
  <c r="Q298" i="41" a="1"/>
  <c r="Q298" i="41" s="1"/>
  <c r="C298" i="41"/>
  <c r="Q297" i="41" a="1"/>
  <c r="Q297" i="41" s="1"/>
  <c r="C297" i="41"/>
  <c r="Q296" i="41" a="1"/>
  <c r="Q296" i="41" s="1"/>
  <c r="C296" i="41"/>
  <c r="Q295" i="41" a="1"/>
  <c r="Q295" i="41" s="1"/>
  <c r="C295" i="41"/>
  <c r="Q294" i="41" a="1"/>
  <c r="Q294" i="41" s="1"/>
  <c r="C294" i="41"/>
  <c r="Q293" i="41" a="1"/>
  <c r="Q293" i="41" s="1"/>
  <c r="C293" i="41"/>
  <c r="Q292" i="41" a="1"/>
  <c r="Q292" i="41" s="1"/>
  <c r="C292" i="41"/>
  <c r="Q291" i="41" a="1"/>
  <c r="Q291" i="41" s="1"/>
  <c r="C291" i="41"/>
  <c r="Q290" i="41" a="1"/>
  <c r="Q290" i="41" s="1"/>
  <c r="C290" i="41"/>
  <c r="Q289" i="41" a="1"/>
  <c r="Q289" i="41" s="1"/>
  <c r="C289" i="41"/>
  <c r="Q288" i="41" a="1"/>
  <c r="Q288" i="41" s="1"/>
  <c r="C288" i="41"/>
  <c r="Q287" i="41" a="1"/>
  <c r="Q287" i="41" s="1"/>
  <c r="C287" i="41"/>
  <c r="Q286" i="41" a="1"/>
  <c r="Q286" i="41" s="1"/>
  <c r="C286" i="41"/>
  <c r="Q285" i="41" a="1"/>
  <c r="Q285" i="41" s="1"/>
  <c r="C285" i="41"/>
  <c r="Q284" i="41" a="1"/>
  <c r="Q284" i="41" s="1"/>
  <c r="C284" i="41"/>
  <c r="Q283" i="41" a="1"/>
  <c r="Q283" i="41" s="1"/>
  <c r="C283" i="41"/>
  <c r="Q282" i="41" a="1"/>
  <c r="Q282" i="41" s="1"/>
  <c r="C282" i="41"/>
  <c r="Q281" i="41" a="1"/>
  <c r="Q281" i="41" s="1"/>
  <c r="C281" i="41"/>
  <c r="Q280" i="41" a="1"/>
  <c r="Q280" i="41" s="1"/>
  <c r="C280" i="41"/>
  <c r="Q279" i="41" a="1"/>
  <c r="Q279" i="41" s="1"/>
  <c r="C279" i="41"/>
  <c r="Q278" i="41" a="1"/>
  <c r="Q278" i="41" s="1"/>
  <c r="C278" i="41"/>
  <c r="Q277" i="41" a="1"/>
  <c r="Q277" i="41" s="1"/>
  <c r="C277" i="41"/>
  <c r="Q276" i="41" a="1"/>
  <c r="Q276" i="41" s="1"/>
  <c r="C276" i="41"/>
  <c r="Q275" i="41" a="1"/>
  <c r="Q275" i="41" s="1"/>
  <c r="C275" i="41"/>
  <c r="Q274" i="41" a="1"/>
  <c r="Q274" i="41" s="1"/>
  <c r="C274" i="41"/>
  <c r="Q273" i="41" a="1"/>
  <c r="Q273" i="41" s="1"/>
  <c r="C273" i="41"/>
  <c r="Q272" i="41" a="1"/>
  <c r="Q272" i="41" s="1"/>
  <c r="C272" i="41"/>
  <c r="Q271" i="41" a="1"/>
  <c r="Q271" i="41" s="1"/>
  <c r="C271" i="41"/>
  <c r="Q270" i="41" a="1"/>
  <c r="Q270" i="41" s="1"/>
  <c r="C270" i="41"/>
  <c r="Q269" i="41" a="1"/>
  <c r="Q269" i="41" s="1"/>
  <c r="C269" i="41"/>
  <c r="Q268" i="41" a="1"/>
  <c r="Q268" i="41" s="1"/>
  <c r="C268" i="41"/>
  <c r="Q267" i="41" a="1"/>
  <c r="Q267" i="41" s="1"/>
  <c r="C267" i="41"/>
  <c r="Q266" i="41" a="1"/>
  <c r="Q266" i="41" s="1"/>
  <c r="C266" i="41"/>
  <c r="Q265" i="41" a="1"/>
  <c r="Q265" i="41" s="1"/>
  <c r="C265" i="41"/>
  <c r="Q264" i="41" a="1"/>
  <c r="Q264" i="41" s="1"/>
  <c r="C264" i="41"/>
  <c r="Q263" i="41" a="1"/>
  <c r="Q263" i="41" s="1"/>
  <c r="C263" i="41"/>
  <c r="Q262" i="41" a="1"/>
  <c r="Q262" i="41" s="1"/>
  <c r="C262" i="41"/>
  <c r="Q261" i="41" a="1"/>
  <c r="Q261" i="41" s="1"/>
  <c r="C261" i="41"/>
  <c r="Q260" i="41" a="1"/>
  <c r="Q260" i="41" s="1"/>
  <c r="C260" i="41"/>
  <c r="Q259" i="41" a="1"/>
  <c r="Q259" i="41" s="1"/>
  <c r="C259" i="41"/>
  <c r="Q258" i="41" a="1"/>
  <c r="Q258" i="41" s="1"/>
  <c r="C258" i="41"/>
  <c r="Q257" i="41" a="1"/>
  <c r="Q257" i="41" s="1"/>
  <c r="C257" i="41"/>
  <c r="Q256" i="41" a="1"/>
  <c r="Q256" i="41" s="1"/>
  <c r="C256" i="41"/>
  <c r="Q255" i="41" a="1"/>
  <c r="Q255" i="41" s="1"/>
  <c r="C255" i="41"/>
  <c r="Q254" i="41" a="1"/>
  <c r="Q254" i="41" s="1"/>
  <c r="C254" i="41"/>
  <c r="Q253" i="41" a="1"/>
  <c r="Q253" i="41" s="1"/>
  <c r="C253" i="41"/>
  <c r="Q252" i="41" a="1"/>
  <c r="Q252" i="41" s="1"/>
  <c r="C252" i="41"/>
  <c r="Q251" i="41" a="1"/>
  <c r="Q251" i="41" s="1"/>
  <c r="C251" i="41"/>
  <c r="Q250" i="41" a="1"/>
  <c r="Q250" i="41" s="1"/>
  <c r="C250" i="41"/>
  <c r="Q249" i="41" a="1"/>
  <c r="Q249" i="41" s="1"/>
  <c r="C249" i="41"/>
  <c r="Q248" i="41" a="1"/>
  <c r="Q248" i="41" s="1"/>
  <c r="C248" i="41"/>
  <c r="Q247" i="41" a="1"/>
  <c r="Q247" i="41" s="1"/>
  <c r="C247" i="41"/>
  <c r="Q246" i="41" a="1"/>
  <c r="Q246" i="41" s="1"/>
  <c r="C246" i="41"/>
  <c r="Q245" i="41" a="1"/>
  <c r="Q245" i="41" s="1"/>
  <c r="C245" i="41"/>
  <c r="Q244" i="41" a="1"/>
  <c r="Q244" i="41" s="1"/>
  <c r="C244" i="41"/>
  <c r="Q243" i="41" a="1"/>
  <c r="Q243" i="41" s="1"/>
  <c r="C243" i="41"/>
  <c r="Q242" i="41" a="1"/>
  <c r="Q242" i="41" s="1"/>
  <c r="C242" i="41"/>
  <c r="Q241" i="41" a="1"/>
  <c r="Q241" i="41" s="1"/>
  <c r="C241" i="41"/>
  <c r="Q240" i="41" a="1"/>
  <c r="Q240" i="41" s="1"/>
  <c r="C240" i="41"/>
  <c r="Q239" i="41" a="1"/>
  <c r="Q239" i="41" s="1"/>
  <c r="C239" i="41"/>
  <c r="Q238" i="41" a="1"/>
  <c r="Q238" i="41" s="1"/>
  <c r="C238" i="41"/>
  <c r="Q237" i="41" a="1"/>
  <c r="Q237" i="41" s="1"/>
  <c r="C237" i="41"/>
  <c r="Q236" i="41" a="1"/>
  <c r="Q236" i="41" s="1"/>
  <c r="C236" i="41"/>
  <c r="Q235" i="41" a="1"/>
  <c r="Q235" i="41" s="1"/>
  <c r="C235" i="41"/>
  <c r="Q234" i="41" a="1"/>
  <c r="Q234" i="41" s="1"/>
  <c r="C234" i="41"/>
  <c r="Q233" i="41" a="1"/>
  <c r="Q233" i="41" s="1"/>
  <c r="C233" i="41"/>
  <c r="Q232" i="41" a="1"/>
  <c r="Q232" i="41" s="1"/>
  <c r="C232" i="41"/>
  <c r="Q231" i="41" a="1"/>
  <c r="Q231" i="41" s="1"/>
  <c r="C231" i="41"/>
  <c r="Q230" i="41" a="1"/>
  <c r="Q230" i="41" s="1"/>
  <c r="C230" i="41"/>
  <c r="Q229" i="41" a="1"/>
  <c r="Q229" i="41" s="1"/>
  <c r="C229" i="41"/>
  <c r="Q228" i="41" a="1"/>
  <c r="Q228" i="41" s="1"/>
  <c r="C228" i="41"/>
  <c r="Q227" i="41" a="1"/>
  <c r="Q227" i="41" s="1"/>
  <c r="C227" i="41"/>
  <c r="Q226" i="41" a="1"/>
  <c r="Q226" i="41" s="1"/>
  <c r="C226" i="41"/>
  <c r="Q225" i="41" a="1"/>
  <c r="Q225" i="41" s="1"/>
  <c r="C225" i="41"/>
  <c r="Q224" i="41" a="1"/>
  <c r="Q224" i="41" s="1"/>
  <c r="C224" i="41"/>
  <c r="Q223" i="41" a="1"/>
  <c r="Q223" i="41" s="1"/>
  <c r="C223" i="41"/>
  <c r="Q222" i="41" a="1"/>
  <c r="Q222" i="41" s="1"/>
  <c r="C222" i="41"/>
  <c r="Q221" i="41" a="1"/>
  <c r="Q221" i="41" s="1"/>
  <c r="C221" i="41"/>
  <c r="Q220" i="41" a="1"/>
  <c r="Q220" i="41" s="1"/>
  <c r="C220" i="41"/>
  <c r="Q219" i="41" a="1"/>
  <c r="Q219" i="41" s="1"/>
  <c r="C219" i="41"/>
  <c r="Q218" i="41" a="1"/>
  <c r="Q218" i="41" s="1"/>
  <c r="C218" i="41"/>
  <c r="Q217" i="41" a="1"/>
  <c r="Q217" i="41" s="1"/>
  <c r="C217" i="41"/>
  <c r="Q216" i="41" a="1"/>
  <c r="Q216" i="41" s="1"/>
  <c r="C216" i="41"/>
  <c r="Q215" i="41" a="1"/>
  <c r="Q215" i="41" s="1"/>
  <c r="C215" i="41"/>
  <c r="Q214" i="41" a="1"/>
  <c r="Q214" i="41" s="1"/>
  <c r="C214" i="41"/>
  <c r="Q213" i="41" a="1"/>
  <c r="Q213" i="41" s="1"/>
  <c r="C213" i="41"/>
  <c r="Q212" i="41" a="1"/>
  <c r="Q212" i="41" s="1"/>
  <c r="C212" i="41"/>
  <c r="Q211" i="41" a="1"/>
  <c r="Q211" i="41" s="1"/>
  <c r="C211" i="41"/>
  <c r="Q210" i="41" a="1"/>
  <c r="Q210" i="41" s="1"/>
  <c r="C210" i="41"/>
  <c r="Q209" i="41" a="1"/>
  <c r="Q209" i="41" s="1"/>
  <c r="C209" i="41"/>
  <c r="Q208" i="41" a="1"/>
  <c r="Q208" i="41" s="1"/>
  <c r="C208" i="41"/>
  <c r="Q207" i="41" a="1"/>
  <c r="Q207" i="41" s="1"/>
  <c r="C207" i="41"/>
  <c r="Q206" i="41" a="1"/>
  <c r="Q206" i="41" s="1"/>
  <c r="C206" i="41"/>
  <c r="Q205" i="41" a="1"/>
  <c r="Q205" i="41" s="1"/>
  <c r="C205" i="41"/>
  <c r="Q204" i="41" a="1"/>
  <c r="Q204" i="41" s="1"/>
  <c r="C204" i="41"/>
  <c r="Q203" i="41" a="1"/>
  <c r="Q203" i="41" s="1"/>
  <c r="C203" i="41"/>
  <c r="Q202" i="41" a="1"/>
  <c r="Q202" i="41" s="1"/>
  <c r="C202" i="41"/>
  <c r="Q201" i="41" a="1"/>
  <c r="Q201" i="41" s="1"/>
  <c r="C201" i="41"/>
  <c r="Q200" i="41" a="1"/>
  <c r="Q200" i="41" s="1"/>
  <c r="C200" i="41"/>
  <c r="Q199" i="41" a="1"/>
  <c r="Q199" i="41" s="1"/>
  <c r="C199" i="41"/>
  <c r="Q198" i="41" a="1"/>
  <c r="Q198" i="41" s="1"/>
  <c r="C198" i="41"/>
  <c r="Q197" i="41" a="1"/>
  <c r="Q197" i="41" s="1"/>
  <c r="C197" i="41"/>
  <c r="Q196" i="41" a="1"/>
  <c r="Q196" i="41" s="1"/>
  <c r="C196" i="41"/>
  <c r="Q195" i="41" a="1"/>
  <c r="Q195" i="41" s="1"/>
  <c r="C195" i="41"/>
  <c r="Q194" i="41" a="1"/>
  <c r="Q194" i="41" s="1"/>
  <c r="C194" i="41"/>
  <c r="Q193" i="41" a="1"/>
  <c r="Q193" i="41" s="1"/>
  <c r="C193" i="41"/>
  <c r="Q192" i="41" a="1"/>
  <c r="Q192" i="41" s="1"/>
  <c r="C192" i="41"/>
  <c r="Q191" i="41" a="1"/>
  <c r="Q191" i="41" s="1"/>
  <c r="C191" i="41"/>
  <c r="Q190" i="41" a="1"/>
  <c r="Q190" i="41" s="1"/>
  <c r="C190" i="41"/>
  <c r="Q189" i="41" a="1"/>
  <c r="Q189" i="41" s="1"/>
  <c r="C189" i="41"/>
  <c r="Q188" i="41" a="1"/>
  <c r="Q188" i="41" s="1"/>
  <c r="C188" i="41"/>
  <c r="Q187" i="41" a="1"/>
  <c r="Q187" i="41" s="1"/>
  <c r="C187" i="41"/>
  <c r="Q186" i="41" a="1"/>
  <c r="Q186" i="41" s="1"/>
  <c r="C186" i="41"/>
  <c r="Q185" i="41" a="1"/>
  <c r="Q185" i="41" s="1"/>
  <c r="C185" i="41"/>
  <c r="Q184" i="41" a="1"/>
  <c r="Q184" i="41" s="1"/>
  <c r="C184" i="41"/>
  <c r="Q183" i="41" a="1"/>
  <c r="Q183" i="41" s="1"/>
  <c r="C183" i="41"/>
  <c r="Q182" i="41" a="1"/>
  <c r="Q182" i="41" s="1"/>
  <c r="C182" i="41"/>
  <c r="Q181" i="41" a="1"/>
  <c r="Q181" i="41" s="1"/>
  <c r="C181" i="41"/>
  <c r="Q180" i="41" a="1"/>
  <c r="Q180" i="41" s="1"/>
  <c r="C180" i="41"/>
  <c r="Q179" i="41" a="1"/>
  <c r="Q179" i="41" s="1"/>
  <c r="C179" i="41"/>
  <c r="Q178" i="41" a="1"/>
  <c r="Q178" i="41" s="1"/>
  <c r="C178" i="41"/>
  <c r="Q177" i="41" a="1"/>
  <c r="Q177" i="41" s="1"/>
  <c r="C177" i="41"/>
  <c r="Q176" i="41" a="1"/>
  <c r="Q176" i="41" s="1"/>
  <c r="C176" i="41"/>
  <c r="Q175" i="41" a="1"/>
  <c r="Q175" i="41" s="1"/>
  <c r="C175" i="41"/>
  <c r="Q174" i="41" a="1"/>
  <c r="Q174" i="41" s="1"/>
  <c r="C174" i="41"/>
  <c r="Q173" i="41" a="1"/>
  <c r="Q173" i="41" s="1"/>
  <c r="C173" i="41"/>
  <c r="Q172" i="41" a="1"/>
  <c r="Q172" i="41" s="1"/>
  <c r="C172" i="41"/>
  <c r="Q171" i="41" a="1"/>
  <c r="Q171" i="41" s="1"/>
  <c r="C171" i="41"/>
  <c r="Q170" i="41" a="1"/>
  <c r="Q170" i="41" s="1"/>
  <c r="C170" i="41"/>
  <c r="Q169" i="41" a="1"/>
  <c r="Q169" i="41" s="1"/>
  <c r="C169" i="41"/>
  <c r="Q168" i="41" a="1"/>
  <c r="Q168" i="41" s="1"/>
  <c r="C168" i="41"/>
  <c r="Q167" i="41" a="1"/>
  <c r="Q167" i="41" s="1"/>
  <c r="C167" i="41"/>
  <c r="Q166" i="41" a="1"/>
  <c r="Q166" i="41" s="1"/>
  <c r="C166" i="41"/>
  <c r="Q165" i="41" a="1"/>
  <c r="Q165" i="41" s="1"/>
  <c r="C165" i="41"/>
  <c r="Q164" i="41" a="1"/>
  <c r="Q164" i="41" s="1"/>
  <c r="C164" i="41"/>
  <c r="Q163" i="41" a="1"/>
  <c r="Q163" i="41" s="1"/>
  <c r="C163" i="41"/>
  <c r="Q162" i="41" a="1"/>
  <c r="Q162" i="41" s="1"/>
  <c r="C162" i="41"/>
  <c r="Q161" i="41" a="1"/>
  <c r="Q161" i="41" s="1"/>
  <c r="C161" i="41"/>
  <c r="Q160" i="41" a="1"/>
  <c r="Q160" i="41" s="1"/>
  <c r="C160" i="41"/>
  <c r="Q159" i="41" a="1"/>
  <c r="Q159" i="41" s="1"/>
  <c r="C159" i="41"/>
  <c r="Q158" i="41" a="1"/>
  <c r="Q158" i="41" s="1"/>
  <c r="C158" i="41"/>
  <c r="Q157" i="41" a="1"/>
  <c r="Q157" i="41" s="1"/>
  <c r="C157" i="41"/>
  <c r="Q156" i="41" a="1"/>
  <c r="Q156" i="41" s="1"/>
  <c r="C156" i="41"/>
  <c r="Q155" i="41" a="1"/>
  <c r="Q155" i="41" s="1"/>
  <c r="C155" i="41"/>
  <c r="Q154" i="41" a="1"/>
  <c r="Q154" i="41" s="1"/>
  <c r="C154" i="41"/>
  <c r="Q153" i="41" a="1"/>
  <c r="Q153" i="41" s="1"/>
  <c r="C153" i="41"/>
  <c r="Q152" i="41" a="1"/>
  <c r="Q152" i="41" s="1"/>
  <c r="C152" i="41"/>
  <c r="Q151" i="41" a="1"/>
  <c r="Q151" i="41" s="1"/>
  <c r="C151" i="41"/>
  <c r="Q150" i="41" a="1"/>
  <c r="Q150" i="41" s="1"/>
  <c r="C150" i="41"/>
  <c r="Q149" i="41" a="1"/>
  <c r="Q149" i="41" s="1"/>
  <c r="C149" i="41"/>
  <c r="Q148" i="41" a="1"/>
  <c r="Q148" i="41" s="1"/>
  <c r="C148" i="41"/>
  <c r="Q147" i="41" a="1"/>
  <c r="Q147" i="41" s="1"/>
  <c r="C147" i="41"/>
  <c r="Q146" i="41" a="1"/>
  <c r="Q146" i="41" s="1"/>
  <c r="C146" i="41"/>
  <c r="Q145" i="41" a="1"/>
  <c r="Q145" i="41" s="1"/>
  <c r="C145" i="41"/>
  <c r="Q144" i="41" a="1"/>
  <c r="Q144" i="41" s="1"/>
  <c r="C144" i="41"/>
  <c r="Q143" i="41" a="1"/>
  <c r="Q143" i="41" s="1"/>
  <c r="C143" i="41"/>
  <c r="Q142" i="41" a="1"/>
  <c r="Q142" i="41" s="1"/>
  <c r="C142" i="41"/>
  <c r="Q141" i="41" a="1"/>
  <c r="Q141" i="41" s="1"/>
  <c r="C141" i="41"/>
  <c r="Q140" i="41" a="1"/>
  <c r="Q140" i="41" s="1"/>
  <c r="C140" i="41"/>
  <c r="Q139" i="41" a="1"/>
  <c r="Q139" i="41" s="1"/>
  <c r="C139" i="41"/>
  <c r="Q138" i="41" a="1"/>
  <c r="Q138" i="41" s="1"/>
  <c r="C138" i="41"/>
  <c r="Q137" i="41" a="1"/>
  <c r="Q137" i="41" s="1"/>
  <c r="C137" i="41"/>
  <c r="Q136" i="41" a="1"/>
  <c r="Q136" i="41" s="1"/>
  <c r="C136" i="41"/>
  <c r="Q135" i="41" a="1"/>
  <c r="Q135" i="41" s="1"/>
  <c r="C135" i="41"/>
  <c r="Q134" i="41" a="1"/>
  <c r="Q134" i="41" s="1"/>
  <c r="C134" i="41"/>
  <c r="Q133" i="41" a="1"/>
  <c r="Q133" i="41" s="1"/>
  <c r="C133" i="41"/>
  <c r="Q132" i="41" a="1"/>
  <c r="Q132" i="41" s="1"/>
  <c r="C132" i="41"/>
  <c r="Q131" i="41" a="1"/>
  <c r="Q131" i="41" s="1"/>
  <c r="C131" i="41"/>
  <c r="Q130" i="41" a="1"/>
  <c r="Q130" i="41" s="1"/>
  <c r="C130" i="41"/>
  <c r="Q129" i="41" a="1"/>
  <c r="Q129" i="41" s="1"/>
  <c r="C129" i="41"/>
  <c r="Q128" i="41" a="1"/>
  <c r="Q128" i="41" s="1"/>
  <c r="C128" i="41"/>
  <c r="Q127" i="41" a="1"/>
  <c r="Q127" i="41" s="1"/>
  <c r="C127" i="41"/>
  <c r="Q126" i="41" a="1"/>
  <c r="Q126" i="41" s="1"/>
  <c r="C126" i="41"/>
  <c r="Q125" i="41" a="1"/>
  <c r="Q125" i="41" s="1"/>
  <c r="C125" i="41"/>
  <c r="Q124" i="41" a="1"/>
  <c r="Q124" i="41" s="1"/>
  <c r="C124" i="41"/>
  <c r="Q123" i="41" a="1"/>
  <c r="Q123" i="41" s="1"/>
  <c r="C123" i="41"/>
  <c r="Q122" i="41" a="1"/>
  <c r="Q122" i="41" s="1"/>
  <c r="C122" i="41"/>
  <c r="Q121" i="41" a="1"/>
  <c r="Q121" i="41" s="1"/>
  <c r="C121" i="41"/>
  <c r="Q120" i="41" a="1"/>
  <c r="Q120" i="41" s="1"/>
  <c r="C120" i="41"/>
  <c r="Q119" i="41" a="1"/>
  <c r="Q119" i="41" s="1"/>
  <c r="C119" i="41"/>
  <c r="Q118" i="41" a="1"/>
  <c r="Q118" i="41" s="1"/>
  <c r="C118" i="41"/>
  <c r="Q117" i="41" a="1"/>
  <c r="Q117" i="41" s="1"/>
  <c r="C117" i="41"/>
  <c r="Q116" i="41" a="1"/>
  <c r="Q116" i="41" s="1"/>
  <c r="C116" i="41"/>
  <c r="Q115" i="41" a="1"/>
  <c r="Q115" i="41" s="1"/>
  <c r="C115" i="41"/>
  <c r="Q114" i="41" a="1"/>
  <c r="Q114" i="41" s="1"/>
  <c r="C114" i="41"/>
  <c r="Q113" i="41" a="1"/>
  <c r="Q113" i="41" s="1"/>
  <c r="C113" i="41"/>
  <c r="Q112" i="41" a="1"/>
  <c r="Q112" i="41" s="1"/>
  <c r="C112" i="41"/>
  <c r="Q111" i="41" a="1"/>
  <c r="Q111" i="41" s="1"/>
  <c r="C111" i="41"/>
  <c r="Q110" i="41" a="1"/>
  <c r="Q110" i="41" s="1"/>
  <c r="C110" i="41"/>
  <c r="Q109" i="41" a="1"/>
  <c r="Q109" i="41" s="1"/>
  <c r="C109" i="41"/>
  <c r="Q108" i="41" a="1"/>
  <c r="Q108" i="41" s="1"/>
  <c r="C108" i="41"/>
  <c r="Q107" i="41" a="1"/>
  <c r="Q107" i="41" s="1"/>
  <c r="C107" i="41"/>
  <c r="Q106" i="41" a="1"/>
  <c r="Q106" i="41" s="1"/>
  <c r="C106" i="41"/>
  <c r="Q105" i="41" a="1"/>
  <c r="Q105" i="41" s="1"/>
  <c r="C105" i="41"/>
  <c r="Q104" i="41" a="1"/>
  <c r="Q104" i="41" s="1"/>
  <c r="C104" i="41"/>
  <c r="Q103" i="41" a="1"/>
  <c r="Q103" i="41" s="1"/>
  <c r="C103" i="41"/>
  <c r="Q102" i="41" a="1"/>
  <c r="Q102" i="41" s="1"/>
  <c r="C102" i="41"/>
  <c r="Q101" i="41" a="1"/>
  <c r="Q101" i="41" s="1"/>
  <c r="C101" i="41"/>
  <c r="Q100" i="41" a="1"/>
  <c r="Q100" i="41" s="1"/>
  <c r="C100" i="41"/>
  <c r="Q99" i="41" a="1"/>
  <c r="Q99" i="41" s="1"/>
  <c r="C99" i="41"/>
  <c r="Q98" i="41" a="1"/>
  <c r="Q98" i="41" s="1"/>
  <c r="C98" i="41"/>
  <c r="Q97" i="41" a="1"/>
  <c r="Q97" i="41" s="1"/>
  <c r="C97" i="41"/>
  <c r="Q96" i="41" a="1"/>
  <c r="Q96" i="41" s="1"/>
  <c r="C96" i="41"/>
  <c r="Q95" i="41" a="1"/>
  <c r="Q95" i="41" s="1"/>
  <c r="C95" i="41"/>
  <c r="Q94" i="41" a="1"/>
  <c r="Q94" i="41" s="1"/>
  <c r="C94" i="41"/>
  <c r="Q93" i="41" a="1"/>
  <c r="Q93" i="41" s="1"/>
  <c r="C93" i="41"/>
  <c r="Q92" i="41" a="1"/>
  <c r="Q92" i="41" s="1"/>
  <c r="C92" i="41"/>
  <c r="Q91" i="41" a="1"/>
  <c r="Q91" i="41" s="1"/>
  <c r="C91" i="41"/>
  <c r="Q90" i="41" a="1"/>
  <c r="Q90" i="41" s="1"/>
  <c r="C90" i="41"/>
  <c r="Q89" i="41" a="1"/>
  <c r="Q89" i="41" s="1"/>
  <c r="C89" i="41"/>
  <c r="Q88" i="41" a="1"/>
  <c r="Q88" i="41" s="1"/>
  <c r="C88" i="41"/>
  <c r="Q87" i="41" a="1"/>
  <c r="Q87" i="41" s="1"/>
  <c r="C87" i="41"/>
  <c r="Q86" i="41" a="1"/>
  <c r="Q86" i="41" s="1"/>
  <c r="C86" i="41"/>
  <c r="Q85" i="41" a="1"/>
  <c r="Q85" i="41" s="1"/>
  <c r="C85" i="41"/>
  <c r="Q84" i="41" a="1"/>
  <c r="Q84" i="41" s="1"/>
  <c r="C84" i="41"/>
  <c r="Q83" i="41" a="1"/>
  <c r="Q83" i="41" s="1"/>
  <c r="C83" i="41"/>
  <c r="Q82" i="41" a="1"/>
  <c r="Q82" i="41" s="1"/>
  <c r="C82" i="41"/>
  <c r="Q81" i="41" a="1"/>
  <c r="Q81" i="41" s="1"/>
  <c r="C81" i="41"/>
  <c r="Q80" i="41" a="1"/>
  <c r="Q80" i="41" s="1"/>
  <c r="C80" i="41"/>
  <c r="Q79" i="41" a="1"/>
  <c r="Q79" i="41" s="1"/>
  <c r="C79" i="41"/>
  <c r="Q78" i="41" a="1"/>
  <c r="Q78" i="41" s="1"/>
  <c r="C78" i="41"/>
  <c r="Q77" i="41" a="1"/>
  <c r="Q77" i="41" s="1"/>
  <c r="C77" i="41"/>
  <c r="Q76" i="41" a="1"/>
  <c r="Q76" i="41" s="1"/>
  <c r="C76" i="41"/>
  <c r="Q438" i="40" a="1"/>
  <c r="Q438" i="40" s="1"/>
  <c r="C438" i="40"/>
  <c r="Q437" i="40" a="1"/>
  <c r="Q437" i="40" s="1"/>
  <c r="C437" i="40"/>
  <c r="Q436" i="40" a="1"/>
  <c r="Q436" i="40" s="1"/>
  <c r="C436" i="40"/>
  <c r="Q435" i="40" a="1"/>
  <c r="Q435" i="40" s="1"/>
  <c r="C435" i="40"/>
  <c r="Q434" i="40" a="1"/>
  <c r="Q434" i="40" s="1"/>
  <c r="C434" i="40"/>
  <c r="Q433" i="40" a="1"/>
  <c r="Q433" i="40" s="1"/>
  <c r="C433" i="40"/>
  <c r="Q432" i="40" a="1"/>
  <c r="Q432" i="40" s="1"/>
  <c r="C432" i="40"/>
  <c r="Q431" i="40" a="1"/>
  <c r="Q431" i="40" s="1"/>
  <c r="C431" i="40"/>
  <c r="Q430" i="40" a="1"/>
  <c r="Q430" i="40" s="1"/>
  <c r="C430" i="40"/>
  <c r="Q429" i="40" a="1"/>
  <c r="Q429" i="40" s="1"/>
  <c r="C429" i="40"/>
  <c r="Q428" i="40" a="1"/>
  <c r="Q428" i="40" s="1"/>
  <c r="C428" i="40"/>
  <c r="Q427" i="40" a="1"/>
  <c r="Q427" i="40" s="1"/>
  <c r="C427" i="40"/>
  <c r="Q426" i="40" a="1"/>
  <c r="Q426" i="40" s="1"/>
  <c r="C426" i="40"/>
  <c r="Q425" i="40" a="1"/>
  <c r="Q425" i="40" s="1"/>
  <c r="C425" i="40"/>
  <c r="Q424" i="40" a="1"/>
  <c r="Q424" i="40" s="1"/>
  <c r="C424" i="40"/>
  <c r="Q423" i="40" a="1"/>
  <c r="Q423" i="40" s="1"/>
  <c r="C423" i="40"/>
  <c r="Q422" i="40" a="1"/>
  <c r="Q422" i="40" s="1"/>
  <c r="C422" i="40"/>
  <c r="Q421" i="40" a="1"/>
  <c r="Q421" i="40" s="1"/>
  <c r="C421" i="40"/>
  <c r="Q420" i="40" a="1"/>
  <c r="Q420" i="40" s="1"/>
  <c r="C420" i="40"/>
  <c r="Q419" i="40" a="1"/>
  <c r="Q419" i="40" s="1"/>
  <c r="C419" i="40"/>
  <c r="Q418" i="40" a="1"/>
  <c r="Q418" i="40" s="1"/>
  <c r="C418" i="40"/>
  <c r="Q417" i="40" a="1"/>
  <c r="Q417" i="40" s="1"/>
  <c r="C417" i="40"/>
  <c r="Q416" i="40" a="1"/>
  <c r="Q416" i="40" s="1"/>
  <c r="C416" i="40"/>
  <c r="Q415" i="40" a="1"/>
  <c r="Q415" i="40" s="1"/>
  <c r="C415" i="40"/>
  <c r="Q414" i="40" a="1"/>
  <c r="Q414" i="40" s="1"/>
  <c r="C414" i="40"/>
  <c r="Q413" i="40" a="1"/>
  <c r="Q413" i="40" s="1"/>
  <c r="C413" i="40"/>
  <c r="Q412" i="40" a="1"/>
  <c r="Q412" i="40" s="1"/>
  <c r="C412" i="40"/>
  <c r="Q411" i="40" a="1"/>
  <c r="Q411" i="40" s="1"/>
  <c r="C411" i="40"/>
  <c r="Q410" i="40" a="1"/>
  <c r="Q410" i="40" s="1"/>
  <c r="C410" i="40"/>
  <c r="Q409" i="40" a="1"/>
  <c r="Q409" i="40" s="1"/>
  <c r="C409" i="40"/>
  <c r="Q408" i="40" a="1"/>
  <c r="Q408" i="40" s="1"/>
  <c r="C408" i="40"/>
  <c r="Q407" i="40" a="1"/>
  <c r="Q407" i="40" s="1"/>
  <c r="C407" i="40"/>
  <c r="Q406" i="40" a="1"/>
  <c r="Q406" i="40" s="1"/>
  <c r="C406" i="40"/>
  <c r="Q405" i="40" a="1"/>
  <c r="Q405" i="40" s="1"/>
  <c r="C405" i="40"/>
  <c r="Q404" i="40" a="1"/>
  <c r="Q404" i="40" s="1"/>
  <c r="C404" i="40"/>
  <c r="Q403" i="40" a="1"/>
  <c r="Q403" i="40" s="1"/>
  <c r="C403" i="40"/>
  <c r="Q402" i="40" a="1"/>
  <c r="Q402" i="40" s="1"/>
  <c r="C402" i="40"/>
  <c r="Q401" i="40" a="1"/>
  <c r="Q401" i="40" s="1"/>
  <c r="C401" i="40"/>
  <c r="Q400" i="40" a="1"/>
  <c r="Q400" i="40" s="1"/>
  <c r="C400" i="40"/>
  <c r="Q399" i="40" a="1"/>
  <c r="Q399" i="40" s="1"/>
  <c r="C399" i="40"/>
  <c r="Q398" i="40" a="1"/>
  <c r="Q398" i="40" s="1"/>
  <c r="C398" i="40"/>
  <c r="Q397" i="40" a="1"/>
  <c r="Q397" i="40" s="1"/>
  <c r="C397" i="40"/>
  <c r="Q396" i="40" a="1"/>
  <c r="Q396" i="40" s="1"/>
  <c r="C396" i="40"/>
  <c r="Q395" i="40" a="1"/>
  <c r="Q395" i="40" s="1"/>
  <c r="C395" i="40"/>
  <c r="Q394" i="40" a="1"/>
  <c r="Q394" i="40" s="1"/>
  <c r="C394" i="40"/>
  <c r="Q393" i="40" a="1"/>
  <c r="Q393" i="40" s="1"/>
  <c r="C393" i="40"/>
  <c r="Q392" i="40" a="1"/>
  <c r="Q392" i="40" s="1"/>
  <c r="C392" i="40"/>
  <c r="Q391" i="40" a="1"/>
  <c r="Q391" i="40" s="1"/>
  <c r="C391" i="40"/>
  <c r="Q390" i="40" a="1"/>
  <c r="Q390" i="40" s="1"/>
  <c r="C390" i="40"/>
  <c r="Q389" i="40" a="1"/>
  <c r="Q389" i="40" s="1"/>
  <c r="C389" i="40"/>
  <c r="Q388" i="40" a="1"/>
  <c r="Q388" i="40" s="1"/>
  <c r="C388" i="40"/>
  <c r="Q387" i="40" a="1"/>
  <c r="Q387" i="40" s="1"/>
  <c r="C387" i="40"/>
  <c r="Q386" i="40" a="1"/>
  <c r="Q386" i="40" s="1"/>
  <c r="C386" i="40"/>
  <c r="Q385" i="40" a="1"/>
  <c r="Q385" i="40" s="1"/>
  <c r="C385" i="40"/>
  <c r="Q384" i="40" a="1"/>
  <c r="Q384" i="40" s="1"/>
  <c r="C384" i="40"/>
  <c r="Q383" i="40" a="1"/>
  <c r="Q383" i="40" s="1"/>
  <c r="C383" i="40"/>
  <c r="Q382" i="40" a="1"/>
  <c r="Q382" i="40" s="1"/>
  <c r="C382" i="40"/>
  <c r="Q381" i="40" a="1"/>
  <c r="Q381" i="40" s="1"/>
  <c r="C381" i="40"/>
  <c r="Q380" i="40" a="1"/>
  <c r="Q380" i="40" s="1"/>
  <c r="C380" i="40"/>
  <c r="Q379" i="40" a="1"/>
  <c r="Q379" i="40" s="1"/>
  <c r="C379" i="40"/>
  <c r="Q378" i="40" a="1"/>
  <c r="Q378" i="40" s="1"/>
  <c r="C378" i="40"/>
  <c r="Q377" i="40" a="1"/>
  <c r="Q377" i="40" s="1"/>
  <c r="C377" i="40"/>
  <c r="Q376" i="40" a="1"/>
  <c r="Q376" i="40" s="1"/>
  <c r="C376" i="40"/>
  <c r="Q375" i="40" a="1"/>
  <c r="Q375" i="40" s="1"/>
  <c r="C375" i="40"/>
  <c r="Q374" i="40" a="1"/>
  <c r="Q374" i="40" s="1"/>
  <c r="C374" i="40"/>
  <c r="Q373" i="40" a="1"/>
  <c r="Q373" i="40" s="1"/>
  <c r="C373" i="40"/>
  <c r="Q372" i="40" a="1"/>
  <c r="Q372" i="40" s="1"/>
  <c r="C372" i="40"/>
  <c r="Q371" i="40" a="1"/>
  <c r="Q371" i="40" s="1"/>
  <c r="C371" i="40"/>
  <c r="Q370" i="40" a="1"/>
  <c r="Q370" i="40" s="1"/>
  <c r="C370" i="40"/>
  <c r="Q369" i="40" a="1"/>
  <c r="Q369" i="40" s="1"/>
  <c r="C369" i="40"/>
  <c r="Q368" i="40" a="1"/>
  <c r="Q368" i="40" s="1"/>
  <c r="C368" i="40"/>
  <c r="Q367" i="40" a="1"/>
  <c r="Q367" i="40" s="1"/>
  <c r="C367" i="40"/>
  <c r="Q366" i="40" a="1"/>
  <c r="Q366" i="40" s="1"/>
  <c r="C366" i="40"/>
  <c r="Q365" i="40" a="1"/>
  <c r="Q365" i="40" s="1"/>
  <c r="C365" i="40"/>
  <c r="Q364" i="40" a="1"/>
  <c r="Q364" i="40" s="1"/>
  <c r="C364" i="40"/>
  <c r="Q363" i="40" a="1"/>
  <c r="Q363" i="40" s="1"/>
  <c r="C363" i="40"/>
  <c r="Q362" i="40" a="1"/>
  <c r="Q362" i="40" s="1"/>
  <c r="C362" i="40"/>
  <c r="Q361" i="40" a="1"/>
  <c r="Q361" i="40" s="1"/>
  <c r="C361" i="40"/>
  <c r="Q360" i="40" a="1"/>
  <c r="Q360" i="40" s="1"/>
  <c r="C360" i="40"/>
  <c r="Q359" i="40" a="1"/>
  <c r="Q359" i="40" s="1"/>
  <c r="C359" i="40"/>
  <c r="Q358" i="40" a="1"/>
  <c r="Q358" i="40" s="1"/>
  <c r="C358" i="40"/>
  <c r="Q357" i="40" a="1"/>
  <c r="Q357" i="40" s="1"/>
  <c r="C357" i="40"/>
  <c r="Q356" i="40" a="1"/>
  <c r="Q356" i="40" s="1"/>
  <c r="C356" i="40"/>
  <c r="Q355" i="40" a="1"/>
  <c r="Q355" i="40" s="1"/>
  <c r="C355" i="40"/>
  <c r="Q354" i="40" a="1"/>
  <c r="Q354" i="40" s="1"/>
  <c r="C354" i="40"/>
  <c r="Q353" i="40" a="1"/>
  <c r="Q353" i="40" s="1"/>
  <c r="C353" i="40"/>
  <c r="Q352" i="40" a="1"/>
  <c r="Q352" i="40" s="1"/>
  <c r="C352" i="40"/>
  <c r="Q351" i="40" a="1"/>
  <c r="Q351" i="40" s="1"/>
  <c r="C351" i="40"/>
  <c r="Q350" i="40" a="1"/>
  <c r="Q350" i="40" s="1"/>
  <c r="C350" i="40"/>
  <c r="Q349" i="40" a="1"/>
  <c r="Q349" i="40" s="1"/>
  <c r="C349" i="40"/>
  <c r="Q348" i="40" a="1"/>
  <c r="Q348" i="40" s="1"/>
  <c r="C348" i="40"/>
  <c r="Q347" i="40" a="1"/>
  <c r="Q347" i="40" s="1"/>
  <c r="C347" i="40"/>
  <c r="Q346" i="40" a="1"/>
  <c r="Q346" i="40" s="1"/>
  <c r="C346" i="40"/>
  <c r="Q345" i="40" a="1"/>
  <c r="Q345" i="40" s="1"/>
  <c r="C345" i="40"/>
  <c r="Q344" i="40" a="1"/>
  <c r="Q344" i="40" s="1"/>
  <c r="C344" i="40"/>
  <c r="Q343" i="40" a="1"/>
  <c r="Q343" i="40" s="1"/>
  <c r="C343" i="40"/>
  <c r="Q342" i="40" a="1"/>
  <c r="Q342" i="40" s="1"/>
  <c r="C342" i="40"/>
  <c r="Q341" i="40" a="1"/>
  <c r="Q341" i="40" s="1"/>
  <c r="C341" i="40"/>
  <c r="Q340" i="40" a="1"/>
  <c r="Q340" i="40" s="1"/>
  <c r="C340" i="40"/>
  <c r="Q339" i="40" a="1"/>
  <c r="Q339" i="40" s="1"/>
  <c r="C339" i="40"/>
  <c r="Q338" i="40" a="1"/>
  <c r="Q338" i="40" s="1"/>
  <c r="C338" i="40"/>
  <c r="Q337" i="40" a="1"/>
  <c r="Q337" i="40" s="1"/>
  <c r="C337" i="40"/>
  <c r="Q336" i="40" a="1"/>
  <c r="Q336" i="40" s="1"/>
  <c r="C336" i="40"/>
  <c r="Q335" i="40" a="1"/>
  <c r="Q335" i="40" s="1"/>
  <c r="C335" i="40"/>
  <c r="Q334" i="40" a="1"/>
  <c r="Q334" i="40" s="1"/>
  <c r="C334" i="40"/>
  <c r="Q333" i="40" a="1"/>
  <c r="Q333" i="40" s="1"/>
  <c r="C333" i="40"/>
  <c r="Q332" i="40" a="1"/>
  <c r="Q332" i="40" s="1"/>
  <c r="C332" i="40"/>
  <c r="Q331" i="40" a="1"/>
  <c r="Q331" i="40" s="1"/>
  <c r="C331" i="40"/>
  <c r="Q330" i="40" a="1"/>
  <c r="Q330" i="40" s="1"/>
  <c r="C330" i="40"/>
  <c r="Q329" i="40" a="1"/>
  <c r="Q329" i="40" s="1"/>
  <c r="C329" i="40"/>
  <c r="Q328" i="40" a="1"/>
  <c r="Q328" i="40" s="1"/>
  <c r="C328" i="40"/>
  <c r="Q327" i="40" a="1"/>
  <c r="Q327" i="40" s="1"/>
  <c r="C327" i="40"/>
  <c r="Q326" i="40" a="1"/>
  <c r="Q326" i="40" s="1"/>
  <c r="C326" i="40"/>
  <c r="Q325" i="40" a="1"/>
  <c r="Q325" i="40" s="1"/>
  <c r="C325" i="40"/>
  <c r="Q324" i="40" a="1"/>
  <c r="Q324" i="40" s="1"/>
  <c r="C324" i="40"/>
  <c r="Q323" i="40" a="1"/>
  <c r="Q323" i="40" s="1"/>
  <c r="C323" i="40"/>
  <c r="Q322" i="40" a="1"/>
  <c r="Q322" i="40" s="1"/>
  <c r="C322" i="40"/>
  <c r="Q321" i="40" a="1"/>
  <c r="Q321" i="40" s="1"/>
  <c r="C321" i="40"/>
  <c r="Q320" i="40" a="1"/>
  <c r="Q320" i="40" s="1"/>
  <c r="C320" i="40"/>
  <c r="Q319" i="40" a="1"/>
  <c r="Q319" i="40" s="1"/>
  <c r="C319" i="40"/>
  <c r="Q318" i="40" a="1"/>
  <c r="Q318" i="40" s="1"/>
  <c r="C318" i="40"/>
  <c r="Q317" i="40" a="1"/>
  <c r="Q317" i="40" s="1"/>
  <c r="C317" i="40"/>
  <c r="Q316" i="40" a="1"/>
  <c r="Q316" i="40" s="1"/>
  <c r="C316" i="40"/>
  <c r="Q315" i="40" a="1"/>
  <c r="Q315" i="40" s="1"/>
  <c r="C315" i="40"/>
  <c r="Q314" i="40" a="1"/>
  <c r="Q314" i="40" s="1"/>
  <c r="C314" i="40"/>
  <c r="Q313" i="40" a="1"/>
  <c r="Q313" i="40" s="1"/>
  <c r="C313" i="40"/>
  <c r="Q312" i="40" a="1"/>
  <c r="Q312" i="40" s="1"/>
  <c r="C312" i="40"/>
  <c r="Q311" i="40" a="1"/>
  <c r="Q311" i="40" s="1"/>
  <c r="C311" i="40"/>
  <c r="Q310" i="40" a="1"/>
  <c r="Q310" i="40" s="1"/>
  <c r="C310" i="40"/>
  <c r="Q309" i="40" a="1"/>
  <c r="Q309" i="40" s="1"/>
  <c r="C309" i="40"/>
  <c r="Q308" i="40" a="1"/>
  <c r="Q308" i="40" s="1"/>
  <c r="C308" i="40"/>
  <c r="Q307" i="40" a="1"/>
  <c r="Q307" i="40" s="1"/>
  <c r="C307" i="40"/>
  <c r="Q306" i="40" a="1"/>
  <c r="Q306" i="40" s="1"/>
  <c r="C306" i="40"/>
  <c r="Q305" i="40" a="1"/>
  <c r="Q305" i="40" s="1"/>
  <c r="C305" i="40"/>
  <c r="Q304" i="40" a="1"/>
  <c r="Q304" i="40" s="1"/>
  <c r="C304" i="40"/>
  <c r="Q303" i="40" a="1"/>
  <c r="Q303" i="40" s="1"/>
  <c r="C303" i="40"/>
  <c r="Q302" i="40" a="1"/>
  <c r="Q302" i="40" s="1"/>
  <c r="C302" i="40"/>
  <c r="Q301" i="40" a="1"/>
  <c r="Q301" i="40" s="1"/>
  <c r="C301" i="40"/>
  <c r="Q300" i="40" a="1"/>
  <c r="Q300" i="40" s="1"/>
  <c r="C300" i="40"/>
  <c r="Q299" i="40" a="1"/>
  <c r="Q299" i="40" s="1"/>
  <c r="C299" i="40"/>
  <c r="Q298" i="40" a="1"/>
  <c r="Q298" i="40" s="1"/>
  <c r="C298" i="40"/>
  <c r="Q297" i="40" a="1"/>
  <c r="Q297" i="40" s="1"/>
  <c r="C297" i="40"/>
  <c r="Q296" i="40" a="1"/>
  <c r="Q296" i="40" s="1"/>
  <c r="C296" i="40"/>
  <c r="Q295" i="40" a="1"/>
  <c r="Q295" i="40" s="1"/>
  <c r="C295" i="40"/>
  <c r="Q294" i="40" a="1"/>
  <c r="Q294" i="40" s="1"/>
  <c r="C294" i="40"/>
  <c r="Q293" i="40" a="1"/>
  <c r="Q293" i="40" s="1"/>
  <c r="C293" i="40"/>
  <c r="Q292" i="40" a="1"/>
  <c r="Q292" i="40" s="1"/>
  <c r="C292" i="40"/>
  <c r="Q291" i="40" a="1"/>
  <c r="Q291" i="40" s="1"/>
  <c r="C291" i="40"/>
  <c r="Q290" i="40" a="1"/>
  <c r="Q290" i="40" s="1"/>
  <c r="C290" i="40"/>
  <c r="Q289" i="40" a="1"/>
  <c r="Q289" i="40" s="1"/>
  <c r="C289" i="40"/>
  <c r="Q288" i="40" a="1"/>
  <c r="Q288" i="40" s="1"/>
  <c r="C288" i="40"/>
  <c r="Q287" i="40" a="1"/>
  <c r="Q287" i="40" s="1"/>
  <c r="C287" i="40"/>
  <c r="Q286" i="40" a="1"/>
  <c r="Q286" i="40" s="1"/>
  <c r="C286" i="40"/>
  <c r="Q285" i="40" a="1"/>
  <c r="Q285" i="40" s="1"/>
  <c r="C285" i="40"/>
  <c r="Q284" i="40" a="1"/>
  <c r="Q284" i="40" s="1"/>
  <c r="C284" i="40"/>
  <c r="Q283" i="40" a="1"/>
  <c r="Q283" i="40" s="1"/>
  <c r="C283" i="40"/>
  <c r="Q282" i="40" a="1"/>
  <c r="Q282" i="40" s="1"/>
  <c r="C282" i="40"/>
  <c r="Q281" i="40" a="1"/>
  <c r="Q281" i="40" s="1"/>
  <c r="C281" i="40"/>
  <c r="Q280" i="40" a="1"/>
  <c r="Q280" i="40" s="1"/>
  <c r="C280" i="40"/>
  <c r="Q279" i="40" a="1"/>
  <c r="Q279" i="40" s="1"/>
  <c r="C279" i="40"/>
  <c r="Q278" i="40" a="1"/>
  <c r="Q278" i="40" s="1"/>
  <c r="C278" i="40"/>
  <c r="Q277" i="40" a="1"/>
  <c r="Q277" i="40" s="1"/>
  <c r="C277" i="40"/>
  <c r="Q276" i="40" a="1"/>
  <c r="Q276" i="40" s="1"/>
  <c r="C276" i="40"/>
  <c r="Q275" i="40" a="1"/>
  <c r="Q275" i="40" s="1"/>
  <c r="C275" i="40"/>
  <c r="Q274" i="40" a="1"/>
  <c r="Q274" i="40" s="1"/>
  <c r="C274" i="40"/>
  <c r="Q273" i="40" a="1"/>
  <c r="Q273" i="40" s="1"/>
  <c r="C273" i="40"/>
  <c r="Q272" i="40" a="1"/>
  <c r="Q272" i="40" s="1"/>
  <c r="C272" i="40"/>
  <c r="Q271" i="40" a="1"/>
  <c r="Q271" i="40" s="1"/>
  <c r="C271" i="40"/>
  <c r="Q270" i="40" a="1"/>
  <c r="Q270" i="40" s="1"/>
  <c r="C270" i="40"/>
  <c r="Q269" i="40" a="1"/>
  <c r="Q269" i="40" s="1"/>
  <c r="C269" i="40"/>
  <c r="Q268" i="40" a="1"/>
  <c r="Q268" i="40" s="1"/>
  <c r="C268" i="40"/>
  <c r="Q267" i="40" a="1"/>
  <c r="Q267" i="40" s="1"/>
  <c r="C267" i="40"/>
  <c r="Q266" i="40" a="1"/>
  <c r="Q266" i="40" s="1"/>
  <c r="C266" i="40"/>
  <c r="Q265" i="40" a="1"/>
  <c r="Q265" i="40" s="1"/>
  <c r="C265" i="40"/>
  <c r="Q264" i="40" a="1"/>
  <c r="Q264" i="40" s="1"/>
  <c r="C264" i="40"/>
  <c r="Q263" i="40" a="1"/>
  <c r="Q263" i="40" s="1"/>
  <c r="C263" i="40"/>
  <c r="Q262" i="40" a="1"/>
  <c r="Q262" i="40" s="1"/>
  <c r="C262" i="40"/>
  <c r="Q261" i="40" a="1"/>
  <c r="Q261" i="40" s="1"/>
  <c r="C261" i="40"/>
  <c r="Q260" i="40" a="1"/>
  <c r="Q260" i="40" s="1"/>
  <c r="C260" i="40"/>
  <c r="Q259" i="40" a="1"/>
  <c r="Q259" i="40" s="1"/>
  <c r="C259" i="40"/>
  <c r="Q258" i="40" a="1"/>
  <c r="Q258" i="40" s="1"/>
  <c r="C258" i="40"/>
  <c r="Q257" i="40" a="1"/>
  <c r="Q257" i="40" s="1"/>
  <c r="C257" i="40"/>
  <c r="Q256" i="40" a="1"/>
  <c r="Q256" i="40" s="1"/>
  <c r="C256" i="40"/>
  <c r="Q255" i="40" a="1"/>
  <c r="Q255" i="40" s="1"/>
  <c r="C255" i="40"/>
  <c r="Q254" i="40" a="1"/>
  <c r="Q254" i="40" s="1"/>
  <c r="C254" i="40"/>
  <c r="Q253" i="40" a="1"/>
  <c r="Q253" i="40" s="1"/>
  <c r="C253" i="40"/>
  <c r="Q252" i="40" a="1"/>
  <c r="Q252" i="40" s="1"/>
  <c r="C252" i="40"/>
  <c r="Q251" i="40" a="1"/>
  <c r="Q251" i="40" s="1"/>
  <c r="C251" i="40"/>
  <c r="Q250" i="40" a="1"/>
  <c r="Q250" i="40" s="1"/>
  <c r="C250" i="40"/>
  <c r="Q249" i="40" a="1"/>
  <c r="Q249" i="40" s="1"/>
  <c r="C249" i="40"/>
  <c r="Q248" i="40" a="1"/>
  <c r="Q248" i="40" s="1"/>
  <c r="C248" i="40"/>
  <c r="Q247" i="40" a="1"/>
  <c r="Q247" i="40" s="1"/>
  <c r="C247" i="40"/>
  <c r="Q246" i="40" a="1"/>
  <c r="Q246" i="40" s="1"/>
  <c r="C246" i="40"/>
  <c r="Q245" i="40" a="1"/>
  <c r="Q245" i="40" s="1"/>
  <c r="C245" i="40"/>
  <c r="Q244" i="40" a="1"/>
  <c r="Q244" i="40" s="1"/>
  <c r="C244" i="40"/>
  <c r="Q243" i="40" a="1"/>
  <c r="Q243" i="40" s="1"/>
  <c r="C243" i="40"/>
  <c r="Q242" i="40" a="1"/>
  <c r="Q242" i="40" s="1"/>
  <c r="C242" i="40"/>
  <c r="Q241" i="40" a="1"/>
  <c r="Q241" i="40" s="1"/>
  <c r="C241" i="40"/>
  <c r="Q240" i="40" a="1"/>
  <c r="Q240" i="40" s="1"/>
  <c r="C240" i="40"/>
  <c r="Q239" i="40" a="1"/>
  <c r="Q239" i="40" s="1"/>
  <c r="C239" i="40"/>
  <c r="Q238" i="40" a="1"/>
  <c r="Q238" i="40" s="1"/>
  <c r="C238" i="40"/>
  <c r="Q237" i="40" a="1"/>
  <c r="Q237" i="40" s="1"/>
  <c r="C237" i="40"/>
  <c r="Q236" i="40" a="1"/>
  <c r="Q236" i="40" s="1"/>
  <c r="C236" i="40"/>
  <c r="Q235" i="40" a="1"/>
  <c r="Q235" i="40" s="1"/>
  <c r="C235" i="40"/>
  <c r="Q234" i="40" a="1"/>
  <c r="Q234" i="40" s="1"/>
  <c r="C234" i="40"/>
  <c r="Q233" i="40" a="1"/>
  <c r="Q233" i="40" s="1"/>
  <c r="C233" i="40"/>
  <c r="Q232" i="40" a="1"/>
  <c r="Q232" i="40" s="1"/>
  <c r="C232" i="40"/>
  <c r="Q231" i="40" a="1"/>
  <c r="Q231" i="40" s="1"/>
  <c r="C231" i="40"/>
  <c r="Q230" i="40" a="1"/>
  <c r="Q230" i="40" s="1"/>
  <c r="C230" i="40"/>
  <c r="Q229" i="40" a="1"/>
  <c r="Q229" i="40" s="1"/>
  <c r="C229" i="40"/>
  <c r="Q228" i="40" a="1"/>
  <c r="Q228" i="40" s="1"/>
  <c r="C228" i="40"/>
  <c r="Q227" i="40" a="1"/>
  <c r="Q227" i="40" s="1"/>
  <c r="C227" i="40"/>
  <c r="Q226" i="40" a="1"/>
  <c r="Q226" i="40" s="1"/>
  <c r="C226" i="40"/>
  <c r="Q225" i="40" a="1"/>
  <c r="Q225" i="40" s="1"/>
  <c r="C225" i="40"/>
  <c r="Q224" i="40" a="1"/>
  <c r="Q224" i="40" s="1"/>
  <c r="C224" i="40"/>
  <c r="Q223" i="40" a="1"/>
  <c r="Q223" i="40" s="1"/>
  <c r="C223" i="40"/>
  <c r="Q222" i="40" a="1"/>
  <c r="Q222" i="40" s="1"/>
  <c r="C222" i="40"/>
  <c r="Q221" i="40" a="1"/>
  <c r="Q221" i="40" s="1"/>
  <c r="C221" i="40"/>
  <c r="Q220" i="40" a="1"/>
  <c r="Q220" i="40" s="1"/>
  <c r="C220" i="40"/>
  <c r="Q219" i="40" a="1"/>
  <c r="Q219" i="40" s="1"/>
  <c r="C219" i="40"/>
  <c r="Q218" i="40" a="1"/>
  <c r="Q218" i="40" s="1"/>
  <c r="C218" i="40"/>
  <c r="Q217" i="40" a="1"/>
  <c r="Q217" i="40" s="1"/>
  <c r="C217" i="40"/>
  <c r="Q216" i="40" a="1"/>
  <c r="Q216" i="40" s="1"/>
  <c r="C216" i="40"/>
  <c r="Q215" i="40" a="1"/>
  <c r="Q215" i="40" s="1"/>
  <c r="C215" i="40"/>
  <c r="Q214" i="40" a="1"/>
  <c r="Q214" i="40" s="1"/>
  <c r="C214" i="40"/>
  <c r="Q213" i="40" a="1"/>
  <c r="Q213" i="40" s="1"/>
  <c r="C213" i="40"/>
  <c r="Q212" i="40" a="1"/>
  <c r="Q212" i="40" s="1"/>
  <c r="C212" i="40"/>
  <c r="Q211" i="40" a="1"/>
  <c r="Q211" i="40" s="1"/>
  <c r="C211" i="40"/>
  <c r="Q210" i="40" a="1"/>
  <c r="Q210" i="40" s="1"/>
  <c r="C210" i="40"/>
  <c r="Q209" i="40" a="1"/>
  <c r="Q209" i="40" s="1"/>
  <c r="C209" i="40"/>
  <c r="Q208" i="40" a="1"/>
  <c r="Q208" i="40" s="1"/>
  <c r="C208" i="40"/>
  <c r="Q207" i="40" a="1"/>
  <c r="Q207" i="40" s="1"/>
  <c r="C207" i="40"/>
  <c r="Q206" i="40" a="1"/>
  <c r="Q206" i="40" s="1"/>
  <c r="C206" i="40"/>
  <c r="Q205" i="40" a="1"/>
  <c r="Q205" i="40" s="1"/>
  <c r="C205" i="40"/>
  <c r="Q204" i="40" a="1"/>
  <c r="Q204" i="40" s="1"/>
  <c r="C204" i="40"/>
  <c r="Q203" i="40" a="1"/>
  <c r="Q203" i="40" s="1"/>
  <c r="C203" i="40"/>
  <c r="Q202" i="40" a="1"/>
  <c r="Q202" i="40" s="1"/>
  <c r="C202" i="40"/>
  <c r="Q201" i="40" a="1"/>
  <c r="Q201" i="40" s="1"/>
  <c r="C201" i="40"/>
  <c r="Q200" i="40" a="1"/>
  <c r="Q200" i="40" s="1"/>
  <c r="C200" i="40"/>
  <c r="Q199" i="40" a="1"/>
  <c r="Q199" i="40" s="1"/>
  <c r="C199" i="40"/>
  <c r="Q198" i="40" a="1"/>
  <c r="Q198" i="40" s="1"/>
  <c r="C198" i="40"/>
  <c r="Q197" i="40" a="1"/>
  <c r="Q197" i="40" s="1"/>
  <c r="C197" i="40"/>
  <c r="Q196" i="40" a="1"/>
  <c r="Q196" i="40" s="1"/>
  <c r="C196" i="40"/>
  <c r="Q195" i="40" a="1"/>
  <c r="Q195" i="40" s="1"/>
  <c r="C195" i="40"/>
  <c r="Q194" i="40" a="1"/>
  <c r="Q194" i="40" s="1"/>
  <c r="C194" i="40"/>
  <c r="Q193" i="40" a="1"/>
  <c r="Q193" i="40" s="1"/>
  <c r="C193" i="40"/>
  <c r="Q192" i="40" a="1"/>
  <c r="Q192" i="40" s="1"/>
  <c r="C192" i="40"/>
  <c r="Q191" i="40" a="1"/>
  <c r="Q191" i="40" s="1"/>
  <c r="C191" i="40"/>
  <c r="Q190" i="40" a="1"/>
  <c r="Q190" i="40" s="1"/>
  <c r="C190" i="40"/>
  <c r="Q189" i="40" a="1"/>
  <c r="Q189" i="40" s="1"/>
  <c r="C189" i="40"/>
  <c r="Q188" i="40" a="1"/>
  <c r="Q188" i="40" s="1"/>
  <c r="C188" i="40"/>
  <c r="Q187" i="40" a="1"/>
  <c r="Q187" i="40" s="1"/>
  <c r="C187" i="40"/>
  <c r="Q186" i="40" a="1"/>
  <c r="Q186" i="40" s="1"/>
  <c r="C186" i="40"/>
  <c r="Q185" i="40" a="1"/>
  <c r="Q185" i="40" s="1"/>
  <c r="C185" i="40"/>
  <c r="Q184" i="40" a="1"/>
  <c r="Q184" i="40" s="1"/>
  <c r="C184" i="40"/>
  <c r="Q183" i="40" a="1"/>
  <c r="Q183" i="40" s="1"/>
  <c r="C183" i="40"/>
  <c r="Q182" i="40" a="1"/>
  <c r="Q182" i="40" s="1"/>
  <c r="C182" i="40"/>
  <c r="Q181" i="40" a="1"/>
  <c r="Q181" i="40" s="1"/>
  <c r="C181" i="40"/>
  <c r="Q180" i="40" a="1"/>
  <c r="Q180" i="40" s="1"/>
  <c r="C180" i="40"/>
  <c r="Q179" i="40" a="1"/>
  <c r="Q179" i="40" s="1"/>
  <c r="C179" i="40"/>
  <c r="Q178" i="40" a="1"/>
  <c r="Q178" i="40" s="1"/>
  <c r="C178" i="40"/>
  <c r="Q177" i="40" a="1"/>
  <c r="Q177" i="40" s="1"/>
  <c r="C177" i="40"/>
  <c r="Q176" i="40" a="1"/>
  <c r="Q176" i="40" s="1"/>
  <c r="C176" i="40"/>
  <c r="Q175" i="40" a="1"/>
  <c r="Q175" i="40" s="1"/>
  <c r="C175" i="40"/>
  <c r="Q174" i="40" a="1"/>
  <c r="Q174" i="40" s="1"/>
  <c r="C174" i="40"/>
  <c r="Q173" i="40" a="1"/>
  <c r="Q173" i="40" s="1"/>
  <c r="C173" i="40"/>
  <c r="Q172" i="40" a="1"/>
  <c r="Q172" i="40" s="1"/>
  <c r="C172" i="40"/>
  <c r="Q171" i="40" a="1"/>
  <c r="Q171" i="40" s="1"/>
  <c r="C171" i="40"/>
  <c r="Q170" i="40" a="1"/>
  <c r="Q170" i="40" s="1"/>
  <c r="C170" i="40"/>
  <c r="Q169" i="40" a="1"/>
  <c r="Q169" i="40" s="1"/>
  <c r="C169" i="40"/>
  <c r="Q168" i="40" a="1"/>
  <c r="Q168" i="40" s="1"/>
  <c r="C168" i="40"/>
  <c r="Q167" i="40" a="1"/>
  <c r="Q167" i="40" s="1"/>
  <c r="C167" i="40"/>
  <c r="Q166" i="40" a="1"/>
  <c r="Q166" i="40" s="1"/>
  <c r="C166" i="40"/>
  <c r="Q165" i="40" a="1"/>
  <c r="Q165" i="40" s="1"/>
  <c r="C165" i="40"/>
  <c r="Q164" i="40" a="1"/>
  <c r="Q164" i="40" s="1"/>
  <c r="C164" i="40"/>
  <c r="Q163" i="40" a="1"/>
  <c r="Q163" i="40" s="1"/>
  <c r="C163" i="40"/>
  <c r="Q162" i="40" a="1"/>
  <c r="Q162" i="40" s="1"/>
  <c r="C162" i="40"/>
  <c r="Q161" i="40" a="1"/>
  <c r="Q161" i="40" s="1"/>
  <c r="C161" i="40"/>
  <c r="Q160" i="40" a="1"/>
  <c r="Q160" i="40" s="1"/>
  <c r="C160" i="40"/>
  <c r="Q159" i="40" a="1"/>
  <c r="Q159" i="40" s="1"/>
  <c r="C159" i="40"/>
  <c r="Q158" i="40" a="1"/>
  <c r="Q158" i="40" s="1"/>
  <c r="C158" i="40"/>
  <c r="Q157" i="40" a="1"/>
  <c r="Q157" i="40" s="1"/>
  <c r="C157" i="40"/>
  <c r="Q156" i="40" a="1"/>
  <c r="Q156" i="40" s="1"/>
  <c r="C156" i="40"/>
  <c r="Q155" i="40" a="1"/>
  <c r="Q155" i="40" s="1"/>
  <c r="C155" i="40"/>
  <c r="Q154" i="40" a="1"/>
  <c r="Q154" i="40" s="1"/>
  <c r="C154" i="40"/>
  <c r="Q153" i="40" a="1"/>
  <c r="Q153" i="40" s="1"/>
  <c r="C153" i="40"/>
  <c r="Q152" i="40" a="1"/>
  <c r="Q152" i="40" s="1"/>
  <c r="C152" i="40"/>
  <c r="Q151" i="40" a="1"/>
  <c r="Q151" i="40" s="1"/>
  <c r="C151" i="40"/>
  <c r="Q150" i="40" a="1"/>
  <c r="Q150" i="40" s="1"/>
  <c r="C150" i="40"/>
  <c r="Q149" i="40" a="1"/>
  <c r="Q149" i="40" s="1"/>
  <c r="C149" i="40"/>
  <c r="Q148" i="40" a="1"/>
  <c r="Q148" i="40" s="1"/>
  <c r="C148" i="40"/>
  <c r="Q147" i="40" a="1"/>
  <c r="Q147" i="40" s="1"/>
  <c r="C147" i="40"/>
  <c r="Q146" i="40" a="1"/>
  <c r="Q146" i="40" s="1"/>
  <c r="C146" i="40"/>
  <c r="Q145" i="40" a="1"/>
  <c r="Q145" i="40" s="1"/>
  <c r="C145" i="40"/>
  <c r="Q144" i="40" a="1"/>
  <c r="Q144" i="40" s="1"/>
  <c r="C144" i="40"/>
  <c r="Q143" i="40" a="1"/>
  <c r="Q143" i="40" s="1"/>
  <c r="C143" i="40"/>
  <c r="Q142" i="40" a="1"/>
  <c r="Q142" i="40" s="1"/>
  <c r="C142" i="40"/>
  <c r="Q141" i="40" a="1"/>
  <c r="Q141" i="40" s="1"/>
  <c r="C141" i="40"/>
  <c r="Q140" i="40" a="1"/>
  <c r="Q140" i="40" s="1"/>
  <c r="C140" i="40"/>
  <c r="Q139" i="40" a="1"/>
  <c r="Q139" i="40" s="1"/>
  <c r="C139" i="40"/>
  <c r="Q138" i="40" a="1"/>
  <c r="Q138" i="40" s="1"/>
  <c r="C138" i="40"/>
  <c r="Q137" i="40" a="1"/>
  <c r="Q137" i="40" s="1"/>
  <c r="C137" i="40"/>
  <c r="Q136" i="40" a="1"/>
  <c r="Q136" i="40" s="1"/>
  <c r="C136" i="40"/>
  <c r="Q135" i="40" a="1"/>
  <c r="Q135" i="40" s="1"/>
  <c r="C135" i="40"/>
  <c r="Q134" i="40" a="1"/>
  <c r="Q134" i="40" s="1"/>
  <c r="C134" i="40"/>
  <c r="Q133" i="40" a="1"/>
  <c r="Q133" i="40" s="1"/>
  <c r="C133" i="40"/>
  <c r="Q132" i="40" a="1"/>
  <c r="Q132" i="40" s="1"/>
  <c r="C132" i="40"/>
  <c r="Q131" i="40" a="1"/>
  <c r="Q131" i="40" s="1"/>
  <c r="C131" i="40"/>
  <c r="Q130" i="40" a="1"/>
  <c r="Q130" i="40" s="1"/>
  <c r="C130" i="40"/>
  <c r="Q129" i="40" a="1"/>
  <c r="Q129" i="40" s="1"/>
  <c r="C129" i="40"/>
  <c r="Q128" i="40" a="1"/>
  <c r="Q128" i="40" s="1"/>
  <c r="C128" i="40"/>
  <c r="Q127" i="40" a="1"/>
  <c r="Q127" i="40" s="1"/>
  <c r="C127" i="40"/>
  <c r="Q126" i="40" a="1"/>
  <c r="Q126" i="40" s="1"/>
  <c r="C126" i="40"/>
  <c r="Q125" i="40" a="1"/>
  <c r="Q125" i="40" s="1"/>
  <c r="C125" i="40"/>
  <c r="Q124" i="40" a="1"/>
  <c r="Q124" i="40" s="1"/>
  <c r="C124" i="40"/>
  <c r="Q123" i="40" a="1"/>
  <c r="Q123" i="40" s="1"/>
  <c r="C123" i="40"/>
  <c r="Q122" i="40" a="1"/>
  <c r="Q122" i="40" s="1"/>
  <c r="C122" i="40"/>
  <c r="Q121" i="40" a="1"/>
  <c r="Q121" i="40" s="1"/>
  <c r="C121" i="40"/>
  <c r="Q120" i="40" a="1"/>
  <c r="Q120" i="40" s="1"/>
  <c r="C120" i="40"/>
  <c r="Q119" i="40" a="1"/>
  <c r="Q119" i="40" s="1"/>
  <c r="C119" i="40"/>
  <c r="Q118" i="40" a="1"/>
  <c r="Q118" i="40" s="1"/>
  <c r="C118" i="40"/>
  <c r="Q117" i="40" a="1"/>
  <c r="Q117" i="40" s="1"/>
  <c r="C117" i="40"/>
  <c r="Q116" i="40" a="1"/>
  <c r="Q116" i="40" s="1"/>
  <c r="C116" i="40"/>
  <c r="Q115" i="40" a="1"/>
  <c r="Q115" i="40" s="1"/>
  <c r="C115" i="40"/>
  <c r="Q114" i="40" a="1"/>
  <c r="Q114" i="40" s="1"/>
  <c r="C114" i="40"/>
  <c r="Q113" i="40" a="1"/>
  <c r="Q113" i="40" s="1"/>
  <c r="C113" i="40"/>
  <c r="Q112" i="40" a="1"/>
  <c r="Q112" i="40" s="1"/>
  <c r="C112" i="40"/>
  <c r="Q111" i="40" a="1"/>
  <c r="Q111" i="40" s="1"/>
  <c r="C111" i="40"/>
  <c r="Q110" i="40" a="1"/>
  <c r="Q110" i="40" s="1"/>
  <c r="C110" i="40"/>
  <c r="Q109" i="40" a="1"/>
  <c r="Q109" i="40" s="1"/>
  <c r="C109" i="40"/>
  <c r="Q108" i="40" a="1"/>
  <c r="Q108" i="40" s="1"/>
  <c r="C108" i="40"/>
  <c r="Q107" i="40" a="1"/>
  <c r="Q107" i="40" s="1"/>
  <c r="C107" i="40"/>
  <c r="Q106" i="40" a="1"/>
  <c r="Q106" i="40" s="1"/>
  <c r="C106" i="40"/>
  <c r="Q105" i="40" a="1"/>
  <c r="Q105" i="40" s="1"/>
  <c r="C105" i="40"/>
  <c r="Q104" i="40" a="1"/>
  <c r="Q104" i="40" s="1"/>
  <c r="C104" i="40"/>
  <c r="Q103" i="40" a="1"/>
  <c r="Q103" i="40" s="1"/>
  <c r="C103" i="40"/>
  <c r="Q102" i="40" a="1"/>
  <c r="Q102" i="40" s="1"/>
  <c r="C102" i="40"/>
  <c r="Q101" i="40" a="1"/>
  <c r="Q101" i="40" s="1"/>
  <c r="C101" i="40"/>
  <c r="Q100" i="40" a="1"/>
  <c r="Q100" i="40" s="1"/>
  <c r="C100" i="40"/>
  <c r="Q99" i="40" a="1"/>
  <c r="Q99" i="40" s="1"/>
  <c r="C99" i="40"/>
  <c r="Q98" i="40" a="1"/>
  <c r="Q98" i="40" s="1"/>
  <c r="C98" i="40"/>
  <c r="Q97" i="40" a="1"/>
  <c r="Q97" i="40" s="1"/>
  <c r="C97" i="40"/>
  <c r="Q96" i="40" a="1"/>
  <c r="Q96" i="40" s="1"/>
  <c r="C96" i="40"/>
  <c r="Q95" i="40" a="1"/>
  <c r="Q95" i="40" s="1"/>
  <c r="C95" i="40"/>
  <c r="Q94" i="40" a="1"/>
  <c r="Q94" i="40" s="1"/>
  <c r="C94" i="40"/>
  <c r="Q93" i="40" a="1"/>
  <c r="Q93" i="40" s="1"/>
  <c r="C93" i="40"/>
  <c r="Q92" i="40" a="1"/>
  <c r="Q92" i="40" s="1"/>
  <c r="C92" i="40"/>
  <c r="Q91" i="40" a="1"/>
  <c r="Q91" i="40" s="1"/>
  <c r="C91" i="40"/>
  <c r="Q90" i="40" a="1"/>
  <c r="Q90" i="40" s="1"/>
  <c r="C90" i="40"/>
  <c r="Q89" i="40" a="1"/>
  <c r="Q89" i="40" s="1"/>
  <c r="C89" i="40"/>
  <c r="Q88" i="40" a="1"/>
  <c r="Q88" i="40" s="1"/>
  <c r="C88" i="40"/>
  <c r="Q87" i="40" a="1"/>
  <c r="Q87" i="40" s="1"/>
  <c r="C87" i="40"/>
  <c r="Q86" i="40" a="1"/>
  <c r="Q86" i="40" s="1"/>
  <c r="C86" i="40"/>
  <c r="Q85" i="40" a="1"/>
  <c r="Q85" i="40" s="1"/>
  <c r="C85" i="40"/>
  <c r="Q84" i="40" a="1"/>
  <c r="Q84" i="40" s="1"/>
  <c r="C84" i="40"/>
  <c r="Q83" i="40" a="1"/>
  <c r="Q83" i="40" s="1"/>
  <c r="C83" i="40"/>
  <c r="Q82" i="40" a="1"/>
  <c r="Q82" i="40" s="1"/>
  <c r="C82" i="40"/>
  <c r="Q81" i="40" a="1"/>
  <c r="Q81" i="40" s="1"/>
  <c r="C81" i="40"/>
  <c r="Q80" i="40" a="1"/>
  <c r="Q80" i="40" s="1"/>
  <c r="C80" i="40"/>
  <c r="Q79" i="40" a="1"/>
  <c r="Q79" i="40" s="1"/>
  <c r="C79" i="40"/>
  <c r="Q78" i="40" a="1"/>
  <c r="Q78" i="40" s="1"/>
  <c r="C78" i="40"/>
  <c r="Q77" i="40" a="1"/>
  <c r="Q77" i="40" s="1"/>
  <c r="C77" i="40"/>
  <c r="Q76" i="40" a="1"/>
  <c r="Q76" i="40" s="1"/>
  <c r="C76" i="40"/>
  <c r="Q438" i="39" a="1"/>
  <c r="Q438" i="39" s="1"/>
  <c r="C438" i="39"/>
  <c r="Q437" i="39" a="1"/>
  <c r="Q437" i="39" s="1"/>
  <c r="C437" i="39"/>
  <c r="Q436" i="39" a="1"/>
  <c r="Q436" i="39" s="1"/>
  <c r="C436" i="39"/>
  <c r="Q435" i="39" a="1"/>
  <c r="Q435" i="39" s="1"/>
  <c r="C435" i="39"/>
  <c r="Q434" i="39" a="1"/>
  <c r="Q434" i="39" s="1"/>
  <c r="C434" i="39"/>
  <c r="Q433" i="39" a="1"/>
  <c r="Q433" i="39" s="1"/>
  <c r="C433" i="39"/>
  <c r="Q432" i="39" a="1"/>
  <c r="Q432" i="39" s="1"/>
  <c r="C432" i="39"/>
  <c r="Q431" i="39" a="1"/>
  <c r="Q431" i="39" s="1"/>
  <c r="C431" i="39"/>
  <c r="Q430" i="39" a="1"/>
  <c r="Q430" i="39" s="1"/>
  <c r="C430" i="39"/>
  <c r="Q429" i="39" a="1"/>
  <c r="Q429" i="39" s="1"/>
  <c r="C429" i="39"/>
  <c r="Q428" i="39" a="1"/>
  <c r="Q428" i="39" s="1"/>
  <c r="C428" i="39"/>
  <c r="Q427" i="39" a="1"/>
  <c r="Q427" i="39" s="1"/>
  <c r="C427" i="39"/>
  <c r="Q426" i="39" a="1"/>
  <c r="Q426" i="39" s="1"/>
  <c r="C426" i="39"/>
  <c r="Q425" i="39" a="1"/>
  <c r="Q425" i="39" s="1"/>
  <c r="C425" i="39"/>
  <c r="Q424" i="39" a="1"/>
  <c r="Q424" i="39" s="1"/>
  <c r="C424" i="39"/>
  <c r="Q423" i="39" a="1"/>
  <c r="Q423" i="39" s="1"/>
  <c r="C423" i="39"/>
  <c r="Q422" i="39" a="1"/>
  <c r="Q422" i="39" s="1"/>
  <c r="C422" i="39"/>
  <c r="Q421" i="39" a="1"/>
  <c r="Q421" i="39" s="1"/>
  <c r="C421" i="39"/>
  <c r="Q420" i="39" a="1"/>
  <c r="Q420" i="39" s="1"/>
  <c r="C420" i="39"/>
  <c r="Q419" i="39" a="1"/>
  <c r="Q419" i="39" s="1"/>
  <c r="C419" i="39"/>
  <c r="Q418" i="39" a="1"/>
  <c r="Q418" i="39" s="1"/>
  <c r="C418" i="39"/>
  <c r="Q417" i="39" a="1"/>
  <c r="Q417" i="39" s="1"/>
  <c r="C417" i="39"/>
  <c r="Q416" i="39" a="1"/>
  <c r="Q416" i="39" s="1"/>
  <c r="C416" i="39"/>
  <c r="Q415" i="39" a="1"/>
  <c r="Q415" i="39" s="1"/>
  <c r="C415" i="39"/>
  <c r="Q414" i="39" a="1"/>
  <c r="Q414" i="39" s="1"/>
  <c r="C414" i="39"/>
  <c r="Q413" i="39" a="1"/>
  <c r="Q413" i="39" s="1"/>
  <c r="C413" i="39"/>
  <c r="Q412" i="39" a="1"/>
  <c r="Q412" i="39" s="1"/>
  <c r="C412" i="39"/>
  <c r="Q411" i="39" a="1"/>
  <c r="Q411" i="39" s="1"/>
  <c r="C411" i="39"/>
  <c r="Q410" i="39" a="1"/>
  <c r="Q410" i="39" s="1"/>
  <c r="C410" i="39"/>
  <c r="Q409" i="39" a="1"/>
  <c r="Q409" i="39" s="1"/>
  <c r="C409" i="39"/>
  <c r="Q408" i="39" a="1"/>
  <c r="Q408" i="39" s="1"/>
  <c r="C408" i="39"/>
  <c r="Q407" i="39" a="1"/>
  <c r="Q407" i="39" s="1"/>
  <c r="C407" i="39"/>
  <c r="Q406" i="39" a="1"/>
  <c r="Q406" i="39" s="1"/>
  <c r="C406" i="39"/>
  <c r="Q405" i="39" a="1"/>
  <c r="Q405" i="39" s="1"/>
  <c r="C405" i="39"/>
  <c r="Q404" i="39" a="1"/>
  <c r="Q404" i="39" s="1"/>
  <c r="C404" i="39"/>
  <c r="Q403" i="39" a="1"/>
  <c r="Q403" i="39" s="1"/>
  <c r="C403" i="39"/>
  <c r="Q402" i="39" a="1"/>
  <c r="Q402" i="39" s="1"/>
  <c r="C402" i="39"/>
  <c r="Q401" i="39" a="1"/>
  <c r="Q401" i="39" s="1"/>
  <c r="C401" i="39"/>
  <c r="Q400" i="39" a="1"/>
  <c r="Q400" i="39" s="1"/>
  <c r="C400" i="39"/>
  <c r="Q399" i="39" a="1"/>
  <c r="Q399" i="39" s="1"/>
  <c r="C399" i="39"/>
  <c r="Q398" i="39" a="1"/>
  <c r="Q398" i="39" s="1"/>
  <c r="C398" i="39"/>
  <c r="Q397" i="39" a="1"/>
  <c r="Q397" i="39" s="1"/>
  <c r="C397" i="39"/>
  <c r="Q396" i="39" a="1"/>
  <c r="Q396" i="39" s="1"/>
  <c r="C396" i="39"/>
  <c r="Q395" i="39" a="1"/>
  <c r="Q395" i="39" s="1"/>
  <c r="C395" i="39"/>
  <c r="Q394" i="39" a="1"/>
  <c r="Q394" i="39" s="1"/>
  <c r="C394" i="39"/>
  <c r="Q393" i="39" a="1"/>
  <c r="Q393" i="39" s="1"/>
  <c r="C393" i="39"/>
  <c r="Q392" i="39" a="1"/>
  <c r="Q392" i="39" s="1"/>
  <c r="C392" i="39"/>
  <c r="Q391" i="39" a="1"/>
  <c r="Q391" i="39" s="1"/>
  <c r="C391" i="39"/>
  <c r="Q390" i="39" a="1"/>
  <c r="Q390" i="39" s="1"/>
  <c r="C390" i="39"/>
  <c r="Q389" i="39" a="1"/>
  <c r="Q389" i="39" s="1"/>
  <c r="C389" i="39"/>
  <c r="Q388" i="39" a="1"/>
  <c r="Q388" i="39" s="1"/>
  <c r="C388" i="39"/>
  <c r="Q387" i="39" a="1"/>
  <c r="Q387" i="39" s="1"/>
  <c r="C387" i="39"/>
  <c r="Q386" i="39" a="1"/>
  <c r="Q386" i="39" s="1"/>
  <c r="C386" i="39"/>
  <c r="Q385" i="39" a="1"/>
  <c r="Q385" i="39" s="1"/>
  <c r="C385" i="39"/>
  <c r="Q384" i="39" a="1"/>
  <c r="Q384" i="39" s="1"/>
  <c r="C384" i="39"/>
  <c r="Q383" i="39" a="1"/>
  <c r="Q383" i="39" s="1"/>
  <c r="C383" i="39"/>
  <c r="Q382" i="39" a="1"/>
  <c r="Q382" i="39" s="1"/>
  <c r="C382" i="39"/>
  <c r="Q381" i="39" a="1"/>
  <c r="Q381" i="39" s="1"/>
  <c r="C381" i="39"/>
  <c r="Q380" i="39" a="1"/>
  <c r="Q380" i="39" s="1"/>
  <c r="C380" i="39"/>
  <c r="Q379" i="39" a="1"/>
  <c r="Q379" i="39" s="1"/>
  <c r="C379" i="39"/>
  <c r="Q378" i="39" a="1"/>
  <c r="Q378" i="39" s="1"/>
  <c r="C378" i="39"/>
  <c r="Q377" i="39" a="1"/>
  <c r="Q377" i="39" s="1"/>
  <c r="C377" i="39"/>
  <c r="Q376" i="39" a="1"/>
  <c r="Q376" i="39" s="1"/>
  <c r="C376" i="39"/>
  <c r="Q375" i="39" a="1"/>
  <c r="Q375" i="39" s="1"/>
  <c r="C375" i="39"/>
  <c r="Q374" i="39" a="1"/>
  <c r="Q374" i="39" s="1"/>
  <c r="C374" i="39"/>
  <c r="Q373" i="39" a="1"/>
  <c r="Q373" i="39" s="1"/>
  <c r="C373" i="39"/>
  <c r="Q372" i="39" a="1"/>
  <c r="Q372" i="39" s="1"/>
  <c r="C372" i="39"/>
  <c r="Q371" i="39" a="1"/>
  <c r="Q371" i="39" s="1"/>
  <c r="C371" i="39"/>
  <c r="Q370" i="39" a="1"/>
  <c r="Q370" i="39" s="1"/>
  <c r="C370" i="39"/>
  <c r="Q369" i="39" a="1"/>
  <c r="Q369" i="39" s="1"/>
  <c r="C369" i="39"/>
  <c r="Q368" i="39" a="1"/>
  <c r="Q368" i="39" s="1"/>
  <c r="C368" i="39"/>
  <c r="Q367" i="39" a="1"/>
  <c r="Q367" i="39" s="1"/>
  <c r="C367" i="39"/>
  <c r="Q366" i="39" a="1"/>
  <c r="Q366" i="39" s="1"/>
  <c r="C366" i="39"/>
  <c r="Q365" i="39" a="1"/>
  <c r="Q365" i="39" s="1"/>
  <c r="C365" i="39"/>
  <c r="Q364" i="39" a="1"/>
  <c r="Q364" i="39" s="1"/>
  <c r="C364" i="39"/>
  <c r="Q363" i="39" a="1"/>
  <c r="Q363" i="39" s="1"/>
  <c r="C363" i="39"/>
  <c r="Q362" i="39" a="1"/>
  <c r="Q362" i="39" s="1"/>
  <c r="C362" i="39"/>
  <c r="Q361" i="39" a="1"/>
  <c r="Q361" i="39" s="1"/>
  <c r="C361" i="39"/>
  <c r="Q360" i="39" a="1"/>
  <c r="Q360" i="39" s="1"/>
  <c r="C360" i="39"/>
  <c r="Q359" i="39" a="1"/>
  <c r="Q359" i="39" s="1"/>
  <c r="C359" i="39"/>
  <c r="Q358" i="39" a="1"/>
  <c r="Q358" i="39" s="1"/>
  <c r="C358" i="39"/>
  <c r="Q357" i="39" a="1"/>
  <c r="Q357" i="39" s="1"/>
  <c r="C357" i="39"/>
  <c r="Q356" i="39" a="1"/>
  <c r="Q356" i="39" s="1"/>
  <c r="C356" i="39"/>
  <c r="Q355" i="39" a="1"/>
  <c r="Q355" i="39" s="1"/>
  <c r="C355" i="39"/>
  <c r="Q354" i="39" a="1"/>
  <c r="Q354" i="39" s="1"/>
  <c r="C354" i="39"/>
  <c r="Q353" i="39" a="1"/>
  <c r="Q353" i="39" s="1"/>
  <c r="C353" i="39"/>
  <c r="Q352" i="39" a="1"/>
  <c r="Q352" i="39" s="1"/>
  <c r="C352" i="39"/>
  <c r="Q351" i="39" a="1"/>
  <c r="Q351" i="39" s="1"/>
  <c r="C351" i="39"/>
  <c r="Q350" i="39" a="1"/>
  <c r="Q350" i="39" s="1"/>
  <c r="C350" i="39"/>
  <c r="Q349" i="39" a="1"/>
  <c r="Q349" i="39" s="1"/>
  <c r="C349" i="39"/>
  <c r="Q348" i="39" a="1"/>
  <c r="Q348" i="39" s="1"/>
  <c r="C348" i="39"/>
  <c r="Q347" i="39" a="1"/>
  <c r="Q347" i="39" s="1"/>
  <c r="C347" i="39"/>
  <c r="Q346" i="39" a="1"/>
  <c r="Q346" i="39" s="1"/>
  <c r="C346" i="39"/>
  <c r="Q345" i="39" a="1"/>
  <c r="Q345" i="39" s="1"/>
  <c r="C345" i="39"/>
  <c r="Q344" i="39" a="1"/>
  <c r="Q344" i="39" s="1"/>
  <c r="C344" i="39"/>
  <c r="Q343" i="39" a="1"/>
  <c r="Q343" i="39" s="1"/>
  <c r="C343" i="39"/>
  <c r="Q342" i="39" a="1"/>
  <c r="Q342" i="39" s="1"/>
  <c r="C342" i="39"/>
  <c r="Q341" i="39" a="1"/>
  <c r="Q341" i="39" s="1"/>
  <c r="C341" i="39"/>
  <c r="Q340" i="39" a="1"/>
  <c r="Q340" i="39" s="1"/>
  <c r="C340" i="39"/>
  <c r="Q339" i="39" a="1"/>
  <c r="Q339" i="39" s="1"/>
  <c r="C339" i="39"/>
  <c r="Q338" i="39" a="1"/>
  <c r="Q338" i="39" s="1"/>
  <c r="C338" i="39"/>
  <c r="Q337" i="39" a="1"/>
  <c r="Q337" i="39" s="1"/>
  <c r="C337" i="39"/>
  <c r="Q336" i="39" a="1"/>
  <c r="Q336" i="39" s="1"/>
  <c r="C336" i="39"/>
  <c r="Q335" i="39" a="1"/>
  <c r="Q335" i="39" s="1"/>
  <c r="C335" i="39"/>
  <c r="Q334" i="39" a="1"/>
  <c r="Q334" i="39" s="1"/>
  <c r="C334" i="39"/>
  <c r="Q333" i="39" a="1"/>
  <c r="Q333" i="39" s="1"/>
  <c r="C333" i="39"/>
  <c r="Q332" i="39" a="1"/>
  <c r="Q332" i="39" s="1"/>
  <c r="C332" i="39"/>
  <c r="Q331" i="39" a="1"/>
  <c r="Q331" i="39" s="1"/>
  <c r="C331" i="39"/>
  <c r="Q330" i="39" a="1"/>
  <c r="Q330" i="39" s="1"/>
  <c r="C330" i="39"/>
  <c r="Q329" i="39" a="1"/>
  <c r="Q329" i="39" s="1"/>
  <c r="C329" i="39"/>
  <c r="Q328" i="39" a="1"/>
  <c r="Q328" i="39" s="1"/>
  <c r="C328" i="39"/>
  <c r="Q327" i="39" a="1"/>
  <c r="Q327" i="39" s="1"/>
  <c r="C327" i="39"/>
  <c r="Q326" i="39" a="1"/>
  <c r="Q326" i="39" s="1"/>
  <c r="C326" i="39"/>
  <c r="Q325" i="39" a="1"/>
  <c r="Q325" i="39" s="1"/>
  <c r="C325" i="39"/>
  <c r="Q324" i="39" a="1"/>
  <c r="Q324" i="39" s="1"/>
  <c r="C324" i="39"/>
  <c r="Q323" i="39" a="1"/>
  <c r="Q323" i="39" s="1"/>
  <c r="C323" i="39"/>
  <c r="Q322" i="39" a="1"/>
  <c r="Q322" i="39" s="1"/>
  <c r="C322" i="39"/>
  <c r="Q321" i="39" a="1"/>
  <c r="Q321" i="39" s="1"/>
  <c r="C321" i="39"/>
  <c r="Q320" i="39" a="1"/>
  <c r="Q320" i="39" s="1"/>
  <c r="C320" i="39"/>
  <c r="Q319" i="39" a="1"/>
  <c r="Q319" i="39" s="1"/>
  <c r="C319" i="39"/>
  <c r="Q318" i="39" a="1"/>
  <c r="Q318" i="39" s="1"/>
  <c r="C318" i="39"/>
  <c r="Q317" i="39" a="1"/>
  <c r="Q317" i="39" s="1"/>
  <c r="C317" i="39"/>
  <c r="Q316" i="39" a="1"/>
  <c r="Q316" i="39" s="1"/>
  <c r="C316" i="39"/>
  <c r="Q315" i="39" a="1"/>
  <c r="Q315" i="39" s="1"/>
  <c r="C315" i="39"/>
  <c r="Q314" i="39" a="1"/>
  <c r="Q314" i="39" s="1"/>
  <c r="C314" i="39"/>
  <c r="Q313" i="39" a="1"/>
  <c r="Q313" i="39" s="1"/>
  <c r="C313" i="39"/>
  <c r="Q312" i="39" a="1"/>
  <c r="Q312" i="39" s="1"/>
  <c r="C312" i="39"/>
  <c r="Q311" i="39" a="1"/>
  <c r="Q311" i="39" s="1"/>
  <c r="C311" i="39"/>
  <c r="Q310" i="39" a="1"/>
  <c r="Q310" i="39" s="1"/>
  <c r="C310" i="39"/>
  <c r="Q309" i="39" a="1"/>
  <c r="Q309" i="39" s="1"/>
  <c r="C309" i="39"/>
  <c r="Q308" i="39" a="1"/>
  <c r="Q308" i="39" s="1"/>
  <c r="C308" i="39"/>
  <c r="Q307" i="39" a="1"/>
  <c r="Q307" i="39" s="1"/>
  <c r="C307" i="39"/>
  <c r="Q306" i="39" a="1"/>
  <c r="Q306" i="39" s="1"/>
  <c r="C306" i="39"/>
  <c r="Q305" i="39" a="1"/>
  <c r="Q305" i="39" s="1"/>
  <c r="C305" i="39"/>
  <c r="Q304" i="39" a="1"/>
  <c r="Q304" i="39" s="1"/>
  <c r="C304" i="39"/>
  <c r="Q303" i="39" a="1"/>
  <c r="Q303" i="39" s="1"/>
  <c r="C303" i="39"/>
  <c r="Q302" i="39" a="1"/>
  <c r="Q302" i="39" s="1"/>
  <c r="C302" i="39"/>
  <c r="Q301" i="39" a="1"/>
  <c r="Q301" i="39" s="1"/>
  <c r="C301" i="39"/>
  <c r="Q300" i="39" a="1"/>
  <c r="Q300" i="39" s="1"/>
  <c r="C300" i="39"/>
  <c r="Q299" i="39" a="1"/>
  <c r="Q299" i="39" s="1"/>
  <c r="C299" i="39"/>
  <c r="Q298" i="39" a="1"/>
  <c r="Q298" i="39" s="1"/>
  <c r="C298" i="39"/>
  <c r="Q297" i="39" a="1"/>
  <c r="Q297" i="39" s="1"/>
  <c r="C297" i="39"/>
  <c r="Q296" i="39" a="1"/>
  <c r="Q296" i="39" s="1"/>
  <c r="C296" i="39"/>
  <c r="Q295" i="39" a="1"/>
  <c r="Q295" i="39" s="1"/>
  <c r="C295" i="39"/>
  <c r="Q294" i="39" a="1"/>
  <c r="Q294" i="39" s="1"/>
  <c r="C294" i="39"/>
  <c r="Q293" i="39" a="1"/>
  <c r="Q293" i="39" s="1"/>
  <c r="C293" i="39"/>
  <c r="Q292" i="39" a="1"/>
  <c r="Q292" i="39" s="1"/>
  <c r="C292" i="39"/>
  <c r="Q291" i="39" a="1"/>
  <c r="Q291" i="39" s="1"/>
  <c r="C291" i="39"/>
  <c r="Q290" i="39" a="1"/>
  <c r="Q290" i="39" s="1"/>
  <c r="C290" i="39"/>
  <c r="Q289" i="39" a="1"/>
  <c r="Q289" i="39" s="1"/>
  <c r="C289" i="39"/>
  <c r="Q288" i="39" a="1"/>
  <c r="Q288" i="39" s="1"/>
  <c r="C288" i="39"/>
  <c r="Q287" i="39" a="1"/>
  <c r="Q287" i="39" s="1"/>
  <c r="C287" i="39"/>
  <c r="Q286" i="39" a="1"/>
  <c r="Q286" i="39" s="1"/>
  <c r="C286" i="39"/>
  <c r="Q285" i="39" a="1"/>
  <c r="Q285" i="39" s="1"/>
  <c r="C285" i="39"/>
  <c r="Q284" i="39" a="1"/>
  <c r="Q284" i="39" s="1"/>
  <c r="C284" i="39"/>
  <c r="Q283" i="39" a="1"/>
  <c r="Q283" i="39" s="1"/>
  <c r="C283" i="39"/>
  <c r="Q282" i="39" a="1"/>
  <c r="Q282" i="39" s="1"/>
  <c r="C282" i="39"/>
  <c r="Q281" i="39" a="1"/>
  <c r="Q281" i="39" s="1"/>
  <c r="C281" i="39"/>
  <c r="Q280" i="39" a="1"/>
  <c r="Q280" i="39" s="1"/>
  <c r="C280" i="39"/>
  <c r="Q279" i="39" a="1"/>
  <c r="Q279" i="39" s="1"/>
  <c r="C279" i="39"/>
  <c r="Q278" i="39" a="1"/>
  <c r="Q278" i="39" s="1"/>
  <c r="C278" i="39"/>
  <c r="Q277" i="39" a="1"/>
  <c r="Q277" i="39" s="1"/>
  <c r="C277" i="39"/>
  <c r="Q276" i="39" a="1"/>
  <c r="Q276" i="39" s="1"/>
  <c r="C276" i="39"/>
  <c r="Q275" i="39" a="1"/>
  <c r="Q275" i="39" s="1"/>
  <c r="C275" i="39"/>
  <c r="Q274" i="39" a="1"/>
  <c r="Q274" i="39" s="1"/>
  <c r="C274" i="39"/>
  <c r="Q273" i="39" a="1"/>
  <c r="Q273" i="39" s="1"/>
  <c r="C273" i="39"/>
  <c r="Q272" i="39" a="1"/>
  <c r="Q272" i="39" s="1"/>
  <c r="C272" i="39"/>
  <c r="Q271" i="39" a="1"/>
  <c r="Q271" i="39" s="1"/>
  <c r="C271" i="39"/>
  <c r="Q270" i="39" a="1"/>
  <c r="Q270" i="39" s="1"/>
  <c r="C270" i="39"/>
  <c r="Q269" i="39" a="1"/>
  <c r="Q269" i="39" s="1"/>
  <c r="C269" i="39"/>
  <c r="Q268" i="39" a="1"/>
  <c r="Q268" i="39" s="1"/>
  <c r="C268" i="39"/>
  <c r="Q267" i="39" a="1"/>
  <c r="Q267" i="39" s="1"/>
  <c r="C267" i="39"/>
  <c r="Q266" i="39" a="1"/>
  <c r="Q266" i="39" s="1"/>
  <c r="C266" i="39"/>
  <c r="Q265" i="39" a="1"/>
  <c r="Q265" i="39" s="1"/>
  <c r="C265" i="39"/>
  <c r="Q264" i="39" a="1"/>
  <c r="Q264" i="39" s="1"/>
  <c r="C264" i="39"/>
  <c r="Q263" i="39" a="1"/>
  <c r="Q263" i="39" s="1"/>
  <c r="C263" i="39"/>
  <c r="Q262" i="39" a="1"/>
  <c r="Q262" i="39" s="1"/>
  <c r="C262" i="39"/>
  <c r="Q261" i="39" a="1"/>
  <c r="Q261" i="39" s="1"/>
  <c r="C261" i="39"/>
  <c r="Q260" i="39" a="1"/>
  <c r="Q260" i="39" s="1"/>
  <c r="C260" i="39"/>
  <c r="Q259" i="39" a="1"/>
  <c r="Q259" i="39" s="1"/>
  <c r="C259" i="39"/>
  <c r="Q258" i="39" a="1"/>
  <c r="Q258" i="39" s="1"/>
  <c r="C258" i="39"/>
  <c r="Q257" i="39" a="1"/>
  <c r="Q257" i="39" s="1"/>
  <c r="C257" i="39"/>
  <c r="Q256" i="39" a="1"/>
  <c r="Q256" i="39" s="1"/>
  <c r="C256" i="39"/>
  <c r="Q255" i="39" a="1"/>
  <c r="Q255" i="39" s="1"/>
  <c r="C255" i="39"/>
  <c r="Q254" i="39" a="1"/>
  <c r="Q254" i="39" s="1"/>
  <c r="C254" i="39"/>
  <c r="Q253" i="39" a="1"/>
  <c r="Q253" i="39" s="1"/>
  <c r="C253" i="39"/>
  <c r="Q252" i="39" a="1"/>
  <c r="Q252" i="39" s="1"/>
  <c r="C252" i="39"/>
  <c r="Q251" i="39" a="1"/>
  <c r="Q251" i="39" s="1"/>
  <c r="C251" i="39"/>
  <c r="Q250" i="39" a="1"/>
  <c r="Q250" i="39" s="1"/>
  <c r="C250" i="39"/>
  <c r="Q249" i="39" a="1"/>
  <c r="Q249" i="39" s="1"/>
  <c r="C249" i="39"/>
  <c r="Q248" i="39" a="1"/>
  <c r="Q248" i="39" s="1"/>
  <c r="C248" i="39"/>
  <c r="Q247" i="39" a="1"/>
  <c r="Q247" i="39" s="1"/>
  <c r="C247" i="39"/>
  <c r="Q246" i="39" a="1"/>
  <c r="Q246" i="39" s="1"/>
  <c r="C246" i="39"/>
  <c r="Q245" i="39" a="1"/>
  <c r="Q245" i="39" s="1"/>
  <c r="C245" i="39"/>
  <c r="Q244" i="39" a="1"/>
  <c r="Q244" i="39" s="1"/>
  <c r="C244" i="39"/>
  <c r="Q243" i="39" a="1"/>
  <c r="Q243" i="39" s="1"/>
  <c r="C243" i="39"/>
  <c r="Q242" i="39" a="1"/>
  <c r="Q242" i="39" s="1"/>
  <c r="C242" i="39"/>
  <c r="Q241" i="39" a="1"/>
  <c r="Q241" i="39" s="1"/>
  <c r="C241" i="39"/>
  <c r="Q240" i="39" a="1"/>
  <c r="Q240" i="39" s="1"/>
  <c r="C240" i="39"/>
  <c r="Q239" i="39" a="1"/>
  <c r="Q239" i="39" s="1"/>
  <c r="C239" i="39"/>
  <c r="Q238" i="39" a="1"/>
  <c r="Q238" i="39" s="1"/>
  <c r="C238" i="39"/>
  <c r="Q237" i="39" a="1"/>
  <c r="Q237" i="39" s="1"/>
  <c r="C237" i="39"/>
  <c r="Q236" i="39" a="1"/>
  <c r="Q236" i="39" s="1"/>
  <c r="C236" i="39"/>
  <c r="Q235" i="39" a="1"/>
  <c r="Q235" i="39" s="1"/>
  <c r="C235" i="39"/>
  <c r="Q234" i="39" a="1"/>
  <c r="Q234" i="39" s="1"/>
  <c r="C234" i="39"/>
  <c r="Q233" i="39" a="1"/>
  <c r="Q233" i="39" s="1"/>
  <c r="C233" i="39"/>
  <c r="Q232" i="39" a="1"/>
  <c r="Q232" i="39" s="1"/>
  <c r="C232" i="39"/>
  <c r="Q231" i="39" a="1"/>
  <c r="Q231" i="39" s="1"/>
  <c r="C231" i="39"/>
  <c r="Q230" i="39" a="1"/>
  <c r="Q230" i="39" s="1"/>
  <c r="C230" i="39"/>
  <c r="Q229" i="39" a="1"/>
  <c r="Q229" i="39" s="1"/>
  <c r="C229" i="39"/>
  <c r="Q228" i="39" a="1"/>
  <c r="Q228" i="39" s="1"/>
  <c r="C228" i="39"/>
  <c r="Q227" i="39" a="1"/>
  <c r="Q227" i="39" s="1"/>
  <c r="C227" i="39"/>
  <c r="Q226" i="39" a="1"/>
  <c r="Q226" i="39" s="1"/>
  <c r="C226" i="39"/>
  <c r="Q225" i="39" a="1"/>
  <c r="Q225" i="39" s="1"/>
  <c r="C225" i="39"/>
  <c r="Q224" i="39" a="1"/>
  <c r="Q224" i="39" s="1"/>
  <c r="C224" i="39"/>
  <c r="Q223" i="39" a="1"/>
  <c r="Q223" i="39" s="1"/>
  <c r="C223" i="39"/>
  <c r="Q222" i="39" a="1"/>
  <c r="Q222" i="39" s="1"/>
  <c r="C222" i="39"/>
  <c r="Q221" i="39" a="1"/>
  <c r="Q221" i="39" s="1"/>
  <c r="C221" i="39"/>
  <c r="Q220" i="39" a="1"/>
  <c r="Q220" i="39" s="1"/>
  <c r="C220" i="39"/>
  <c r="Q219" i="39" a="1"/>
  <c r="Q219" i="39" s="1"/>
  <c r="C219" i="39"/>
  <c r="Q218" i="39" a="1"/>
  <c r="Q218" i="39" s="1"/>
  <c r="C218" i="39"/>
  <c r="Q217" i="39" a="1"/>
  <c r="Q217" i="39" s="1"/>
  <c r="C217" i="39"/>
  <c r="Q216" i="39" a="1"/>
  <c r="Q216" i="39" s="1"/>
  <c r="C216" i="39"/>
  <c r="Q215" i="39" a="1"/>
  <c r="Q215" i="39" s="1"/>
  <c r="C215" i="39"/>
  <c r="Q214" i="39" a="1"/>
  <c r="Q214" i="39" s="1"/>
  <c r="C214" i="39"/>
  <c r="Q213" i="39" a="1"/>
  <c r="Q213" i="39" s="1"/>
  <c r="C213" i="39"/>
  <c r="Q212" i="39" a="1"/>
  <c r="Q212" i="39" s="1"/>
  <c r="C212" i="39"/>
  <c r="Q211" i="39" a="1"/>
  <c r="Q211" i="39" s="1"/>
  <c r="C211" i="39"/>
  <c r="Q210" i="39" a="1"/>
  <c r="Q210" i="39" s="1"/>
  <c r="C210" i="39"/>
  <c r="Q209" i="39" a="1"/>
  <c r="Q209" i="39" s="1"/>
  <c r="C209" i="39"/>
  <c r="Q208" i="39" a="1"/>
  <c r="Q208" i="39" s="1"/>
  <c r="C208" i="39"/>
  <c r="Q207" i="39" a="1"/>
  <c r="Q207" i="39" s="1"/>
  <c r="C207" i="39"/>
  <c r="Q206" i="39" a="1"/>
  <c r="Q206" i="39" s="1"/>
  <c r="C206" i="39"/>
  <c r="Q205" i="39" a="1"/>
  <c r="Q205" i="39" s="1"/>
  <c r="C205" i="39"/>
  <c r="Q204" i="39" a="1"/>
  <c r="Q204" i="39" s="1"/>
  <c r="C204" i="39"/>
  <c r="Q203" i="39" a="1"/>
  <c r="Q203" i="39" s="1"/>
  <c r="C203" i="39"/>
  <c r="Q202" i="39" a="1"/>
  <c r="Q202" i="39" s="1"/>
  <c r="C202" i="39"/>
  <c r="Q201" i="39" a="1"/>
  <c r="Q201" i="39" s="1"/>
  <c r="C201" i="39"/>
  <c r="Q200" i="39" a="1"/>
  <c r="Q200" i="39" s="1"/>
  <c r="C200" i="39"/>
  <c r="Q199" i="39" a="1"/>
  <c r="Q199" i="39" s="1"/>
  <c r="C199" i="39"/>
  <c r="Q198" i="39" a="1"/>
  <c r="Q198" i="39" s="1"/>
  <c r="C198" i="39"/>
  <c r="Q197" i="39" a="1"/>
  <c r="Q197" i="39" s="1"/>
  <c r="C197" i="39"/>
  <c r="Q196" i="39" a="1"/>
  <c r="Q196" i="39" s="1"/>
  <c r="C196" i="39"/>
  <c r="Q195" i="39" a="1"/>
  <c r="Q195" i="39" s="1"/>
  <c r="C195" i="39"/>
  <c r="Q194" i="39" a="1"/>
  <c r="Q194" i="39" s="1"/>
  <c r="C194" i="39"/>
  <c r="Q193" i="39" a="1"/>
  <c r="Q193" i="39" s="1"/>
  <c r="C193" i="39"/>
  <c r="Q192" i="39" a="1"/>
  <c r="Q192" i="39" s="1"/>
  <c r="C192" i="39"/>
  <c r="Q191" i="39" a="1"/>
  <c r="Q191" i="39" s="1"/>
  <c r="C191" i="39"/>
  <c r="Q190" i="39" a="1"/>
  <c r="Q190" i="39" s="1"/>
  <c r="C190" i="39"/>
  <c r="Q189" i="39" a="1"/>
  <c r="Q189" i="39" s="1"/>
  <c r="C189" i="39"/>
  <c r="Q188" i="39" a="1"/>
  <c r="Q188" i="39" s="1"/>
  <c r="C188" i="39"/>
  <c r="Q187" i="39" a="1"/>
  <c r="Q187" i="39" s="1"/>
  <c r="C187" i="39"/>
  <c r="Q186" i="39" a="1"/>
  <c r="Q186" i="39" s="1"/>
  <c r="C186" i="39"/>
  <c r="Q185" i="39" a="1"/>
  <c r="Q185" i="39" s="1"/>
  <c r="C185" i="39"/>
  <c r="Q184" i="39" a="1"/>
  <c r="Q184" i="39" s="1"/>
  <c r="C184" i="39"/>
  <c r="Q183" i="39" a="1"/>
  <c r="Q183" i="39" s="1"/>
  <c r="C183" i="39"/>
  <c r="Q182" i="39" a="1"/>
  <c r="Q182" i="39" s="1"/>
  <c r="C182" i="39"/>
  <c r="Q181" i="39" a="1"/>
  <c r="Q181" i="39" s="1"/>
  <c r="C181" i="39"/>
  <c r="Q180" i="39" a="1"/>
  <c r="Q180" i="39" s="1"/>
  <c r="C180" i="39"/>
  <c r="Q179" i="39" a="1"/>
  <c r="Q179" i="39" s="1"/>
  <c r="C179" i="39"/>
  <c r="Q178" i="39" a="1"/>
  <c r="Q178" i="39" s="1"/>
  <c r="C178" i="39"/>
  <c r="Q177" i="39" a="1"/>
  <c r="Q177" i="39" s="1"/>
  <c r="C177" i="39"/>
  <c r="Q176" i="39" a="1"/>
  <c r="Q176" i="39" s="1"/>
  <c r="C176" i="39"/>
  <c r="Q175" i="39" a="1"/>
  <c r="Q175" i="39" s="1"/>
  <c r="C175" i="39"/>
  <c r="Q174" i="39" a="1"/>
  <c r="Q174" i="39" s="1"/>
  <c r="C174" i="39"/>
  <c r="Q173" i="39" a="1"/>
  <c r="Q173" i="39" s="1"/>
  <c r="C173" i="39"/>
  <c r="Q172" i="39" a="1"/>
  <c r="Q172" i="39" s="1"/>
  <c r="C172" i="39"/>
  <c r="Q171" i="39" a="1"/>
  <c r="Q171" i="39" s="1"/>
  <c r="C171" i="39"/>
  <c r="Q170" i="39" a="1"/>
  <c r="Q170" i="39" s="1"/>
  <c r="C170" i="39"/>
  <c r="Q169" i="39" a="1"/>
  <c r="Q169" i="39" s="1"/>
  <c r="C169" i="39"/>
  <c r="Q168" i="39" a="1"/>
  <c r="Q168" i="39" s="1"/>
  <c r="C168" i="39"/>
  <c r="Q167" i="39" a="1"/>
  <c r="Q167" i="39" s="1"/>
  <c r="C167" i="39"/>
  <c r="Q166" i="39" a="1"/>
  <c r="Q166" i="39" s="1"/>
  <c r="C166" i="39"/>
  <c r="Q165" i="39" a="1"/>
  <c r="Q165" i="39" s="1"/>
  <c r="C165" i="39"/>
  <c r="Q164" i="39" a="1"/>
  <c r="Q164" i="39" s="1"/>
  <c r="C164" i="39"/>
  <c r="Q163" i="39" a="1"/>
  <c r="Q163" i="39" s="1"/>
  <c r="C163" i="39"/>
  <c r="Q162" i="39" a="1"/>
  <c r="Q162" i="39" s="1"/>
  <c r="C162" i="39"/>
  <c r="Q161" i="39" a="1"/>
  <c r="Q161" i="39" s="1"/>
  <c r="C161" i="39"/>
  <c r="Q160" i="39" a="1"/>
  <c r="Q160" i="39" s="1"/>
  <c r="C160" i="39"/>
  <c r="Q159" i="39" a="1"/>
  <c r="Q159" i="39" s="1"/>
  <c r="C159" i="39"/>
  <c r="Q158" i="39" a="1"/>
  <c r="Q158" i="39" s="1"/>
  <c r="C158" i="39"/>
  <c r="Q157" i="39" a="1"/>
  <c r="Q157" i="39" s="1"/>
  <c r="C157" i="39"/>
  <c r="Q156" i="39" a="1"/>
  <c r="Q156" i="39" s="1"/>
  <c r="C156" i="39"/>
  <c r="Q155" i="39" a="1"/>
  <c r="Q155" i="39" s="1"/>
  <c r="C155" i="39"/>
  <c r="Q154" i="39" a="1"/>
  <c r="Q154" i="39" s="1"/>
  <c r="C154" i="39"/>
  <c r="Q153" i="39" a="1"/>
  <c r="Q153" i="39" s="1"/>
  <c r="C153" i="39"/>
  <c r="Q152" i="39" a="1"/>
  <c r="Q152" i="39" s="1"/>
  <c r="C152" i="39"/>
  <c r="Q151" i="39" a="1"/>
  <c r="Q151" i="39" s="1"/>
  <c r="C151" i="39"/>
  <c r="Q150" i="39" a="1"/>
  <c r="Q150" i="39" s="1"/>
  <c r="C150" i="39"/>
  <c r="Q149" i="39" a="1"/>
  <c r="Q149" i="39" s="1"/>
  <c r="C149" i="39"/>
  <c r="Q148" i="39" a="1"/>
  <c r="Q148" i="39" s="1"/>
  <c r="C148" i="39"/>
  <c r="Q147" i="39" a="1"/>
  <c r="Q147" i="39" s="1"/>
  <c r="C147" i="39"/>
  <c r="Q146" i="39" a="1"/>
  <c r="Q146" i="39" s="1"/>
  <c r="C146" i="39"/>
  <c r="Q145" i="39" a="1"/>
  <c r="Q145" i="39" s="1"/>
  <c r="C145" i="39"/>
  <c r="Q144" i="39" a="1"/>
  <c r="Q144" i="39" s="1"/>
  <c r="C144" i="39"/>
  <c r="Q143" i="39" a="1"/>
  <c r="Q143" i="39" s="1"/>
  <c r="C143" i="39"/>
  <c r="Q142" i="39" a="1"/>
  <c r="Q142" i="39" s="1"/>
  <c r="C142" i="39"/>
  <c r="Q141" i="39" a="1"/>
  <c r="Q141" i="39" s="1"/>
  <c r="C141" i="39"/>
  <c r="Q140" i="39" a="1"/>
  <c r="Q140" i="39" s="1"/>
  <c r="C140" i="39"/>
  <c r="Q139" i="39" a="1"/>
  <c r="Q139" i="39" s="1"/>
  <c r="C139" i="39"/>
  <c r="Q138" i="39" a="1"/>
  <c r="Q138" i="39" s="1"/>
  <c r="C138" i="39"/>
  <c r="Q137" i="39" a="1"/>
  <c r="Q137" i="39" s="1"/>
  <c r="C137" i="39"/>
  <c r="Q136" i="39" a="1"/>
  <c r="Q136" i="39" s="1"/>
  <c r="C136" i="39"/>
  <c r="Q135" i="39" a="1"/>
  <c r="Q135" i="39" s="1"/>
  <c r="C135" i="39"/>
  <c r="Q134" i="39" a="1"/>
  <c r="Q134" i="39" s="1"/>
  <c r="C134" i="39"/>
  <c r="Q133" i="39" a="1"/>
  <c r="Q133" i="39" s="1"/>
  <c r="C133" i="39"/>
  <c r="Q132" i="39" a="1"/>
  <c r="Q132" i="39" s="1"/>
  <c r="C132" i="39"/>
  <c r="Q131" i="39" a="1"/>
  <c r="Q131" i="39" s="1"/>
  <c r="C131" i="39"/>
  <c r="Q130" i="39" a="1"/>
  <c r="Q130" i="39" s="1"/>
  <c r="C130" i="39"/>
  <c r="Q129" i="39" a="1"/>
  <c r="Q129" i="39" s="1"/>
  <c r="C129" i="39"/>
  <c r="Q128" i="39" a="1"/>
  <c r="Q128" i="39" s="1"/>
  <c r="C128" i="39"/>
  <c r="Q127" i="39" a="1"/>
  <c r="Q127" i="39" s="1"/>
  <c r="C127" i="39"/>
  <c r="Q126" i="39" a="1"/>
  <c r="Q126" i="39" s="1"/>
  <c r="C126" i="39"/>
  <c r="Q125" i="39" a="1"/>
  <c r="Q125" i="39" s="1"/>
  <c r="C125" i="39"/>
  <c r="Q124" i="39" a="1"/>
  <c r="Q124" i="39" s="1"/>
  <c r="C124" i="39"/>
  <c r="Q123" i="39" a="1"/>
  <c r="Q123" i="39" s="1"/>
  <c r="C123" i="39"/>
  <c r="Q122" i="39" a="1"/>
  <c r="Q122" i="39" s="1"/>
  <c r="C122" i="39"/>
  <c r="Q121" i="39" a="1"/>
  <c r="Q121" i="39" s="1"/>
  <c r="C121" i="39"/>
  <c r="Q120" i="39" a="1"/>
  <c r="Q120" i="39" s="1"/>
  <c r="C120" i="39"/>
  <c r="Q119" i="39" a="1"/>
  <c r="Q119" i="39" s="1"/>
  <c r="C119" i="39"/>
  <c r="Q118" i="39" a="1"/>
  <c r="Q118" i="39" s="1"/>
  <c r="C118" i="39"/>
  <c r="Q117" i="39" a="1"/>
  <c r="Q117" i="39" s="1"/>
  <c r="C117" i="39"/>
  <c r="Q116" i="39" a="1"/>
  <c r="Q116" i="39" s="1"/>
  <c r="C116" i="39"/>
  <c r="Q115" i="39" a="1"/>
  <c r="Q115" i="39" s="1"/>
  <c r="C115" i="39"/>
  <c r="Q114" i="39" a="1"/>
  <c r="Q114" i="39" s="1"/>
  <c r="C114" i="39"/>
  <c r="Q113" i="39" a="1"/>
  <c r="Q113" i="39" s="1"/>
  <c r="C113" i="39"/>
  <c r="Q112" i="39" a="1"/>
  <c r="Q112" i="39" s="1"/>
  <c r="C112" i="39"/>
  <c r="Q111" i="39" a="1"/>
  <c r="Q111" i="39" s="1"/>
  <c r="C111" i="39"/>
  <c r="Q110" i="39" a="1"/>
  <c r="Q110" i="39" s="1"/>
  <c r="C110" i="39"/>
  <c r="Q109" i="39" a="1"/>
  <c r="Q109" i="39" s="1"/>
  <c r="C109" i="39"/>
  <c r="Q108" i="39" a="1"/>
  <c r="Q108" i="39" s="1"/>
  <c r="C108" i="39"/>
  <c r="Q107" i="39" a="1"/>
  <c r="Q107" i="39" s="1"/>
  <c r="C107" i="39"/>
  <c r="Q106" i="39" a="1"/>
  <c r="Q106" i="39" s="1"/>
  <c r="C106" i="39"/>
  <c r="Q105" i="39" a="1"/>
  <c r="Q105" i="39" s="1"/>
  <c r="C105" i="39"/>
  <c r="Q104" i="39" a="1"/>
  <c r="Q104" i="39" s="1"/>
  <c r="C104" i="39"/>
  <c r="Q103" i="39" a="1"/>
  <c r="Q103" i="39" s="1"/>
  <c r="C103" i="39"/>
  <c r="Q102" i="39" a="1"/>
  <c r="Q102" i="39" s="1"/>
  <c r="C102" i="39"/>
  <c r="Q101" i="39" a="1"/>
  <c r="Q101" i="39" s="1"/>
  <c r="C101" i="39"/>
  <c r="Q100" i="39" a="1"/>
  <c r="Q100" i="39" s="1"/>
  <c r="C100" i="39"/>
  <c r="Q99" i="39" a="1"/>
  <c r="Q99" i="39" s="1"/>
  <c r="C99" i="39"/>
  <c r="Q98" i="39" a="1"/>
  <c r="Q98" i="39" s="1"/>
  <c r="C98" i="39"/>
  <c r="Q97" i="39" a="1"/>
  <c r="Q97" i="39" s="1"/>
  <c r="C97" i="39"/>
  <c r="Q96" i="39" a="1"/>
  <c r="Q96" i="39" s="1"/>
  <c r="C96" i="39"/>
  <c r="Q95" i="39" a="1"/>
  <c r="Q95" i="39" s="1"/>
  <c r="C95" i="39"/>
  <c r="Q94" i="39" a="1"/>
  <c r="Q94" i="39" s="1"/>
  <c r="C94" i="39"/>
  <c r="Q93" i="39" a="1"/>
  <c r="Q93" i="39" s="1"/>
  <c r="C93" i="39"/>
  <c r="Q92" i="39" a="1"/>
  <c r="Q92" i="39" s="1"/>
  <c r="C92" i="39"/>
  <c r="Q91" i="39" a="1"/>
  <c r="Q91" i="39" s="1"/>
  <c r="C91" i="39"/>
  <c r="Q90" i="39" a="1"/>
  <c r="Q90" i="39" s="1"/>
  <c r="C90" i="39"/>
  <c r="Q89" i="39" a="1"/>
  <c r="Q89" i="39" s="1"/>
  <c r="C89" i="39"/>
  <c r="Q88" i="39" a="1"/>
  <c r="Q88" i="39" s="1"/>
  <c r="C88" i="39"/>
  <c r="Q87" i="39" a="1"/>
  <c r="Q87" i="39" s="1"/>
  <c r="C87" i="39"/>
  <c r="Q86" i="39" a="1"/>
  <c r="Q86" i="39" s="1"/>
  <c r="C86" i="39"/>
  <c r="Q85" i="39" a="1"/>
  <c r="Q85" i="39" s="1"/>
  <c r="C85" i="39"/>
  <c r="Q84" i="39" a="1"/>
  <c r="Q84" i="39" s="1"/>
  <c r="C84" i="39"/>
  <c r="Q83" i="39" a="1"/>
  <c r="Q83" i="39" s="1"/>
  <c r="C83" i="39"/>
  <c r="Q82" i="39" a="1"/>
  <c r="Q82" i="39" s="1"/>
  <c r="C82" i="39"/>
  <c r="Q81" i="39" a="1"/>
  <c r="Q81" i="39" s="1"/>
  <c r="C81" i="39"/>
  <c r="Q80" i="39" a="1"/>
  <c r="Q80" i="39" s="1"/>
  <c r="C80" i="39"/>
  <c r="Q79" i="39" a="1"/>
  <c r="Q79" i="39" s="1"/>
  <c r="C79" i="39"/>
  <c r="Q78" i="39" a="1"/>
  <c r="Q78" i="39" s="1"/>
  <c r="C78" i="39"/>
  <c r="Q77" i="39" a="1"/>
  <c r="Q77" i="39" s="1"/>
  <c r="C77" i="39"/>
  <c r="Q76" i="39" a="1"/>
  <c r="Q76" i="39" s="1"/>
  <c r="C76" i="39"/>
  <c r="Q438" i="38" a="1"/>
  <c r="Q438" i="38" s="1"/>
  <c r="C438" i="38"/>
  <c r="Q437" i="38" a="1"/>
  <c r="Q437" i="38" s="1"/>
  <c r="C437" i="38"/>
  <c r="Q436" i="38" a="1"/>
  <c r="Q436" i="38" s="1"/>
  <c r="C436" i="38"/>
  <c r="Q435" i="38" a="1"/>
  <c r="Q435" i="38" s="1"/>
  <c r="C435" i="38"/>
  <c r="Q434" i="38" a="1"/>
  <c r="Q434" i="38" s="1"/>
  <c r="C434" i="38"/>
  <c r="Q433" i="38" a="1"/>
  <c r="Q433" i="38" s="1"/>
  <c r="C433" i="38"/>
  <c r="Q432" i="38" a="1"/>
  <c r="Q432" i="38" s="1"/>
  <c r="C432" i="38"/>
  <c r="Q431" i="38" a="1"/>
  <c r="Q431" i="38" s="1"/>
  <c r="C431" i="38"/>
  <c r="Q430" i="38" a="1"/>
  <c r="Q430" i="38" s="1"/>
  <c r="C430" i="38"/>
  <c r="Q429" i="38" a="1"/>
  <c r="Q429" i="38" s="1"/>
  <c r="C429" i="38"/>
  <c r="Q428" i="38" a="1"/>
  <c r="Q428" i="38" s="1"/>
  <c r="C428" i="38"/>
  <c r="Q427" i="38" a="1"/>
  <c r="Q427" i="38" s="1"/>
  <c r="C427" i="38"/>
  <c r="Q426" i="38" a="1"/>
  <c r="Q426" i="38" s="1"/>
  <c r="C426" i="38"/>
  <c r="Q425" i="38" a="1"/>
  <c r="Q425" i="38" s="1"/>
  <c r="C425" i="38"/>
  <c r="Q424" i="38" a="1"/>
  <c r="Q424" i="38" s="1"/>
  <c r="C424" i="38"/>
  <c r="Q423" i="38" a="1"/>
  <c r="Q423" i="38" s="1"/>
  <c r="C423" i="38"/>
  <c r="Q422" i="38" a="1"/>
  <c r="Q422" i="38" s="1"/>
  <c r="C422" i="38"/>
  <c r="Q421" i="38" a="1"/>
  <c r="Q421" i="38" s="1"/>
  <c r="C421" i="38"/>
  <c r="Q420" i="38" a="1"/>
  <c r="Q420" i="38" s="1"/>
  <c r="C420" i="38"/>
  <c r="Q419" i="38" a="1"/>
  <c r="Q419" i="38" s="1"/>
  <c r="C419" i="38"/>
  <c r="Q418" i="38" a="1"/>
  <c r="Q418" i="38" s="1"/>
  <c r="C418" i="38"/>
  <c r="Q417" i="38" a="1"/>
  <c r="Q417" i="38" s="1"/>
  <c r="C417" i="38"/>
  <c r="Q416" i="38" a="1"/>
  <c r="Q416" i="38" s="1"/>
  <c r="C416" i="38"/>
  <c r="Q415" i="38" a="1"/>
  <c r="Q415" i="38" s="1"/>
  <c r="C415" i="38"/>
  <c r="Q414" i="38" a="1"/>
  <c r="Q414" i="38" s="1"/>
  <c r="C414" i="38"/>
  <c r="Q413" i="38" a="1"/>
  <c r="Q413" i="38" s="1"/>
  <c r="C413" i="38"/>
  <c r="Q412" i="38" a="1"/>
  <c r="Q412" i="38" s="1"/>
  <c r="C412" i="38"/>
  <c r="Q411" i="38" a="1"/>
  <c r="Q411" i="38" s="1"/>
  <c r="C411" i="38"/>
  <c r="Q410" i="38" a="1"/>
  <c r="Q410" i="38" s="1"/>
  <c r="C410" i="38"/>
  <c r="Q409" i="38" a="1"/>
  <c r="Q409" i="38" s="1"/>
  <c r="C409" i="38"/>
  <c r="Q408" i="38" a="1"/>
  <c r="Q408" i="38" s="1"/>
  <c r="C408" i="38"/>
  <c r="Q407" i="38" a="1"/>
  <c r="Q407" i="38" s="1"/>
  <c r="C407" i="38"/>
  <c r="Q406" i="38" a="1"/>
  <c r="Q406" i="38" s="1"/>
  <c r="C406" i="38"/>
  <c r="Q405" i="38" a="1"/>
  <c r="Q405" i="38" s="1"/>
  <c r="C405" i="38"/>
  <c r="Q404" i="38" a="1"/>
  <c r="Q404" i="38" s="1"/>
  <c r="C404" i="38"/>
  <c r="Q403" i="38" a="1"/>
  <c r="Q403" i="38" s="1"/>
  <c r="C403" i="38"/>
  <c r="Q402" i="38" a="1"/>
  <c r="Q402" i="38" s="1"/>
  <c r="C402" i="38"/>
  <c r="Q401" i="38" a="1"/>
  <c r="Q401" i="38" s="1"/>
  <c r="C401" i="38"/>
  <c r="Q400" i="38" a="1"/>
  <c r="Q400" i="38" s="1"/>
  <c r="C400" i="38"/>
  <c r="Q399" i="38" a="1"/>
  <c r="Q399" i="38" s="1"/>
  <c r="C399" i="38"/>
  <c r="Q398" i="38" a="1"/>
  <c r="Q398" i="38" s="1"/>
  <c r="C398" i="38"/>
  <c r="Q397" i="38" a="1"/>
  <c r="Q397" i="38" s="1"/>
  <c r="C397" i="38"/>
  <c r="Q396" i="38" a="1"/>
  <c r="Q396" i="38" s="1"/>
  <c r="C396" i="38"/>
  <c r="Q395" i="38" a="1"/>
  <c r="Q395" i="38" s="1"/>
  <c r="C395" i="38"/>
  <c r="Q394" i="38" a="1"/>
  <c r="Q394" i="38" s="1"/>
  <c r="C394" i="38"/>
  <c r="Q393" i="38" a="1"/>
  <c r="Q393" i="38" s="1"/>
  <c r="C393" i="38"/>
  <c r="Q392" i="38" a="1"/>
  <c r="Q392" i="38" s="1"/>
  <c r="C392" i="38"/>
  <c r="Q391" i="38" a="1"/>
  <c r="Q391" i="38" s="1"/>
  <c r="C391" i="38"/>
  <c r="Q390" i="38" a="1"/>
  <c r="Q390" i="38" s="1"/>
  <c r="C390" i="38"/>
  <c r="Q389" i="38" a="1"/>
  <c r="Q389" i="38" s="1"/>
  <c r="C389" i="38"/>
  <c r="Q388" i="38" a="1"/>
  <c r="Q388" i="38" s="1"/>
  <c r="C388" i="38"/>
  <c r="Q387" i="38" a="1"/>
  <c r="Q387" i="38" s="1"/>
  <c r="C387" i="38"/>
  <c r="Q386" i="38" a="1"/>
  <c r="Q386" i="38" s="1"/>
  <c r="C386" i="38"/>
  <c r="Q385" i="38" a="1"/>
  <c r="Q385" i="38" s="1"/>
  <c r="C385" i="38"/>
  <c r="Q384" i="38" a="1"/>
  <c r="Q384" i="38" s="1"/>
  <c r="C384" i="38"/>
  <c r="Q383" i="38" a="1"/>
  <c r="Q383" i="38" s="1"/>
  <c r="C383" i="38"/>
  <c r="Q382" i="38" a="1"/>
  <c r="Q382" i="38" s="1"/>
  <c r="C382" i="38"/>
  <c r="Q381" i="38" a="1"/>
  <c r="Q381" i="38" s="1"/>
  <c r="C381" i="38"/>
  <c r="Q380" i="38" a="1"/>
  <c r="Q380" i="38" s="1"/>
  <c r="C380" i="38"/>
  <c r="Q379" i="38" a="1"/>
  <c r="Q379" i="38" s="1"/>
  <c r="C379" i="38"/>
  <c r="Q378" i="38" a="1"/>
  <c r="Q378" i="38" s="1"/>
  <c r="C378" i="38"/>
  <c r="Q377" i="38" a="1"/>
  <c r="Q377" i="38" s="1"/>
  <c r="C377" i="38"/>
  <c r="Q376" i="38" a="1"/>
  <c r="Q376" i="38" s="1"/>
  <c r="C376" i="38"/>
  <c r="Q375" i="38" a="1"/>
  <c r="Q375" i="38" s="1"/>
  <c r="C375" i="38"/>
  <c r="Q374" i="38" a="1"/>
  <c r="Q374" i="38" s="1"/>
  <c r="C374" i="38"/>
  <c r="Q373" i="38" a="1"/>
  <c r="Q373" i="38" s="1"/>
  <c r="C373" i="38"/>
  <c r="Q372" i="38" a="1"/>
  <c r="Q372" i="38" s="1"/>
  <c r="C372" i="38"/>
  <c r="Q371" i="38" a="1"/>
  <c r="Q371" i="38" s="1"/>
  <c r="C371" i="38"/>
  <c r="Q370" i="38" a="1"/>
  <c r="Q370" i="38" s="1"/>
  <c r="C370" i="38"/>
  <c r="Q369" i="38" a="1"/>
  <c r="Q369" i="38" s="1"/>
  <c r="C369" i="38"/>
  <c r="Q368" i="38" a="1"/>
  <c r="Q368" i="38" s="1"/>
  <c r="C368" i="38"/>
  <c r="Q367" i="38" a="1"/>
  <c r="Q367" i="38" s="1"/>
  <c r="C367" i="38"/>
  <c r="Q366" i="38" a="1"/>
  <c r="Q366" i="38" s="1"/>
  <c r="C366" i="38"/>
  <c r="Q365" i="38" a="1"/>
  <c r="Q365" i="38" s="1"/>
  <c r="C365" i="38"/>
  <c r="Q364" i="38" a="1"/>
  <c r="Q364" i="38" s="1"/>
  <c r="C364" i="38"/>
  <c r="Q363" i="38" a="1"/>
  <c r="Q363" i="38" s="1"/>
  <c r="C363" i="38"/>
  <c r="Q362" i="38" a="1"/>
  <c r="Q362" i="38" s="1"/>
  <c r="C362" i="38"/>
  <c r="Q361" i="38" a="1"/>
  <c r="Q361" i="38" s="1"/>
  <c r="C361" i="38"/>
  <c r="Q360" i="38" a="1"/>
  <c r="Q360" i="38" s="1"/>
  <c r="C360" i="38"/>
  <c r="Q359" i="38" a="1"/>
  <c r="Q359" i="38" s="1"/>
  <c r="C359" i="38"/>
  <c r="Q358" i="38" a="1"/>
  <c r="Q358" i="38" s="1"/>
  <c r="C358" i="38"/>
  <c r="Q357" i="38" a="1"/>
  <c r="Q357" i="38" s="1"/>
  <c r="C357" i="38"/>
  <c r="Q356" i="38" a="1"/>
  <c r="Q356" i="38" s="1"/>
  <c r="C356" i="38"/>
  <c r="Q355" i="38" a="1"/>
  <c r="Q355" i="38" s="1"/>
  <c r="C355" i="38"/>
  <c r="Q354" i="38" a="1"/>
  <c r="Q354" i="38" s="1"/>
  <c r="C354" i="38"/>
  <c r="Q353" i="38" a="1"/>
  <c r="Q353" i="38" s="1"/>
  <c r="C353" i="38"/>
  <c r="Q352" i="38" a="1"/>
  <c r="Q352" i="38" s="1"/>
  <c r="C352" i="38"/>
  <c r="Q351" i="38" a="1"/>
  <c r="Q351" i="38" s="1"/>
  <c r="C351" i="38"/>
  <c r="Q350" i="38" a="1"/>
  <c r="Q350" i="38" s="1"/>
  <c r="C350" i="38"/>
  <c r="Q349" i="38" a="1"/>
  <c r="Q349" i="38" s="1"/>
  <c r="C349" i="38"/>
  <c r="Q348" i="38" a="1"/>
  <c r="Q348" i="38" s="1"/>
  <c r="C348" i="38"/>
  <c r="Q347" i="38" a="1"/>
  <c r="Q347" i="38" s="1"/>
  <c r="C347" i="38"/>
  <c r="Q346" i="38" a="1"/>
  <c r="Q346" i="38" s="1"/>
  <c r="C346" i="38"/>
  <c r="Q345" i="38" a="1"/>
  <c r="Q345" i="38" s="1"/>
  <c r="C345" i="38"/>
  <c r="Q344" i="38" a="1"/>
  <c r="Q344" i="38" s="1"/>
  <c r="C344" i="38"/>
  <c r="Q343" i="38" a="1"/>
  <c r="Q343" i="38" s="1"/>
  <c r="C343" i="38"/>
  <c r="Q342" i="38" a="1"/>
  <c r="Q342" i="38" s="1"/>
  <c r="C342" i="38"/>
  <c r="Q341" i="38" a="1"/>
  <c r="Q341" i="38" s="1"/>
  <c r="C341" i="38"/>
  <c r="Q340" i="38" a="1"/>
  <c r="Q340" i="38" s="1"/>
  <c r="C340" i="38"/>
  <c r="Q339" i="38" a="1"/>
  <c r="Q339" i="38" s="1"/>
  <c r="C339" i="38"/>
  <c r="Q338" i="38" a="1"/>
  <c r="Q338" i="38" s="1"/>
  <c r="C338" i="38"/>
  <c r="Q337" i="38" a="1"/>
  <c r="Q337" i="38" s="1"/>
  <c r="C337" i="38"/>
  <c r="Q336" i="38" a="1"/>
  <c r="Q336" i="38" s="1"/>
  <c r="C336" i="38"/>
  <c r="Q335" i="38" a="1"/>
  <c r="Q335" i="38" s="1"/>
  <c r="C335" i="38"/>
  <c r="Q334" i="38" a="1"/>
  <c r="Q334" i="38" s="1"/>
  <c r="C334" i="38"/>
  <c r="Q333" i="38" a="1"/>
  <c r="Q333" i="38" s="1"/>
  <c r="C333" i="38"/>
  <c r="Q332" i="38" a="1"/>
  <c r="Q332" i="38" s="1"/>
  <c r="C332" i="38"/>
  <c r="Q331" i="38" a="1"/>
  <c r="Q331" i="38" s="1"/>
  <c r="C331" i="38"/>
  <c r="Q330" i="38" a="1"/>
  <c r="Q330" i="38" s="1"/>
  <c r="C330" i="38"/>
  <c r="Q329" i="38" a="1"/>
  <c r="Q329" i="38" s="1"/>
  <c r="C329" i="38"/>
  <c r="Q328" i="38" a="1"/>
  <c r="Q328" i="38" s="1"/>
  <c r="C328" i="38"/>
  <c r="Q327" i="38" a="1"/>
  <c r="Q327" i="38" s="1"/>
  <c r="C327" i="38"/>
  <c r="Q326" i="38" a="1"/>
  <c r="Q326" i="38" s="1"/>
  <c r="C326" i="38"/>
  <c r="Q325" i="38" a="1"/>
  <c r="Q325" i="38" s="1"/>
  <c r="C325" i="38"/>
  <c r="Q324" i="38" a="1"/>
  <c r="Q324" i="38" s="1"/>
  <c r="C324" i="38"/>
  <c r="Q323" i="38" a="1"/>
  <c r="Q323" i="38" s="1"/>
  <c r="C323" i="38"/>
  <c r="Q322" i="38" a="1"/>
  <c r="Q322" i="38" s="1"/>
  <c r="C322" i="38"/>
  <c r="Q321" i="38" a="1"/>
  <c r="Q321" i="38" s="1"/>
  <c r="C321" i="38"/>
  <c r="Q320" i="38" a="1"/>
  <c r="Q320" i="38" s="1"/>
  <c r="C320" i="38"/>
  <c r="Q319" i="38" a="1"/>
  <c r="Q319" i="38" s="1"/>
  <c r="C319" i="38"/>
  <c r="Q318" i="38" a="1"/>
  <c r="Q318" i="38" s="1"/>
  <c r="C318" i="38"/>
  <c r="Q317" i="38" a="1"/>
  <c r="Q317" i="38" s="1"/>
  <c r="C317" i="38"/>
  <c r="Q316" i="38" a="1"/>
  <c r="Q316" i="38" s="1"/>
  <c r="C316" i="38"/>
  <c r="Q315" i="38" a="1"/>
  <c r="Q315" i="38" s="1"/>
  <c r="C315" i="38"/>
  <c r="Q314" i="38" a="1"/>
  <c r="Q314" i="38" s="1"/>
  <c r="C314" i="38"/>
  <c r="Q313" i="38" a="1"/>
  <c r="Q313" i="38" s="1"/>
  <c r="C313" i="38"/>
  <c r="Q312" i="38" a="1"/>
  <c r="Q312" i="38" s="1"/>
  <c r="C312" i="38"/>
  <c r="Q311" i="38" a="1"/>
  <c r="Q311" i="38" s="1"/>
  <c r="C311" i="38"/>
  <c r="Q310" i="38" a="1"/>
  <c r="Q310" i="38" s="1"/>
  <c r="C310" i="38"/>
  <c r="Q309" i="38" a="1"/>
  <c r="Q309" i="38" s="1"/>
  <c r="C309" i="38"/>
  <c r="Q308" i="38" a="1"/>
  <c r="Q308" i="38" s="1"/>
  <c r="C308" i="38"/>
  <c r="Q307" i="38" a="1"/>
  <c r="Q307" i="38" s="1"/>
  <c r="C307" i="38"/>
  <c r="Q306" i="38" a="1"/>
  <c r="Q306" i="38" s="1"/>
  <c r="C306" i="38"/>
  <c r="Q305" i="38" a="1"/>
  <c r="Q305" i="38" s="1"/>
  <c r="C305" i="38"/>
  <c r="Q304" i="38" a="1"/>
  <c r="Q304" i="38" s="1"/>
  <c r="C304" i="38"/>
  <c r="Q303" i="38" a="1"/>
  <c r="Q303" i="38" s="1"/>
  <c r="C303" i="38"/>
  <c r="Q302" i="38" a="1"/>
  <c r="Q302" i="38" s="1"/>
  <c r="C302" i="38"/>
  <c r="Q301" i="38" a="1"/>
  <c r="Q301" i="38" s="1"/>
  <c r="C301" i="38"/>
  <c r="Q300" i="38" a="1"/>
  <c r="Q300" i="38" s="1"/>
  <c r="C300" i="38"/>
  <c r="Q299" i="38" a="1"/>
  <c r="Q299" i="38" s="1"/>
  <c r="C299" i="38"/>
  <c r="Q298" i="38" a="1"/>
  <c r="Q298" i="38" s="1"/>
  <c r="C298" i="38"/>
  <c r="Q297" i="38" a="1"/>
  <c r="Q297" i="38" s="1"/>
  <c r="C297" i="38"/>
  <c r="Q296" i="38" a="1"/>
  <c r="Q296" i="38" s="1"/>
  <c r="C296" i="38"/>
  <c r="Q295" i="38" a="1"/>
  <c r="Q295" i="38" s="1"/>
  <c r="C295" i="38"/>
  <c r="Q294" i="38" a="1"/>
  <c r="Q294" i="38" s="1"/>
  <c r="C294" i="38"/>
  <c r="Q293" i="38" a="1"/>
  <c r="Q293" i="38" s="1"/>
  <c r="C293" i="38"/>
  <c r="Q292" i="38" a="1"/>
  <c r="Q292" i="38" s="1"/>
  <c r="C292" i="38"/>
  <c r="Q291" i="38" a="1"/>
  <c r="Q291" i="38" s="1"/>
  <c r="C291" i="38"/>
  <c r="Q290" i="38" a="1"/>
  <c r="Q290" i="38" s="1"/>
  <c r="C290" i="38"/>
  <c r="Q289" i="38" a="1"/>
  <c r="Q289" i="38" s="1"/>
  <c r="C289" i="38"/>
  <c r="Q288" i="38" a="1"/>
  <c r="Q288" i="38" s="1"/>
  <c r="C288" i="38"/>
  <c r="Q287" i="38" a="1"/>
  <c r="Q287" i="38" s="1"/>
  <c r="C287" i="38"/>
  <c r="Q286" i="38" a="1"/>
  <c r="Q286" i="38" s="1"/>
  <c r="C286" i="38"/>
  <c r="Q285" i="38" a="1"/>
  <c r="Q285" i="38" s="1"/>
  <c r="C285" i="38"/>
  <c r="Q284" i="38" a="1"/>
  <c r="Q284" i="38" s="1"/>
  <c r="C284" i="38"/>
  <c r="Q283" i="38" a="1"/>
  <c r="Q283" i="38" s="1"/>
  <c r="C283" i="38"/>
  <c r="Q282" i="38" a="1"/>
  <c r="Q282" i="38" s="1"/>
  <c r="C282" i="38"/>
  <c r="Q281" i="38" a="1"/>
  <c r="Q281" i="38" s="1"/>
  <c r="C281" i="38"/>
  <c r="Q280" i="38" a="1"/>
  <c r="Q280" i="38" s="1"/>
  <c r="C280" i="38"/>
  <c r="Q279" i="38" a="1"/>
  <c r="Q279" i="38" s="1"/>
  <c r="C279" i="38"/>
  <c r="Q278" i="38" a="1"/>
  <c r="Q278" i="38" s="1"/>
  <c r="C278" i="38"/>
  <c r="Q277" i="38" a="1"/>
  <c r="Q277" i="38" s="1"/>
  <c r="C277" i="38"/>
  <c r="Q276" i="38" a="1"/>
  <c r="Q276" i="38" s="1"/>
  <c r="C276" i="38"/>
  <c r="Q275" i="38" a="1"/>
  <c r="Q275" i="38" s="1"/>
  <c r="C275" i="38"/>
  <c r="Q274" i="38" a="1"/>
  <c r="Q274" i="38" s="1"/>
  <c r="C274" i="38"/>
  <c r="Q273" i="38" a="1"/>
  <c r="Q273" i="38" s="1"/>
  <c r="C273" i="38"/>
  <c r="Q272" i="38" a="1"/>
  <c r="Q272" i="38" s="1"/>
  <c r="C272" i="38"/>
  <c r="Q271" i="38" a="1"/>
  <c r="Q271" i="38" s="1"/>
  <c r="C271" i="38"/>
  <c r="Q270" i="38" a="1"/>
  <c r="Q270" i="38" s="1"/>
  <c r="C270" i="38"/>
  <c r="Q269" i="38" a="1"/>
  <c r="Q269" i="38" s="1"/>
  <c r="C269" i="38"/>
  <c r="Q268" i="38" a="1"/>
  <c r="Q268" i="38" s="1"/>
  <c r="C268" i="38"/>
  <c r="Q267" i="38" a="1"/>
  <c r="Q267" i="38" s="1"/>
  <c r="C267" i="38"/>
  <c r="Q266" i="38" a="1"/>
  <c r="Q266" i="38" s="1"/>
  <c r="C266" i="38"/>
  <c r="Q265" i="38" a="1"/>
  <c r="Q265" i="38" s="1"/>
  <c r="C265" i="38"/>
  <c r="Q264" i="38" a="1"/>
  <c r="Q264" i="38" s="1"/>
  <c r="C264" i="38"/>
  <c r="Q263" i="38" a="1"/>
  <c r="Q263" i="38" s="1"/>
  <c r="C263" i="38"/>
  <c r="Q262" i="38" a="1"/>
  <c r="Q262" i="38" s="1"/>
  <c r="C262" i="38"/>
  <c r="Q261" i="38" a="1"/>
  <c r="Q261" i="38" s="1"/>
  <c r="C261" i="38"/>
  <c r="Q260" i="38" a="1"/>
  <c r="Q260" i="38" s="1"/>
  <c r="C260" i="38"/>
  <c r="Q259" i="38" a="1"/>
  <c r="Q259" i="38" s="1"/>
  <c r="C259" i="38"/>
  <c r="Q258" i="38" a="1"/>
  <c r="Q258" i="38" s="1"/>
  <c r="C258" i="38"/>
  <c r="Q257" i="38" a="1"/>
  <c r="Q257" i="38" s="1"/>
  <c r="C257" i="38"/>
  <c r="Q256" i="38" a="1"/>
  <c r="Q256" i="38" s="1"/>
  <c r="C256" i="38"/>
  <c r="Q255" i="38" a="1"/>
  <c r="Q255" i="38" s="1"/>
  <c r="C255" i="38"/>
  <c r="Q254" i="38" a="1"/>
  <c r="Q254" i="38" s="1"/>
  <c r="C254" i="38"/>
  <c r="Q253" i="38" a="1"/>
  <c r="Q253" i="38" s="1"/>
  <c r="C253" i="38"/>
  <c r="Q252" i="38" a="1"/>
  <c r="Q252" i="38" s="1"/>
  <c r="C252" i="38"/>
  <c r="Q251" i="38" a="1"/>
  <c r="Q251" i="38" s="1"/>
  <c r="C251" i="38"/>
  <c r="Q250" i="38" a="1"/>
  <c r="Q250" i="38" s="1"/>
  <c r="C250" i="38"/>
  <c r="Q249" i="38" a="1"/>
  <c r="Q249" i="38" s="1"/>
  <c r="C249" i="38"/>
  <c r="Q248" i="38" a="1"/>
  <c r="Q248" i="38" s="1"/>
  <c r="C248" i="38"/>
  <c r="Q247" i="38" a="1"/>
  <c r="Q247" i="38" s="1"/>
  <c r="C247" i="38"/>
  <c r="Q246" i="38" a="1"/>
  <c r="Q246" i="38" s="1"/>
  <c r="C246" i="38"/>
  <c r="Q245" i="38" a="1"/>
  <c r="Q245" i="38" s="1"/>
  <c r="C245" i="38"/>
  <c r="Q244" i="38" a="1"/>
  <c r="Q244" i="38" s="1"/>
  <c r="C244" i="38"/>
  <c r="Q243" i="38" a="1"/>
  <c r="Q243" i="38" s="1"/>
  <c r="C243" i="38"/>
  <c r="Q242" i="38" a="1"/>
  <c r="Q242" i="38" s="1"/>
  <c r="C242" i="38"/>
  <c r="Q241" i="38" a="1"/>
  <c r="Q241" i="38" s="1"/>
  <c r="C241" i="38"/>
  <c r="Q240" i="38" a="1"/>
  <c r="Q240" i="38" s="1"/>
  <c r="C240" i="38"/>
  <c r="Q239" i="38" a="1"/>
  <c r="Q239" i="38" s="1"/>
  <c r="C239" i="38"/>
  <c r="Q238" i="38" a="1"/>
  <c r="Q238" i="38" s="1"/>
  <c r="C238" i="38"/>
  <c r="Q237" i="38" a="1"/>
  <c r="Q237" i="38" s="1"/>
  <c r="C237" i="38"/>
  <c r="Q236" i="38" a="1"/>
  <c r="Q236" i="38" s="1"/>
  <c r="C236" i="38"/>
  <c r="Q235" i="38" a="1"/>
  <c r="Q235" i="38" s="1"/>
  <c r="C235" i="38"/>
  <c r="Q234" i="38" a="1"/>
  <c r="Q234" i="38" s="1"/>
  <c r="C234" i="38"/>
  <c r="Q233" i="38" a="1"/>
  <c r="Q233" i="38" s="1"/>
  <c r="C233" i="38"/>
  <c r="Q232" i="38" a="1"/>
  <c r="Q232" i="38" s="1"/>
  <c r="C232" i="38"/>
  <c r="Q231" i="38" a="1"/>
  <c r="Q231" i="38" s="1"/>
  <c r="C231" i="38"/>
  <c r="Q230" i="38" a="1"/>
  <c r="Q230" i="38" s="1"/>
  <c r="C230" i="38"/>
  <c r="Q229" i="38" a="1"/>
  <c r="Q229" i="38" s="1"/>
  <c r="C229" i="38"/>
  <c r="Q228" i="38" a="1"/>
  <c r="Q228" i="38" s="1"/>
  <c r="C228" i="38"/>
  <c r="Q227" i="38" a="1"/>
  <c r="Q227" i="38" s="1"/>
  <c r="C227" i="38"/>
  <c r="Q226" i="38" a="1"/>
  <c r="Q226" i="38" s="1"/>
  <c r="C226" i="38"/>
  <c r="Q225" i="38" a="1"/>
  <c r="Q225" i="38" s="1"/>
  <c r="C225" i="38"/>
  <c r="Q224" i="38" a="1"/>
  <c r="Q224" i="38" s="1"/>
  <c r="C224" i="38"/>
  <c r="Q223" i="38" a="1"/>
  <c r="Q223" i="38" s="1"/>
  <c r="C223" i="38"/>
  <c r="Q222" i="38" a="1"/>
  <c r="Q222" i="38" s="1"/>
  <c r="C222" i="38"/>
  <c r="Q221" i="38" a="1"/>
  <c r="Q221" i="38" s="1"/>
  <c r="C221" i="38"/>
  <c r="Q220" i="38" a="1"/>
  <c r="Q220" i="38" s="1"/>
  <c r="C220" i="38"/>
  <c r="Q219" i="38" a="1"/>
  <c r="Q219" i="38" s="1"/>
  <c r="C219" i="38"/>
  <c r="Q218" i="38" a="1"/>
  <c r="Q218" i="38" s="1"/>
  <c r="C218" i="38"/>
  <c r="Q217" i="38" a="1"/>
  <c r="Q217" i="38" s="1"/>
  <c r="C217" i="38"/>
  <c r="Q216" i="38" a="1"/>
  <c r="Q216" i="38" s="1"/>
  <c r="C216" i="38"/>
  <c r="Q215" i="38" a="1"/>
  <c r="Q215" i="38" s="1"/>
  <c r="C215" i="38"/>
  <c r="Q214" i="38" a="1"/>
  <c r="Q214" i="38" s="1"/>
  <c r="C214" i="38"/>
  <c r="Q213" i="38" a="1"/>
  <c r="Q213" i="38" s="1"/>
  <c r="C213" i="38"/>
  <c r="Q212" i="38" a="1"/>
  <c r="Q212" i="38" s="1"/>
  <c r="C212" i="38"/>
  <c r="Q211" i="38" a="1"/>
  <c r="Q211" i="38" s="1"/>
  <c r="C211" i="38"/>
  <c r="Q210" i="38" a="1"/>
  <c r="Q210" i="38" s="1"/>
  <c r="C210" i="38"/>
  <c r="Q209" i="38" a="1"/>
  <c r="Q209" i="38" s="1"/>
  <c r="C209" i="38"/>
  <c r="Q208" i="38" a="1"/>
  <c r="Q208" i="38" s="1"/>
  <c r="C208" i="38"/>
  <c r="Q207" i="38" a="1"/>
  <c r="Q207" i="38" s="1"/>
  <c r="C207" i="38"/>
  <c r="Q206" i="38" a="1"/>
  <c r="Q206" i="38" s="1"/>
  <c r="C206" i="38"/>
  <c r="Q205" i="38" a="1"/>
  <c r="Q205" i="38" s="1"/>
  <c r="C205" i="38"/>
  <c r="Q204" i="38" a="1"/>
  <c r="Q204" i="38" s="1"/>
  <c r="C204" i="38"/>
  <c r="Q203" i="38" a="1"/>
  <c r="Q203" i="38" s="1"/>
  <c r="C203" i="38"/>
  <c r="Q202" i="38" a="1"/>
  <c r="Q202" i="38" s="1"/>
  <c r="C202" i="38"/>
  <c r="Q201" i="38" a="1"/>
  <c r="Q201" i="38" s="1"/>
  <c r="C201" i="38"/>
  <c r="Q200" i="38" a="1"/>
  <c r="Q200" i="38" s="1"/>
  <c r="C200" i="38"/>
  <c r="Q199" i="38" a="1"/>
  <c r="Q199" i="38" s="1"/>
  <c r="C199" i="38"/>
  <c r="Q198" i="38" a="1"/>
  <c r="Q198" i="38" s="1"/>
  <c r="C198" i="38"/>
  <c r="Q197" i="38" a="1"/>
  <c r="Q197" i="38" s="1"/>
  <c r="C197" i="38"/>
  <c r="Q196" i="38" a="1"/>
  <c r="Q196" i="38" s="1"/>
  <c r="C196" i="38"/>
  <c r="Q195" i="38" a="1"/>
  <c r="Q195" i="38" s="1"/>
  <c r="C195" i="38"/>
  <c r="Q194" i="38" a="1"/>
  <c r="Q194" i="38" s="1"/>
  <c r="C194" i="38"/>
  <c r="Q193" i="38" a="1"/>
  <c r="Q193" i="38" s="1"/>
  <c r="C193" i="38"/>
  <c r="Q192" i="38" a="1"/>
  <c r="Q192" i="38" s="1"/>
  <c r="C192" i="38"/>
  <c r="Q191" i="38" a="1"/>
  <c r="Q191" i="38" s="1"/>
  <c r="C191" i="38"/>
  <c r="Q190" i="38" a="1"/>
  <c r="Q190" i="38" s="1"/>
  <c r="C190" i="38"/>
  <c r="Q189" i="38" a="1"/>
  <c r="Q189" i="38" s="1"/>
  <c r="C189" i="38"/>
  <c r="Q188" i="38" a="1"/>
  <c r="Q188" i="38" s="1"/>
  <c r="C188" i="38"/>
  <c r="Q187" i="38" a="1"/>
  <c r="Q187" i="38" s="1"/>
  <c r="C187" i="38"/>
  <c r="Q186" i="38" a="1"/>
  <c r="Q186" i="38" s="1"/>
  <c r="C186" i="38"/>
  <c r="Q185" i="38" a="1"/>
  <c r="Q185" i="38" s="1"/>
  <c r="C185" i="38"/>
  <c r="Q184" i="38" a="1"/>
  <c r="Q184" i="38" s="1"/>
  <c r="C184" i="38"/>
  <c r="Q183" i="38" a="1"/>
  <c r="Q183" i="38" s="1"/>
  <c r="C183" i="38"/>
  <c r="Q182" i="38" a="1"/>
  <c r="Q182" i="38" s="1"/>
  <c r="C182" i="38"/>
  <c r="Q181" i="38" a="1"/>
  <c r="Q181" i="38" s="1"/>
  <c r="C181" i="38"/>
  <c r="Q180" i="38" a="1"/>
  <c r="Q180" i="38" s="1"/>
  <c r="C180" i="38"/>
  <c r="Q179" i="38" a="1"/>
  <c r="Q179" i="38" s="1"/>
  <c r="C179" i="38"/>
  <c r="Q178" i="38" a="1"/>
  <c r="Q178" i="38" s="1"/>
  <c r="C178" i="38"/>
  <c r="Q177" i="38" a="1"/>
  <c r="Q177" i="38" s="1"/>
  <c r="C177" i="38"/>
  <c r="Q176" i="38" a="1"/>
  <c r="Q176" i="38" s="1"/>
  <c r="C176" i="38"/>
  <c r="Q175" i="38" a="1"/>
  <c r="Q175" i="38" s="1"/>
  <c r="C175" i="38"/>
  <c r="Q174" i="38" a="1"/>
  <c r="Q174" i="38" s="1"/>
  <c r="C174" i="38"/>
  <c r="Q173" i="38" a="1"/>
  <c r="Q173" i="38" s="1"/>
  <c r="C173" i="38"/>
  <c r="Q172" i="38" a="1"/>
  <c r="Q172" i="38" s="1"/>
  <c r="C172" i="38"/>
  <c r="Q171" i="38" a="1"/>
  <c r="Q171" i="38" s="1"/>
  <c r="C171" i="38"/>
  <c r="Q170" i="38" a="1"/>
  <c r="Q170" i="38" s="1"/>
  <c r="C170" i="38"/>
  <c r="Q169" i="38" a="1"/>
  <c r="Q169" i="38" s="1"/>
  <c r="C169" i="38"/>
  <c r="Q168" i="38" a="1"/>
  <c r="Q168" i="38" s="1"/>
  <c r="C168" i="38"/>
  <c r="Q167" i="38" a="1"/>
  <c r="Q167" i="38" s="1"/>
  <c r="C167" i="38"/>
  <c r="Q166" i="38" a="1"/>
  <c r="Q166" i="38" s="1"/>
  <c r="C166" i="38"/>
  <c r="Q165" i="38" a="1"/>
  <c r="Q165" i="38" s="1"/>
  <c r="C165" i="38"/>
  <c r="Q164" i="38" a="1"/>
  <c r="Q164" i="38" s="1"/>
  <c r="C164" i="38"/>
  <c r="Q163" i="38" a="1"/>
  <c r="Q163" i="38" s="1"/>
  <c r="C163" i="38"/>
  <c r="Q162" i="38" a="1"/>
  <c r="Q162" i="38" s="1"/>
  <c r="C162" i="38"/>
  <c r="Q161" i="38" a="1"/>
  <c r="Q161" i="38" s="1"/>
  <c r="C161" i="38"/>
  <c r="Q160" i="38" a="1"/>
  <c r="Q160" i="38" s="1"/>
  <c r="C160" i="38"/>
  <c r="Q159" i="38" a="1"/>
  <c r="Q159" i="38" s="1"/>
  <c r="C159" i="38"/>
  <c r="Q158" i="38" a="1"/>
  <c r="Q158" i="38" s="1"/>
  <c r="C158" i="38"/>
  <c r="Q157" i="38" a="1"/>
  <c r="Q157" i="38" s="1"/>
  <c r="C157" i="38"/>
  <c r="Q156" i="38" a="1"/>
  <c r="Q156" i="38" s="1"/>
  <c r="C156" i="38"/>
  <c r="Q155" i="38" a="1"/>
  <c r="Q155" i="38" s="1"/>
  <c r="C155" i="38"/>
  <c r="Q154" i="38" a="1"/>
  <c r="Q154" i="38" s="1"/>
  <c r="C154" i="38"/>
  <c r="Q153" i="38" a="1"/>
  <c r="Q153" i="38" s="1"/>
  <c r="C153" i="38"/>
  <c r="Q152" i="38" a="1"/>
  <c r="Q152" i="38" s="1"/>
  <c r="C152" i="38"/>
  <c r="Q151" i="38" a="1"/>
  <c r="Q151" i="38" s="1"/>
  <c r="C151" i="38"/>
  <c r="Q150" i="38" a="1"/>
  <c r="Q150" i="38" s="1"/>
  <c r="C150" i="38"/>
  <c r="Q149" i="38" a="1"/>
  <c r="Q149" i="38" s="1"/>
  <c r="C149" i="38"/>
  <c r="Q148" i="38" a="1"/>
  <c r="Q148" i="38" s="1"/>
  <c r="C148" i="38"/>
  <c r="Q147" i="38" a="1"/>
  <c r="Q147" i="38" s="1"/>
  <c r="C147" i="38"/>
  <c r="Q146" i="38" a="1"/>
  <c r="Q146" i="38" s="1"/>
  <c r="C146" i="38"/>
  <c r="Q145" i="38" a="1"/>
  <c r="Q145" i="38" s="1"/>
  <c r="C145" i="38"/>
  <c r="Q144" i="38" a="1"/>
  <c r="Q144" i="38" s="1"/>
  <c r="C144" i="38"/>
  <c r="Q143" i="38" a="1"/>
  <c r="Q143" i="38" s="1"/>
  <c r="C143" i="38"/>
  <c r="Q142" i="38" a="1"/>
  <c r="Q142" i="38" s="1"/>
  <c r="C142" i="38"/>
  <c r="Q141" i="38" a="1"/>
  <c r="Q141" i="38" s="1"/>
  <c r="C141" i="38"/>
  <c r="Q140" i="38" a="1"/>
  <c r="Q140" i="38" s="1"/>
  <c r="C140" i="38"/>
  <c r="Q139" i="38" a="1"/>
  <c r="Q139" i="38" s="1"/>
  <c r="C139" i="38"/>
  <c r="Q138" i="38" a="1"/>
  <c r="Q138" i="38" s="1"/>
  <c r="C138" i="38"/>
  <c r="Q137" i="38" a="1"/>
  <c r="Q137" i="38" s="1"/>
  <c r="C137" i="38"/>
  <c r="Q136" i="38" a="1"/>
  <c r="Q136" i="38" s="1"/>
  <c r="C136" i="38"/>
  <c r="Q135" i="38" a="1"/>
  <c r="Q135" i="38" s="1"/>
  <c r="C135" i="38"/>
  <c r="Q134" i="38" a="1"/>
  <c r="Q134" i="38" s="1"/>
  <c r="C134" i="38"/>
  <c r="Q133" i="38" a="1"/>
  <c r="Q133" i="38" s="1"/>
  <c r="C133" i="38"/>
  <c r="Q132" i="38" a="1"/>
  <c r="Q132" i="38" s="1"/>
  <c r="C132" i="38"/>
  <c r="Q131" i="38" a="1"/>
  <c r="Q131" i="38" s="1"/>
  <c r="C131" i="38"/>
  <c r="Q130" i="38" a="1"/>
  <c r="Q130" i="38" s="1"/>
  <c r="C130" i="38"/>
  <c r="Q129" i="38" a="1"/>
  <c r="Q129" i="38" s="1"/>
  <c r="C129" i="38"/>
  <c r="Q128" i="38" a="1"/>
  <c r="Q128" i="38" s="1"/>
  <c r="C128" i="38"/>
  <c r="Q127" i="38" a="1"/>
  <c r="Q127" i="38" s="1"/>
  <c r="C127" i="38"/>
  <c r="Q126" i="38" a="1"/>
  <c r="Q126" i="38" s="1"/>
  <c r="C126" i="38"/>
  <c r="Q125" i="38" a="1"/>
  <c r="Q125" i="38" s="1"/>
  <c r="C125" i="38"/>
  <c r="Q124" i="38" a="1"/>
  <c r="Q124" i="38" s="1"/>
  <c r="C124" i="38"/>
  <c r="Q123" i="38" a="1"/>
  <c r="Q123" i="38" s="1"/>
  <c r="C123" i="38"/>
  <c r="Q122" i="38" a="1"/>
  <c r="Q122" i="38" s="1"/>
  <c r="C122" i="38"/>
  <c r="Q121" i="38" a="1"/>
  <c r="Q121" i="38" s="1"/>
  <c r="C121" i="38"/>
  <c r="Q120" i="38" a="1"/>
  <c r="Q120" i="38" s="1"/>
  <c r="C120" i="38"/>
  <c r="Q119" i="38" a="1"/>
  <c r="Q119" i="38" s="1"/>
  <c r="C119" i="38"/>
  <c r="Q118" i="38" a="1"/>
  <c r="Q118" i="38" s="1"/>
  <c r="C118" i="38"/>
  <c r="Q117" i="38" a="1"/>
  <c r="Q117" i="38" s="1"/>
  <c r="C117" i="38"/>
  <c r="Q116" i="38" a="1"/>
  <c r="Q116" i="38" s="1"/>
  <c r="C116" i="38"/>
  <c r="Q115" i="38" a="1"/>
  <c r="Q115" i="38" s="1"/>
  <c r="C115" i="38"/>
  <c r="Q114" i="38" a="1"/>
  <c r="Q114" i="38" s="1"/>
  <c r="C114" i="38"/>
  <c r="Q113" i="38" a="1"/>
  <c r="Q113" i="38" s="1"/>
  <c r="C113" i="38"/>
  <c r="Q112" i="38" a="1"/>
  <c r="Q112" i="38" s="1"/>
  <c r="C112" i="38"/>
  <c r="Q111" i="38" a="1"/>
  <c r="Q111" i="38" s="1"/>
  <c r="C111" i="38"/>
  <c r="Q110" i="38" a="1"/>
  <c r="Q110" i="38" s="1"/>
  <c r="C110" i="38"/>
  <c r="Q109" i="38" a="1"/>
  <c r="Q109" i="38" s="1"/>
  <c r="C109" i="38"/>
  <c r="Q108" i="38" a="1"/>
  <c r="Q108" i="38" s="1"/>
  <c r="C108" i="38"/>
  <c r="Q107" i="38" a="1"/>
  <c r="Q107" i="38" s="1"/>
  <c r="C107" i="38"/>
  <c r="Q106" i="38" a="1"/>
  <c r="Q106" i="38" s="1"/>
  <c r="C106" i="38"/>
  <c r="Q105" i="38" a="1"/>
  <c r="Q105" i="38" s="1"/>
  <c r="C105" i="38"/>
  <c r="Q104" i="38" a="1"/>
  <c r="Q104" i="38" s="1"/>
  <c r="C104" i="38"/>
  <c r="Q103" i="38" a="1"/>
  <c r="Q103" i="38" s="1"/>
  <c r="C103" i="38"/>
  <c r="Q102" i="38" a="1"/>
  <c r="Q102" i="38" s="1"/>
  <c r="C102" i="38"/>
  <c r="Q101" i="38" a="1"/>
  <c r="Q101" i="38" s="1"/>
  <c r="C101" i="38"/>
  <c r="Q100" i="38" a="1"/>
  <c r="Q100" i="38" s="1"/>
  <c r="C100" i="38"/>
  <c r="Q99" i="38" a="1"/>
  <c r="Q99" i="38" s="1"/>
  <c r="C99" i="38"/>
  <c r="Q98" i="38" a="1"/>
  <c r="Q98" i="38" s="1"/>
  <c r="C98" i="38"/>
  <c r="Q97" i="38" a="1"/>
  <c r="Q97" i="38" s="1"/>
  <c r="C97" i="38"/>
  <c r="Q96" i="38" a="1"/>
  <c r="Q96" i="38" s="1"/>
  <c r="C96" i="38"/>
  <c r="Q95" i="38" a="1"/>
  <c r="Q95" i="38" s="1"/>
  <c r="C95" i="38"/>
  <c r="Q94" i="38" a="1"/>
  <c r="Q94" i="38" s="1"/>
  <c r="C94" i="38"/>
  <c r="Q93" i="38" a="1"/>
  <c r="Q93" i="38" s="1"/>
  <c r="C93" i="38"/>
  <c r="Q92" i="38" a="1"/>
  <c r="Q92" i="38" s="1"/>
  <c r="C92" i="38"/>
  <c r="Q91" i="38" a="1"/>
  <c r="Q91" i="38" s="1"/>
  <c r="C91" i="38"/>
  <c r="Q90" i="38" a="1"/>
  <c r="Q90" i="38" s="1"/>
  <c r="C90" i="38"/>
  <c r="Q89" i="38" a="1"/>
  <c r="Q89" i="38" s="1"/>
  <c r="C89" i="38"/>
  <c r="Q88" i="38" a="1"/>
  <c r="Q88" i="38" s="1"/>
  <c r="C88" i="38"/>
  <c r="Q87" i="38" a="1"/>
  <c r="Q87" i="38" s="1"/>
  <c r="C87" i="38"/>
  <c r="Q86" i="38" a="1"/>
  <c r="Q86" i="38" s="1"/>
  <c r="C86" i="38"/>
  <c r="Q85" i="38" a="1"/>
  <c r="Q85" i="38" s="1"/>
  <c r="C85" i="38"/>
  <c r="Q84" i="38" a="1"/>
  <c r="Q84" i="38" s="1"/>
  <c r="C84" i="38"/>
  <c r="Q83" i="38" a="1"/>
  <c r="Q83" i="38" s="1"/>
  <c r="C83" i="38"/>
  <c r="Q82" i="38" a="1"/>
  <c r="Q82" i="38" s="1"/>
  <c r="C82" i="38"/>
  <c r="Q81" i="38" a="1"/>
  <c r="Q81" i="38" s="1"/>
  <c r="C81" i="38"/>
  <c r="Q80" i="38" a="1"/>
  <c r="Q80" i="38" s="1"/>
  <c r="C80" i="38"/>
  <c r="Q79" i="38" a="1"/>
  <c r="Q79" i="38" s="1"/>
  <c r="C79" i="38"/>
  <c r="Q78" i="38" a="1"/>
  <c r="Q78" i="38" s="1"/>
  <c r="C78" i="38"/>
  <c r="Q77" i="38" a="1"/>
  <c r="Q77" i="38" s="1"/>
  <c r="C77" i="38"/>
  <c r="Q76" i="38" a="1"/>
  <c r="Q76" i="38" s="1"/>
  <c r="C76" i="38"/>
  <c r="Q438" i="37" a="1"/>
  <c r="Q438" i="37" s="1"/>
  <c r="C438" i="37"/>
  <c r="Q437" i="37" a="1"/>
  <c r="Q437" i="37" s="1"/>
  <c r="C437" i="37"/>
  <c r="Q436" i="37" a="1"/>
  <c r="Q436" i="37" s="1"/>
  <c r="C436" i="37"/>
  <c r="Q435" i="37" a="1"/>
  <c r="Q435" i="37" s="1"/>
  <c r="C435" i="37"/>
  <c r="Q434" i="37" a="1"/>
  <c r="Q434" i="37" s="1"/>
  <c r="C434" i="37"/>
  <c r="Q433" i="37" a="1"/>
  <c r="Q433" i="37" s="1"/>
  <c r="C433" i="37"/>
  <c r="Q432" i="37" a="1"/>
  <c r="Q432" i="37" s="1"/>
  <c r="C432" i="37"/>
  <c r="Q431" i="37" a="1"/>
  <c r="Q431" i="37" s="1"/>
  <c r="C431" i="37"/>
  <c r="Q430" i="37" a="1"/>
  <c r="Q430" i="37" s="1"/>
  <c r="C430" i="37"/>
  <c r="Q429" i="37" a="1"/>
  <c r="Q429" i="37" s="1"/>
  <c r="C429" i="37"/>
  <c r="Q428" i="37" a="1"/>
  <c r="Q428" i="37" s="1"/>
  <c r="C428" i="37"/>
  <c r="Q427" i="37" a="1"/>
  <c r="Q427" i="37" s="1"/>
  <c r="C427" i="37"/>
  <c r="Q426" i="37" a="1"/>
  <c r="Q426" i="37" s="1"/>
  <c r="C426" i="37"/>
  <c r="Q425" i="37" a="1"/>
  <c r="Q425" i="37" s="1"/>
  <c r="C425" i="37"/>
  <c r="Q424" i="37" a="1"/>
  <c r="Q424" i="37" s="1"/>
  <c r="C424" i="37"/>
  <c r="Q423" i="37" a="1"/>
  <c r="Q423" i="37" s="1"/>
  <c r="C423" i="37"/>
  <c r="Q422" i="37" a="1"/>
  <c r="Q422" i="37" s="1"/>
  <c r="C422" i="37"/>
  <c r="Q421" i="37" a="1"/>
  <c r="Q421" i="37" s="1"/>
  <c r="C421" i="37"/>
  <c r="Q420" i="37" a="1"/>
  <c r="Q420" i="37" s="1"/>
  <c r="C420" i="37"/>
  <c r="Q419" i="37" a="1"/>
  <c r="Q419" i="37" s="1"/>
  <c r="C419" i="37"/>
  <c r="Q418" i="37" a="1"/>
  <c r="Q418" i="37" s="1"/>
  <c r="C418" i="37"/>
  <c r="Q417" i="37" a="1"/>
  <c r="Q417" i="37" s="1"/>
  <c r="C417" i="37"/>
  <c r="Q416" i="37" a="1"/>
  <c r="Q416" i="37" s="1"/>
  <c r="C416" i="37"/>
  <c r="Q415" i="37" a="1"/>
  <c r="Q415" i="37" s="1"/>
  <c r="C415" i="37"/>
  <c r="Q414" i="37" a="1"/>
  <c r="Q414" i="37" s="1"/>
  <c r="C414" i="37"/>
  <c r="Q413" i="37" a="1"/>
  <c r="Q413" i="37" s="1"/>
  <c r="C413" i="37"/>
  <c r="Q412" i="37" a="1"/>
  <c r="Q412" i="37" s="1"/>
  <c r="C412" i="37"/>
  <c r="Q411" i="37" a="1"/>
  <c r="Q411" i="37" s="1"/>
  <c r="C411" i="37"/>
  <c r="Q410" i="37" a="1"/>
  <c r="Q410" i="37" s="1"/>
  <c r="C410" i="37"/>
  <c r="Q409" i="37" a="1"/>
  <c r="Q409" i="37" s="1"/>
  <c r="C409" i="37"/>
  <c r="Q408" i="37" a="1"/>
  <c r="Q408" i="37" s="1"/>
  <c r="C408" i="37"/>
  <c r="Q407" i="37" a="1"/>
  <c r="Q407" i="37" s="1"/>
  <c r="C407" i="37"/>
  <c r="Q406" i="37" a="1"/>
  <c r="Q406" i="37" s="1"/>
  <c r="C406" i="37"/>
  <c r="Q405" i="37" a="1"/>
  <c r="Q405" i="37" s="1"/>
  <c r="C405" i="37"/>
  <c r="Q404" i="37" a="1"/>
  <c r="Q404" i="37" s="1"/>
  <c r="C404" i="37"/>
  <c r="Q403" i="37" a="1"/>
  <c r="Q403" i="37" s="1"/>
  <c r="C403" i="37"/>
  <c r="Q402" i="37" a="1"/>
  <c r="Q402" i="37" s="1"/>
  <c r="C402" i="37"/>
  <c r="Q401" i="37" a="1"/>
  <c r="Q401" i="37" s="1"/>
  <c r="C401" i="37"/>
  <c r="Q400" i="37" a="1"/>
  <c r="Q400" i="37" s="1"/>
  <c r="C400" i="37"/>
  <c r="Q399" i="37" a="1"/>
  <c r="Q399" i="37" s="1"/>
  <c r="C399" i="37"/>
  <c r="Q398" i="37" a="1"/>
  <c r="Q398" i="37" s="1"/>
  <c r="C398" i="37"/>
  <c r="Q397" i="37" a="1"/>
  <c r="Q397" i="37" s="1"/>
  <c r="C397" i="37"/>
  <c r="Q396" i="37" a="1"/>
  <c r="Q396" i="37" s="1"/>
  <c r="C396" i="37"/>
  <c r="Q395" i="37" a="1"/>
  <c r="Q395" i="37" s="1"/>
  <c r="C395" i="37"/>
  <c r="Q394" i="37" a="1"/>
  <c r="Q394" i="37" s="1"/>
  <c r="C394" i="37"/>
  <c r="Q393" i="37" a="1"/>
  <c r="Q393" i="37" s="1"/>
  <c r="C393" i="37"/>
  <c r="Q392" i="37" a="1"/>
  <c r="Q392" i="37" s="1"/>
  <c r="C392" i="37"/>
  <c r="Q391" i="37" a="1"/>
  <c r="Q391" i="37" s="1"/>
  <c r="C391" i="37"/>
  <c r="Q390" i="37" a="1"/>
  <c r="Q390" i="37" s="1"/>
  <c r="C390" i="37"/>
  <c r="Q389" i="37" a="1"/>
  <c r="Q389" i="37" s="1"/>
  <c r="C389" i="37"/>
  <c r="Q388" i="37" a="1"/>
  <c r="Q388" i="37" s="1"/>
  <c r="C388" i="37"/>
  <c r="Q387" i="37" a="1"/>
  <c r="Q387" i="37" s="1"/>
  <c r="C387" i="37"/>
  <c r="Q386" i="37" a="1"/>
  <c r="Q386" i="37" s="1"/>
  <c r="C386" i="37"/>
  <c r="Q385" i="37" a="1"/>
  <c r="Q385" i="37" s="1"/>
  <c r="C385" i="37"/>
  <c r="Q384" i="37" a="1"/>
  <c r="Q384" i="37" s="1"/>
  <c r="C384" i="37"/>
  <c r="Q383" i="37" a="1"/>
  <c r="Q383" i="37" s="1"/>
  <c r="C383" i="37"/>
  <c r="Q382" i="37" a="1"/>
  <c r="Q382" i="37" s="1"/>
  <c r="C382" i="37"/>
  <c r="Q381" i="37" a="1"/>
  <c r="Q381" i="37" s="1"/>
  <c r="C381" i="37"/>
  <c r="Q380" i="37" a="1"/>
  <c r="Q380" i="37" s="1"/>
  <c r="C380" i="37"/>
  <c r="Q379" i="37" a="1"/>
  <c r="Q379" i="37" s="1"/>
  <c r="C379" i="37"/>
  <c r="Q378" i="37" a="1"/>
  <c r="Q378" i="37" s="1"/>
  <c r="C378" i="37"/>
  <c r="Q377" i="37" a="1"/>
  <c r="Q377" i="37" s="1"/>
  <c r="C377" i="37"/>
  <c r="Q376" i="37" a="1"/>
  <c r="Q376" i="37" s="1"/>
  <c r="C376" i="37"/>
  <c r="Q375" i="37" a="1"/>
  <c r="Q375" i="37" s="1"/>
  <c r="C375" i="37"/>
  <c r="Q374" i="37" a="1"/>
  <c r="Q374" i="37" s="1"/>
  <c r="C374" i="37"/>
  <c r="Q373" i="37" a="1"/>
  <c r="Q373" i="37" s="1"/>
  <c r="C373" i="37"/>
  <c r="Q372" i="37" a="1"/>
  <c r="Q372" i="37" s="1"/>
  <c r="C372" i="37"/>
  <c r="Q371" i="37" a="1"/>
  <c r="Q371" i="37" s="1"/>
  <c r="C371" i="37"/>
  <c r="Q370" i="37" a="1"/>
  <c r="Q370" i="37" s="1"/>
  <c r="C370" i="37"/>
  <c r="Q369" i="37" a="1"/>
  <c r="Q369" i="37" s="1"/>
  <c r="C369" i="37"/>
  <c r="Q368" i="37" a="1"/>
  <c r="Q368" i="37" s="1"/>
  <c r="C368" i="37"/>
  <c r="Q367" i="37" a="1"/>
  <c r="Q367" i="37" s="1"/>
  <c r="C367" i="37"/>
  <c r="Q366" i="37" a="1"/>
  <c r="Q366" i="37" s="1"/>
  <c r="C366" i="37"/>
  <c r="Q365" i="37" a="1"/>
  <c r="Q365" i="37" s="1"/>
  <c r="C365" i="37"/>
  <c r="Q364" i="37" a="1"/>
  <c r="Q364" i="37" s="1"/>
  <c r="C364" i="37"/>
  <c r="Q363" i="37" a="1"/>
  <c r="Q363" i="37" s="1"/>
  <c r="C363" i="37"/>
  <c r="Q362" i="37" a="1"/>
  <c r="Q362" i="37" s="1"/>
  <c r="C362" i="37"/>
  <c r="Q361" i="37" a="1"/>
  <c r="Q361" i="37" s="1"/>
  <c r="C361" i="37"/>
  <c r="Q360" i="37" a="1"/>
  <c r="Q360" i="37" s="1"/>
  <c r="C360" i="37"/>
  <c r="Q359" i="37" a="1"/>
  <c r="Q359" i="37" s="1"/>
  <c r="C359" i="37"/>
  <c r="Q358" i="37" a="1"/>
  <c r="Q358" i="37" s="1"/>
  <c r="C358" i="37"/>
  <c r="Q357" i="37" a="1"/>
  <c r="Q357" i="37" s="1"/>
  <c r="C357" i="37"/>
  <c r="Q356" i="37" a="1"/>
  <c r="Q356" i="37" s="1"/>
  <c r="C356" i="37"/>
  <c r="Q355" i="37" a="1"/>
  <c r="Q355" i="37" s="1"/>
  <c r="C355" i="37"/>
  <c r="Q354" i="37" a="1"/>
  <c r="Q354" i="37" s="1"/>
  <c r="C354" i="37"/>
  <c r="Q353" i="37" a="1"/>
  <c r="Q353" i="37" s="1"/>
  <c r="C353" i="37"/>
  <c r="Q352" i="37" a="1"/>
  <c r="Q352" i="37" s="1"/>
  <c r="C352" i="37"/>
  <c r="Q351" i="37" a="1"/>
  <c r="Q351" i="37" s="1"/>
  <c r="C351" i="37"/>
  <c r="Q350" i="37" a="1"/>
  <c r="Q350" i="37" s="1"/>
  <c r="C350" i="37"/>
  <c r="Q349" i="37" a="1"/>
  <c r="Q349" i="37" s="1"/>
  <c r="C349" i="37"/>
  <c r="Q348" i="37" a="1"/>
  <c r="Q348" i="37" s="1"/>
  <c r="C348" i="37"/>
  <c r="Q347" i="37" a="1"/>
  <c r="Q347" i="37" s="1"/>
  <c r="C347" i="37"/>
  <c r="Q346" i="37" a="1"/>
  <c r="Q346" i="37" s="1"/>
  <c r="C346" i="37"/>
  <c r="Q345" i="37" a="1"/>
  <c r="Q345" i="37" s="1"/>
  <c r="C345" i="37"/>
  <c r="Q344" i="37" a="1"/>
  <c r="Q344" i="37" s="1"/>
  <c r="C344" i="37"/>
  <c r="Q343" i="37" a="1"/>
  <c r="Q343" i="37" s="1"/>
  <c r="C343" i="37"/>
  <c r="Q342" i="37" a="1"/>
  <c r="Q342" i="37" s="1"/>
  <c r="C342" i="37"/>
  <c r="Q341" i="37" a="1"/>
  <c r="Q341" i="37" s="1"/>
  <c r="C341" i="37"/>
  <c r="Q340" i="37" a="1"/>
  <c r="Q340" i="37" s="1"/>
  <c r="C340" i="37"/>
  <c r="Q339" i="37" a="1"/>
  <c r="Q339" i="37" s="1"/>
  <c r="C339" i="37"/>
  <c r="Q338" i="37" a="1"/>
  <c r="Q338" i="37" s="1"/>
  <c r="C338" i="37"/>
  <c r="Q337" i="37" a="1"/>
  <c r="Q337" i="37" s="1"/>
  <c r="C337" i="37"/>
  <c r="Q336" i="37" a="1"/>
  <c r="Q336" i="37" s="1"/>
  <c r="C336" i="37"/>
  <c r="Q335" i="37" a="1"/>
  <c r="Q335" i="37" s="1"/>
  <c r="C335" i="37"/>
  <c r="Q334" i="37" a="1"/>
  <c r="Q334" i="37" s="1"/>
  <c r="C334" i="37"/>
  <c r="Q333" i="37" a="1"/>
  <c r="Q333" i="37" s="1"/>
  <c r="C333" i="37"/>
  <c r="Q332" i="37" a="1"/>
  <c r="Q332" i="37" s="1"/>
  <c r="C332" i="37"/>
  <c r="Q331" i="37" a="1"/>
  <c r="Q331" i="37" s="1"/>
  <c r="C331" i="37"/>
  <c r="Q330" i="37" a="1"/>
  <c r="Q330" i="37" s="1"/>
  <c r="C330" i="37"/>
  <c r="Q329" i="37" a="1"/>
  <c r="Q329" i="37" s="1"/>
  <c r="C329" i="37"/>
  <c r="Q328" i="37" a="1"/>
  <c r="Q328" i="37" s="1"/>
  <c r="C328" i="37"/>
  <c r="Q327" i="37" a="1"/>
  <c r="Q327" i="37" s="1"/>
  <c r="C327" i="37"/>
  <c r="Q326" i="37" a="1"/>
  <c r="Q326" i="37" s="1"/>
  <c r="C326" i="37"/>
  <c r="Q325" i="37" a="1"/>
  <c r="Q325" i="37" s="1"/>
  <c r="C325" i="37"/>
  <c r="Q324" i="37" a="1"/>
  <c r="Q324" i="37" s="1"/>
  <c r="C324" i="37"/>
  <c r="Q323" i="37" a="1"/>
  <c r="Q323" i="37" s="1"/>
  <c r="C323" i="37"/>
  <c r="Q322" i="37" a="1"/>
  <c r="Q322" i="37" s="1"/>
  <c r="C322" i="37"/>
  <c r="Q321" i="37" a="1"/>
  <c r="Q321" i="37" s="1"/>
  <c r="C321" i="37"/>
  <c r="Q320" i="37" a="1"/>
  <c r="Q320" i="37" s="1"/>
  <c r="C320" i="37"/>
  <c r="Q319" i="37" a="1"/>
  <c r="Q319" i="37" s="1"/>
  <c r="C319" i="37"/>
  <c r="Q318" i="37" a="1"/>
  <c r="Q318" i="37" s="1"/>
  <c r="C318" i="37"/>
  <c r="Q317" i="37" a="1"/>
  <c r="Q317" i="37" s="1"/>
  <c r="C317" i="37"/>
  <c r="Q316" i="37" a="1"/>
  <c r="Q316" i="37" s="1"/>
  <c r="C316" i="37"/>
  <c r="Q315" i="37" a="1"/>
  <c r="Q315" i="37" s="1"/>
  <c r="C315" i="37"/>
  <c r="Q314" i="37" a="1"/>
  <c r="Q314" i="37" s="1"/>
  <c r="C314" i="37"/>
  <c r="Q313" i="37" a="1"/>
  <c r="Q313" i="37" s="1"/>
  <c r="C313" i="37"/>
  <c r="Q312" i="37" a="1"/>
  <c r="Q312" i="37" s="1"/>
  <c r="C312" i="37"/>
  <c r="Q311" i="37" a="1"/>
  <c r="Q311" i="37" s="1"/>
  <c r="C311" i="37"/>
  <c r="Q310" i="37" a="1"/>
  <c r="Q310" i="37" s="1"/>
  <c r="C310" i="37"/>
  <c r="Q309" i="37" a="1"/>
  <c r="Q309" i="37" s="1"/>
  <c r="C309" i="37"/>
  <c r="Q308" i="37" a="1"/>
  <c r="Q308" i="37" s="1"/>
  <c r="C308" i="37"/>
  <c r="Q307" i="37" a="1"/>
  <c r="Q307" i="37" s="1"/>
  <c r="C307" i="37"/>
  <c r="Q306" i="37" a="1"/>
  <c r="Q306" i="37" s="1"/>
  <c r="C306" i="37"/>
  <c r="Q305" i="37" a="1"/>
  <c r="Q305" i="37" s="1"/>
  <c r="C305" i="37"/>
  <c r="Q304" i="37" a="1"/>
  <c r="Q304" i="37" s="1"/>
  <c r="C304" i="37"/>
  <c r="Q303" i="37" a="1"/>
  <c r="Q303" i="37" s="1"/>
  <c r="C303" i="37"/>
  <c r="Q302" i="37" a="1"/>
  <c r="Q302" i="37" s="1"/>
  <c r="C302" i="37"/>
  <c r="Q301" i="37" a="1"/>
  <c r="Q301" i="37" s="1"/>
  <c r="C301" i="37"/>
  <c r="Q300" i="37" a="1"/>
  <c r="Q300" i="37" s="1"/>
  <c r="C300" i="37"/>
  <c r="Q299" i="37" a="1"/>
  <c r="Q299" i="37" s="1"/>
  <c r="C299" i="37"/>
  <c r="Q298" i="37" a="1"/>
  <c r="Q298" i="37" s="1"/>
  <c r="C298" i="37"/>
  <c r="Q297" i="37" a="1"/>
  <c r="Q297" i="37" s="1"/>
  <c r="C297" i="37"/>
  <c r="Q296" i="37" a="1"/>
  <c r="Q296" i="37" s="1"/>
  <c r="C296" i="37"/>
  <c r="Q295" i="37" a="1"/>
  <c r="Q295" i="37" s="1"/>
  <c r="C295" i="37"/>
  <c r="Q294" i="37" a="1"/>
  <c r="Q294" i="37" s="1"/>
  <c r="C294" i="37"/>
  <c r="Q293" i="37" a="1"/>
  <c r="Q293" i="37" s="1"/>
  <c r="C293" i="37"/>
  <c r="Q292" i="37" a="1"/>
  <c r="Q292" i="37" s="1"/>
  <c r="C292" i="37"/>
  <c r="Q291" i="37" a="1"/>
  <c r="Q291" i="37" s="1"/>
  <c r="C291" i="37"/>
  <c r="Q290" i="37" a="1"/>
  <c r="Q290" i="37" s="1"/>
  <c r="C290" i="37"/>
  <c r="Q289" i="37" a="1"/>
  <c r="Q289" i="37" s="1"/>
  <c r="C289" i="37"/>
  <c r="Q288" i="37" a="1"/>
  <c r="Q288" i="37" s="1"/>
  <c r="C288" i="37"/>
  <c r="Q287" i="37" a="1"/>
  <c r="Q287" i="37" s="1"/>
  <c r="C287" i="37"/>
  <c r="Q286" i="37" a="1"/>
  <c r="Q286" i="37" s="1"/>
  <c r="C286" i="37"/>
  <c r="Q285" i="37" a="1"/>
  <c r="Q285" i="37" s="1"/>
  <c r="C285" i="37"/>
  <c r="Q284" i="37" a="1"/>
  <c r="Q284" i="37" s="1"/>
  <c r="C284" i="37"/>
  <c r="Q283" i="37" a="1"/>
  <c r="Q283" i="37" s="1"/>
  <c r="C283" i="37"/>
  <c r="Q282" i="37" a="1"/>
  <c r="Q282" i="37" s="1"/>
  <c r="C282" i="37"/>
  <c r="Q281" i="37" a="1"/>
  <c r="Q281" i="37" s="1"/>
  <c r="C281" i="37"/>
  <c r="Q280" i="37" a="1"/>
  <c r="Q280" i="37" s="1"/>
  <c r="C280" i="37"/>
  <c r="Q279" i="37" a="1"/>
  <c r="Q279" i="37" s="1"/>
  <c r="C279" i="37"/>
  <c r="Q278" i="37" a="1"/>
  <c r="Q278" i="37" s="1"/>
  <c r="C278" i="37"/>
  <c r="Q277" i="37" a="1"/>
  <c r="Q277" i="37" s="1"/>
  <c r="C277" i="37"/>
  <c r="Q276" i="37" a="1"/>
  <c r="Q276" i="37" s="1"/>
  <c r="C276" i="37"/>
  <c r="Q275" i="37" a="1"/>
  <c r="Q275" i="37" s="1"/>
  <c r="C275" i="37"/>
  <c r="Q274" i="37" a="1"/>
  <c r="Q274" i="37" s="1"/>
  <c r="C274" i="37"/>
  <c r="Q273" i="37" a="1"/>
  <c r="Q273" i="37" s="1"/>
  <c r="C273" i="37"/>
  <c r="Q272" i="37" a="1"/>
  <c r="Q272" i="37" s="1"/>
  <c r="C272" i="37"/>
  <c r="Q271" i="37" a="1"/>
  <c r="Q271" i="37" s="1"/>
  <c r="C271" i="37"/>
  <c r="Q270" i="37" a="1"/>
  <c r="Q270" i="37" s="1"/>
  <c r="C270" i="37"/>
  <c r="Q269" i="37" a="1"/>
  <c r="Q269" i="37" s="1"/>
  <c r="C269" i="37"/>
  <c r="Q268" i="37" a="1"/>
  <c r="Q268" i="37" s="1"/>
  <c r="C268" i="37"/>
  <c r="Q267" i="37" a="1"/>
  <c r="Q267" i="37" s="1"/>
  <c r="C267" i="37"/>
  <c r="Q266" i="37" a="1"/>
  <c r="Q266" i="37" s="1"/>
  <c r="C266" i="37"/>
  <c r="Q265" i="37" a="1"/>
  <c r="Q265" i="37" s="1"/>
  <c r="C265" i="37"/>
  <c r="Q264" i="37" a="1"/>
  <c r="Q264" i="37" s="1"/>
  <c r="C264" i="37"/>
  <c r="Q263" i="37" a="1"/>
  <c r="Q263" i="37" s="1"/>
  <c r="C263" i="37"/>
  <c r="Q262" i="37" a="1"/>
  <c r="Q262" i="37" s="1"/>
  <c r="C262" i="37"/>
  <c r="Q261" i="37" a="1"/>
  <c r="Q261" i="37" s="1"/>
  <c r="C261" i="37"/>
  <c r="Q260" i="37" a="1"/>
  <c r="Q260" i="37" s="1"/>
  <c r="C260" i="37"/>
  <c r="Q259" i="37" a="1"/>
  <c r="Q259" i="37" s="1"/>
  <c r="C259" i="37"/>
  <c r="Q258" i="37" a="1"/>
  <c r="Q258" i="37" s="1"/>
  <c r="C258" i="37"/>
  <c r="Q257" i="37" a="1"/>
  <c r="Q257" i="37" s="1"/>
  <c r="C257" i="37"/>
  <c r="Q256" i="37" a="1"/>
  <c r="Q256" i="37" s="1"/>
  <c r="C256" i="37"/>
  <c r="Q255" i="37" a="1"/>
  <c r="Q255" i="37" s="1"/>
  <c r="C255" i="37"/>
  <c r="Q254" i="37" a="1"/>
  <c r="Q254" i="37" s="1"/>
  <c r="C254" i="37"/>
  <c r="Q253" i="37" a="1"/>
  <c r="Q253" i="37" s="1"/>
  <c r="C253" i="37"/>
  <c r="Q252" i="37" a="1"/>
  <c r="Q252" i="37" s="1"/>
  <c r="C252" i="37"/>
  <c r="Q251" i="37" a="1"/>
  <c r="Q251" i="37" s="1"/>
  <c r="C251" i="37"/>
  <c r="Q250" i="37" a="1"/>
  <c r="Q250" i="37" s="1"/>
  <c r="C250" i="37"/>
  <c r="Q249" i="37" a="1"/>
  <c r="Q249" i="37" s="1"/>
  <c r="C249" i="37"/>
  <c r="Q248" i="37" a="1"/>
  <c r="Q248" i="37" s="1"/>
  <c r="C248" i="37"/>
  <c r="Q247" i="37" a="1"/>
  <c r="Q247" i="37" s="1"/>
  <c r="C247" i="37"/>
  <c r="Q246" i="37" a="1"/>
  <c r="Q246" i="37" s="1"/>
  <c r="C246" i="37"/>
  <c r="Q245" i="37" a="1"/>
  <c r="Q245" i="37" s="1"/>
  <c r="C245" i="37"/>
  <c r="Q244" i="37" a="1"/>
  <c r="Q244" i="37" s="1"/>
  <c r="C244" i="37"/>
  <c r="Q243" i="37" a="1"/>
  <c r="Q243" i="37" s="1"/>
  <c r="C243" i="37"/>
  <c r="Q242" i="37" a="1"/>
  <c r="Q242" i="37" s="1"/>
  <c r="C242" i="37"/>
  <c r="Q241" i="37" a="1"/>
  <c r="Q241" i="37" s="1"/>
  <c r="C241" i="37"/>
  <c r="Q240" i="37" a="1"/>
  <c r="Q240" i="37" s="1"/>
  <c r="C240" i="37"/>
  <c r="Q239" i="37" a="1"/>
  <c r="Q239" i="37" s="1"/>
  <c r="C239" i="37"/>
  <c r="Q238" i="37" a="1"/>
  <c r="Q238" i="37" s="1"/>
  <c r="C238" i="37"/>
  <c r="Q237" i="37" a="1"/>
  <c r="Q237" i="37" s="1"/>
  <c r="C237" i="37"/>
  <c r="Q236" i="37" a="1"/>
  <c r="Q236" i="37" s="1"/>
  <c r="C236" i="37"/>
  <c r="Q235" i="37" a="1"/>
  <c r="Q235" i="37" s="1"/>
  <c r="C235" i="37"/>
  <c r="Q234" i="37" a="1"/>
  <c r="Q234" i="37" s="1"/>
  <c r="C234" i="37"/>
  <c r="Q233" i="37" a="1"/>
  <c r="Q233" i="37" s="1"/>
  <c r="C233" i="37"/>
  <c r="Q232" i="37" a="1"/>
  <c r="Q232" i="37" s="1"/>
  <c r="C232" i="37"/>
  <c r="Q231" i="37" a="1"/>
  <c r="Q231" i="37" s="1"/>
  <c r="C231" i="37"/>
  <c r="Q230" i="37" a="1"/>
  <c r="Q230" i="37" s="1"/>
  <c r="C230" i="37"/>
  <c r="Q229" i="37" a="1"/>
  <c r="Q229" i="37" s="1"/>
  <c r="C229" i="37"/>
  <c r="Q228" i="37" a="1"/>
  <c r="Q228" i="37" s="1"/>
  <c r="C228" i="37"/>
  <c r="Q227" i="37" a="1"/>
  <c r="Q227" i="37" s="1"/>
  <c r="C227" i="37"/>
  <c r="Q226" i="37" a="1"/>
  <c r="Q226" i="37" s="1"/>
  <c r="C226" i="37"/>
  <c r="Q225" i="37" a="1"/>
  <c r="Q225" i="37" s="1"/>
  <c r="C225" i="37"/>
  <c r="Q224" i="37" a="1"/>
  <c r="Q224" i="37" s="1"/>
  <c r="C224" i="37"/>
  <c r="Q223" i="37" a="1"/>
  <c r="Q223" i="37" s="1"/>
  <c r="C223" i="37"/>
  <c r="Q222" i="37" a="1"/>
  <c r="Q222" i="37" s="1"/>
  <c r="C222" i="37"/>
  <c r="Q221" i="37" a="1"/>
  <c r="Q221" i="37" s="1"/>
  <c r="C221" i="37"/>
  <c r="Q220" i="37" a="1"/>
  <c r="Q220" i="37" s="1"/>
  <c r="C220" i="37"/>
  <c r="Q219" i="37" a="1"/>
  <c r="Q219" i="37" s="1"/>
  <c r="C219" i="37"/>
  <c r="Q218" i="37" a="1"/>
  <c r="Q218" i="37" s="1"/>
  <c r="C218" i="37"/>
  <c r="Q217" i="37" a="1"/>
  <c r="Q217" i="37" s="1"/>
  <c r="C217" i="37"/>
  <c r="Q216" i="37" a="1"/>
  <c r="Q216" i="37" s="1"/>
  <c r="C216" i="37"/>
  <c r="Q215" i="37" a="1"/>
  <c r="Q215" i="37" s="1"/>
  <c r="C215" i="37"/>
  <c r="Q214" i="37" a="1"/>
  <c r="Q214" i="37" s="1"/>
  <c r="C214" i="37"/>
  <c r="Q213" i="37" a="1"/>
  <c r="Q213" i="37" s="1"/>
  <c r="C213" i="37"/>
  <c r="Q212" i="37" a="1"/>
  <c r="Q212" i="37" s="1"/>
  <c r="C212" i="37"/>
  <c r="Q211" i="37" a="1"/>
  <c r="Q211" i="37" s="1"/>
  <c r="C211" i="37"/>
  <c r="Q210" i="37" a="1"/>
  <c r="Q210" i="37" s="1"/>
  <c r="C210" i="37"/>
  <c r="Q209" i="37" a="1"/>
  <c r="Q209" i="37" s="1"/>
  <c r="C209" i="37"/>
  <c r="Q208" i="37" a="1"/>
  <c r="Q208" i="37" s="1"/>
  <c r="C208" i="37"/>
  <c r="Q207" i="37" a="1"/>
  <c r="Q207" i="37" s="1"/>
  <c r="C207" i="37"/>
  <c r="Q206" i="37" a="1"/>
  <c r="Q206" i="37" s="1"/>
  <c r="C206" i="37"/>
  <c r="Q205" i="37" a="1"/>
  <c r="Q205" i="37" s="1"/>
  <c r="C205" i="37"/>
  <c r="Q204" i="37" a="1"/>
  <c r="Q204" i="37" s="1"/>
  <c r="C204" i="37"/>
  <c r="Q203" i="37" a="1"/>
  <c r="Q203" i="37" s="1"/>
  <c r="C203" i="37"/>
  <c r="Q202" i="37" a="1"/>
  <c r="Q202" i="37" s="1"/>
  <c r="C202" i="37"/>
  <c r="Q201" i="37" a="1"/>
  <c r="Q201" i="37" s="1"/>
  <c r="C201" i="37"/>
  <c r="Q200" i="37" a="1"/>
  <c r="Q200" i="37" s="1"/>
  <c r="C200" i="37"/>
  <c r="Q199" i="37" a="1"/>
  <c r="Q199" i="37" s="1"/>
  <c r="C199" i="37"/>
  <c r="Q198" i="37" a="1"/>
  <c r="Q198" i="37" s="1"/>
  <c r="C198" i="37"/>
  <c r="Q197" i="37" a="1"/>
  <c r="Q197" i="37" s="1"/>
  <c r="C197" i="37"/>
  <c r="Q196" i="37" a="1"/>
  <c r="Q196" i="37" s="1"/>
  <c r="C196" i="37"/>
  <c r="Q195" i="37" a="1"/>
  <c r="Q195" i="37" s="1"/>
  <c r="C195" i="37"/>
  <c r="Q194" i="37" a="1"/>
  <c r="Q194" i="37" s="1"/>
  <c r="C194" i="37"/>
  <c r="Q193" i="37" a="1"/>
  <c r="Q193" i="37" s="1"/>
  <c r="C193" i="37"/>
  <c r="Q192" i="37" a="1"/>
  <c r="Q192" i="37" s="1"/>
  <c r="C192" i="37"/>
  <c r="Q191" i="37" a="1"/>
  <c r="Q191" i="37" s="1"/>
  <c r="C191" i="37"/>
  <c r="Q190" i="37" a="1"/>
  <c r="Q190" i="37" s="1"/>
  <c r="C190" i="37"/>
  <c r="Q189" i="37" a="1"/>
  <c r="Q189" i="37" s="1"/>
  <c r="C189" i="37"/>
  <c r="Q188" i="37" a="1"/>
  <c r="Q188" i="37" s="1"/>
  <c r="C188" i="37"/>
  <c r="Q187" i="37" a="1"/>
  <c r="Q187" i="37" s="1"/>
  <c r="C187" i="37"/>
  <c r="Q186" i="37" a="1"/>
  <c r="Q186" i="37" s="1"/>
  <c r="C186" i="37"/>
  <c r="Q185" i="37" a="1"/>
  <c r="Q185" i="37" s="1"/>
  <c r="C185" i="37"/>
  <c r="Q184" i="37" a="1"/>
  <c r="Q184" i="37" s="1"/>
  <c r="C184" i="37"/>
  <c r="Q183" i="37" a="1"/>
  <c r="Q183" i="37" s="1"/>
  <c r="C183" i="37"/>
  <c r="Q182" i="37" a="1"/>
  <c r="Q182" i="37" s="1"/>
  <c r="C182" i="37"/>
  <c r="Q181" i="37" a="1"/>
  <c r="Q181" i="37" s="1"/>
  <c r="C181" i="37"/>
  <c r="Q180" i="37" a="1"/>
  <c r="Q180" i="37" s="1"/>
  <c r="C180" i="37"/>
  <c r="Q179" i="37" a="1"/>
  <c r="Q179" i="37" s="1"/>
  <c r="C179" i="37"/>
  <c r="Q178" i="37" a="1"/>
  <c r="Q178" i="37" s="1"/>
  <c r="C178" i="37"/>
  <c r="Q177" i="37" a="1"/>
  <c r="Q177" i="37" s="1"/>
  <c r="C177" i="37"/>
  <c r="Q176" i="37" a="1"/>
  <c r="Q176" i="37" s="1"/>
  <c r="C176" i="37"/>
  <c r="Q175" i="37" a="1"/>
  <c r="Q175" i="37" s="1"/>
  <c r="C175" i="37"/>
  <c r="Q174" i="37" a="1"/>
  <c r="Q174" i="37" s="1"/>
  <c r="C174" i="37"/>
  <c r="Q173" i="37" a="1"/>
  <c r="Q173" i="37" s="1"/>
  <c r="C173" i="37"/>
  <c r="Q172" i="37" a="1"/>
  <c r="Q172" i="37" s="1"/>
  <c r="C172" i="37"/>
  <c r="Q171" i="37" a="1"/>
  <c r="Q171" i="37" s="1"/>
  <c r="C171" i="37"/>
  <c r="Q170" i="37" a="1"/>
  <c r="Q170" i="37" s="1"/>
  <c r="C170" i="37"/>
  <c r="Q169" i="37" a="1"/>
  <c r="Q169" i="37" s="1"/>
  <c r="C169" i="37"/>
  <c r="Q168" i="37" a="1"/>
  <c r="Q168" i="37" s="1"/>
  <c r="C168" i="37"/>
  <c r="Q167" i="37" a="1"/>
  <c r="Q167" i="37" s="1"/>
  <c r="C167" i="37"/>
  <c r="Q166" i="37" a="1"/>
  <c r="Q166" i="37" s="1"/>
  <c r="C166" i="37"/>
  <c r="Q165" i="37" a="1"/>
  <c r="Q165" i="37" s="1"/>
  <c r="C165" i="37"/>
  <c r="Q164" i="37" a="1"/>
  <c r="Q164" i="37" s="1"/>
  <c r="C164" i="37"/>
  <c r="Q163" i="37" a="1"/>
  <c r="Q163" i="37" s="1"/>
  <c r="C163" i="37"/>
  <c r="Q162" i="37" a="1"/>
  <c r="Q162" i="37" s="1"/>
  <c r="C162" i="37"/>
  <c r="Q161" i="37" a="1"/>
  <c r="Q161" i="37" s="1"/>
  <c r="C161" i="37"/>
  <c r="Q160" i="37" a="1"/>
  <c r="Q160" i="37" s="1"/>
  <c r="C160" i="37"/>
  <c r="Q159" i="37" a="1"/>
  <c r="Q159" i="37" s="1"/>
  <c r="C159" i="37"/>
  <c r="Q158" i="37" a="1"/>
  <c r="Q158" i="37" s="1"/>
  <c r="C158" i="37"/>
  <c r="Q157" i="37" a="1"/>
  <c r="Q157" i="37" s="1"/>
  <c r="C157" i="37"/>
  <c r="Q156" i="37" a="1"/>
  <c r="Q156" i="37" s="1"/>
  <c r="C156" i="37"/>
  <c r="Q155" i="37" a="1"/>
  <c r="Q155" i="37" s="1"/>
  <c r="C155" i="37"/>
  <c r="Q154" i="37" a="1"/>
  <c r="Q154" i="37" s="1"/>
  <c r="C154" i="37"/>
  <c r="Q153" i="37" a="1"/>
  <c r="Q153" i="37" s="1"/>
  <c r="C153" i="37"/>
  <c r="Q152" i="37" a="1"/>
  <c r="Q152" i="37" s="1"/>
  <c r="C152" i="37"/>
  <c r="Q151" i="37" a="1"/>
  <c r="Q151" i="37" s="1"/>
  <c r="C151" i="37"/>
  <c r="Q150" i="37" a="1"/>
  <c r="Q150" i="37" s="1"/>
  <c r="C150" i="37"/>
  <c r="Q149" i="37" a="1"/>
  <c r="Q149" i="37" s="1"/>
  <c r="C149" i="37"/>
  <c r="Q148" i="37" a="1"/>
  <c r="Q148" i="37" s="1"/>
  <c r="C148" i="37"/>
  <c r="Q147" i="37" a="1"/>
  <c r="Q147" i="37" s="1"/>
  <c r="C147" i="37"/>
  <c r="Q146" i="37" a="1"/>
  <c r="Q146" i="37" s="1"/>
  <c r="C146" i="37"/>
  <c r="Q145" i="37" a="1"/>
  <c r="Q145" i="37" s="1"/>
  <c r="C145" i="37"/>
  <c r="Q144" i="37" a="1"/>
  <c r="Q144" i="37" s="1"/>
  <c r="C144" i="37"/>
  <c r="Q143" i="37" a="1"/>
  <c r="Q143" i="37" s="1"/>
  <c r="C143" i="37"/>
  <c r="Q142" i="37" a="1"/>
  <c r="Q142" i="37" s="1"/>
  <c r="C142" i="37"/>
  <c r="Q141" i="37" a="1"/>
  <c r="Q141" i="37" s="1"/>
  <c r="C141" i="37"/>
  <c r="Q140" i="37" a="1"/>
  <c r="Q140" i="37" s="1"/>
  <c r="C140" i="37"/>
  <c r="Q139" i="37" a="1"/>
  <c r="Q139" i="37" s="1"/>
  <c r="C139" i="37"/>
  <c r="Q138" i="37" a="1"/>
  <c r="Q138" i="37" s="1"/>
  <c r="C138" i="37"/>
  <c r="Q137" i="37" a="1"/>
  <c r="Q137" i="37" s="1"/>
  <c r="C137" i="37"/>
  <c r="Q136" i="37" a="1"/>
  <c r="Q136" i="37" s="1"/>
  <c r="C136" i="37"/>
  <c r="Q135" i="37" a="1"/>
  <c r="Q135" i="37" s="1"/>
  <c r="C135" i="37"/>
  <c r="Q134" i="37" a="1"/>
  <c r="Q134" i="37" s="1"/>
  <c r="C134" i="37"/>
  <c r="Q133" i="37" a="1"/>
  <c r="Q133" i="37" s="1"/>
  <c r="C133" i="37"/>
  <c r="Q132" i="37" a="1"/>
  <c r="Q132" i="37" s="1"/>
  <c r="C132" i="37"/>
  <c r="Q131" i="37" a="1"/>
  <c r="Q131" i="37" s="1"/>
  <c r="C131" i="37"/>
  <c r="Q130" i="37" a="1"/>
  <c r="Q130" i="37" s="1"/>
  <c r="C130" i="37"/>
  <c r="Q129" i="37" a="1"/>
  <c r="Q129" i="37" s="1"/>
  <c r="C129" i="37"/>
  <c r="Q128" i="37" a="1"/>
  <c r="Q128" i="37" s="1"/>
  <c r="C128" i="37"/>
  <c r="Q127" i="37" a="1"/>
  <c r="Q127" i="37" s="1"/>
  <c r="C127" i="37"/>
  <c r="Q126" i="37" a="1"/>
  <c r="Q126" i="37" s="1"/>
  <c r="C126" i="37"/>
  <c r="Q125" i="37" a="1"/>
  <c r="Q125" i="37" s="1"/>
  <c r="C125" i="37"/>
  <c r="Q124" i="37" a="1"/>
  <c r="Q124" i="37" s="1"/>
  <c r="C124" i="37"/>
  <c r="Q123" i="37" a="1"/>
  <c r="Q123" i="37" s="1"/>
  <c r="C123" i="37"/>
  <c r="Q122" i="37" a="1"/>
  <c r="Q122" i="37" s="1"/>
  <c r="C122" i="37"/>
  <c r="Q121" i="37" a="1"/>
  <c r="Q121" i="37" s="1"/>
  <c r="C121" i="37"/>
  <c r="Q120" i="37" a="1"/>
  <c r="Q120" i="37" s="1"/>
  <c r="C120" i="37"/>
  <c r="Q119" i="37" a="1"/>
  <c r="Q119" i="37" s="1"/>
  <c r="C119" i="37"/>
  <c r="Q118" i="37" a="1"/>
  <c r="Q118" i="37" s="1"/>
  <c r="C118" i="37"/>
  <c r="Q117" i="37" a="1"/>
  <c r="Q117" i="37" s="1"/>
  <c r="C117" i="37"/>
  <c r="Q116" i="37" a="1"/>
  <c r="Q116" i="37" s="1"/>
  <c r="C116" i="37"/>
  <c r="Q115" i="37" a="1"/>
  <c r="Q115" i="37" s="1"/>
  <c r="C115" i="37"/>
  <c r="Q114" i="37" a="1"/>
  <c r="Q114" i="37" s="1"/>
  <c r="C114" i="37"/>
  <c r="Q113" i="37" a="1"/>
  <c r="Q113" i="37" s="1"/>
  <c r="C113" i="37"/>
  <c r="Q112" i="37" a="1"/>
  <c r="Q112" i="37" s="1"/>
  <c r="C112" i="37"/>
  <c r="Q111" i="37" a="1"/>
  <c r="Q111" i="37" s="1"/>
  <c r="C111" i="37"/>
  <c r="Q110" i="37" a="1"/>
  <c r="Q110" i="37" s="1"/>
  <c r="C110" i="37"/>
  <c r="Q109" i="37" a="1"/>
  <c r="Q109" i="37" s="1"/>
  <c r="C109" i="37"/>
  <c r="Q108" i="37" a="1"/>
  <c r="Q108" i="37" s="1"/>
  <c r="C108" i="37"/>
  <c r="Q107" i="37" a="1"/>
  <c r="Q107" i="37" s="1"/>
  <c r="C107" i="37"/>
  <c r="Q106" i="37" a="1"/>
  <c r="Q106" i="37" s="1"/>
  <c r="C106" i="37"/>
  <c r="Q105" i="37" a="1"/>
  <c r="Q105" i="37" s="1"/>
  <c r="C105" i="37"/>
  <c r="Q104" i="37" a="1"/>
  <c r="Q104" i="37" s="1"/>
  <c r="C104" i="37"/>
  <c r="Q103" i="37" a="1"/>
  <c r="Q103" i="37" s="1"/>
  <c r="C103" i="37"/>
  <c r="Q102" i="37" a="1"/>
  <c r="Q102" i="37" s="1"/>
  <c r="C102" i="37"/>
  <c r="Q101" i="37" a="1"/>
  <c r="Q101" i="37" s="1"/>
  <c r="C101" i="37"/>
  <c r="Q100" i="37" a="1"/>
  <c r="Q100" i="37" s="1"/>
  <c r="C100" i="37"/>
  <c r="Q99" i="37" a="1"/>
  <c r="Q99" i="37" s="1"/>
  <c r="C99" i="37"/>
  <c r="Q98" i="37" a="1"/>
  <c r="Q98" i="37" s="1"/>
  <c r="C98" i="37"/>
  <c r="Q97" i="37" a="1"/>
  <c r="Q97" i="37" s="1"/>
  <c r="C97" i="37"/>
  <c r="Q96" i="37" a="1"/>
  <c r="Q96" i="37" s="1"/>
  <c r="C96" i="37"/>
  <c r="Q95" i="37" a="1"/>
  <c r="Q95" i="37" s="1"/>
  <c r="C95" i="37"/>
  <c r="Q94" i="37" a="1"/>
  <c r="Q94" i="37" s="1"/>
  <c r="C94" i="37"/>
  <c r="Q93" i="37" a="1"/>
  <c r="Q93" i="37" s="1"/>
  <c r="C93" i="37"/>
  <c r="Q92" i="37" a="1"/>
  <c r="Q92" i="37" s="1"/>
  <c r="C92" i="37"/>
  <c r="Q91" i="37" a="1"/>
  <c r="Q91" i="37" s="1"/>
  <c r="C91" i="37"/>
  <c r="Q90" i="37" a="1"/>
  <c r="Q90" i="37" s="1"/>
  <c r="C90" i="37"/>
  <c r="Q89" i="37" a="1"/>
  <c r="Q89" i="37" s="1"/>
  <c r="C89" i="37"/>
  <c r="Q88" i="37" a="1"/>
  <c r="Q88" i="37" s="1"/>
  <c r="C88" i="37"/>
  <c r="Q87" i="37" a="1"/>
  <c r="Q87" i="37" s="1"/>
  <c r="C87" i="37"/>
  <c r="Q86" i="37" a="1"/>
  <c r="Q86" i="37" s="1"/>
  <c r="C86" i="37"/>
  <c r="Q85" i="37" a="1"/>
  <c r="Q85" i="37" s="1"/>
  <c r="C85" i="37"/>
  <c r="Q84" i="37" a="1"/>
  <c r="Q84" i="37" s="1"/>
  <c r="C84" i="37"/>
  <c r="Q83" i="37" a="1"/>
  <c r="Q83" i="37" s="1"/>
  <c r="C83" i="37"/>
  <c r="Q82" i="37" a="1"/>
  <c r="Q82" i="37" s="1"/>
  <c r="C82" i="37"/>
  <c r="Q81" i="37" a="1"/>
  <c r="Q81" i="37" s="1"/>
  <c r="C81" i="37"/>
  <c r="Q80" i="37" a="1"/>
  <c r="Q80" i="37" s="1"/>
  <c r="C80" i="37"/>
  <c r="Q79" i="37" a="1"/>
  <c r="Q79" i="37" s="1"/>
  <c r="C79" i="37"/>
  <c r="Q78" i="37" a="1"/>
  <c r="Q78" i="37" s="1"/>
  <c r="C78" i="37"/>
  <c r="Q77" i="37" a="1"/>
  <c r="Q77" i="37" s="1"/>
  <c r="C77" i="37"/>
  <c r="Q76" i="37" a="1"/>
  <c r="Q76" i="37" s="1"/>
  <c r="C76" i="37"/>
  <c r="Q438" i="36" a="1"/>
  <c r="Q438" i="36" s="1"/>
  <c r="C438" i="36"/>
  <c r="Q437" i="36" a="1"/>
  <c r="Q437" i="36" s="1"/>
  <c r="C437" i="36"/>
  <c r="Q436" i="36" a="1"/>
  <c r="Q436" i="36" s="1"/>
  <c r="C436" i="36"/>
  <c r="Q435" i="36" a="1"/>
  <c r="Q435" i="36" s="1"/>
  <c r="C435" i="36"/>
  <c r="Q434" i="36" a="1"/>
  <c r="Q434" i="36" s="1"/>
  <c r="C434" i="36"/>
  <c r="Q433" i="36" a="1"/>
  <c r="Q433" i="36" s="1"/>
  <c r="C433" i="36"/>
  <c r="Q432" i="36" a="1"/>
  <c r="Q432" i="36" s="1"/>
  <c r="C432" i="36"/>
  <c r="Q431" i="36" a="1"/>
  <c r="Q431" i="36" s="1"/>
  <c r="C431" i="36"/>
  <c r="Q430" i="36" a="1"/>
  <c r="Q430" i="36" s="1"/>
  <c r="C430" i="36"/>
  <c r="Q429" i="36" a="1"/>
  <c r="Q429" i="36" s="1"/>
  <c r="C429" i="36"/>
  <c r="Q428" i="36" a="1"/>
  <c r="Q428" i="36" s="1"/>
  <c r="C428" i="36"/>
  <c r="Q427" i="36" a="1"/>
  <c r="Q427" i="36" s="1"/>
  <c r="C427" i="36"/>
  <c r="Q426" i="36" a="1"/>
  <c r="Q426" i="36" s="1"/>
  <c r="C426" i="36"/>
  <c r="Q425" i="36" a="1"/>
  <c r="Q425" i="36" s="1"/>
  <c r="C425" i="36"/>
  <c r="Q424" i="36" a="1"/>
  <c r="Q424" i="36" s="1"/>
  <c r="C424" i="36"/>
  <c r="Q423" i="36" a="1"/>
  <c r="Q423" i="36" s="1"/>
  <c r="C423" i="36"/>
  <c r="Q422" i="36" a="1"/>
  <c r="Q422" i="36" s="1"/>
  <c r="C422" i="36"/>
  <c r="Q421" i="36" a="1"/>
  <c r="Q421" i="36" s="1"/>
  <c r="C421" i="36"/>
  <c r="Q420" i="36" a="1"/>
  <c r="Q420" i="36" s="1"/>
  <c r="C420" i="36"/>
  <c r="Q419" i="36" a="1"/>
  <c r="Q419" i="36" s="1"/>
  <c r="C419" i="36"/>
  <c r="Q418" i="36" a="1"/>
  <c r="Q418" i="36" s="1"/>
  <c r="C418" i="36"/>
  <c r="Q417" i="36" a="1"/>
  <c r="Q417" i="36" s="1"/>
  <c r="C417" i="36"/>
  <c r="Q416" i="36" a="1"/>
  <c r="Q416" i="36" s="1"/>
  <c r="C416" i="36"/>
  <c r="Q415" i="36" a="1"/>
  <c r="Q415" i="36" s="1"/>
  <c r="C415" i="36"/>
  <c r="Q414" i="36" a="1"/>
  <c r="Q414" i="36" s="1"/>
  <c r="C414" i="36"/>
  <c r="Q413" i="36" a="1"/>
  <c r="Q413" i="36" s="1"/>
  <c r="C413" i="36"/>
  <c r="Q412" i="36" a="1"/>
  <c r="Q412" i="36" s="1"/>
  <c r="C412" i="36"/>
  <c r="Q411" i="36" a="1"/>
  <c r="Q411" i="36" s="1"/>
  <c r="C411" i="36"/>
  <c r="Q410" i="36" a="1"/>
  <c r="Q410" i="36" s="1"/>
  <c r="C410" i="36"/>
  <c r="Q409" i="36" a="1"/>
  <c r="Q409" i="36" s="1"/>
  <c r="C409" i="36"/>
  <c r="Q408" i="36" a="1"/>
  <c r="Q408" i="36" s="1"/>
  <c r="C408" i="36"/>
  <c r="Q407" i="36" a="1"/>
  <c r="Q407" i="36" s="1"/>
  <c r="C407" i="36"/>
  <c r="Q406" i="36" a="1"/>
  <c r="Q406" i="36" s="1"/>
  <c r="C406" i="36"/>
  <c r="Q405" i="36" a="1"/>
  <c r="Q405" i="36" s="1"/>
  <c r="C405" i="36"/>
  <c r="Q404" i="36" a="1"/>
  <c r="Q404" i="36" s="1"/>
  <c r="C404" i="36"/>
  <c r="Q403" i="36" a="1"/>
  <c r="Q403" i="36" s="1"/>
  <c r="C403" i="36"/>
  <c r="Q402" i="36" a="1"/>
  <c r="Q402" i="36" s="1"/>
  <c r="C402" i="36"/>
  <c r="Q401" i="36" a="1"/>
  <c r="Q401" i="36" s="1"/>
  <c r="C401" i="36"/>
  <c r="Q400" i="36" a="1"/>
  <c r="Q400" i="36" s="1"/>
  <c r="C400" i="36"/>
  <c r="Q399" i="36" a="1"/>
  <c r="Q399" i="36" s="1"/>
  <c r="C399" i="36"/>
  <c r="Q398" i="36" a="1"/>
  <c r="Q398" i="36" s="1"/>
  <c r="C398" i="36"/>
  <c r="Q397" i="36" a="1"/>
  <c r="Q397" i="36" s="1"/>
  <c r="C397" i="36"/>
  <c r="Q396" i="36" a="1"/>
  <c r="Q396" i="36" s="1"/>
  <c r="C396" i="36"/>
  <c r="Q395" i="36" a="1"/>
  <c r="Q395" i="36" s="1"/>
  <c r="C395" i="36"/>
  <c r="Q394" i="36" a="1"/>
  <c r="Q394" i="36" s="1"/>
  <c r="C394" i="36"/>
  <c r="Q393" i="36" a="1"/>
  <c r="Q393" i="36" s="1"/>
  <c r="C393" i="36"/>
  <c r="Q392" i="36" a="1"/>
  <c r="Q392" i="36" s="1"/>
  <c r="C392" i="36"/>
  <c r="Q391" i="36" a="1"/>
  <c r="Q391" i="36" s="1"/>
  <c r="C391" i="36"/>
  <c r="Q390" i="36" a="1"/>
  <c r="Q390" i="36" s="1"/>
  <c r="C390" i="36"/>
  <c r="Q389" i="36" a="1"/>
  <c r="Q389" i="36" s="1"/>
  <c r="C389" i="36"/>
  <c r="Q388" i="36" a="1"/>
  <c r="Q388" i="36" s="1"/>
  <c r="C388" i="36"/>
  <c r="Q387" i="36" a="1"/>
  <c r="Q387" i="36" s="1"/>
  <c r="C387" i="36"/>
  <c r="Q386" i="36" a="1"/>
  <c r="Q386" i="36" s="1"/>
  <c r="C386" i="36"/>
  <c r="Q385" i="36" a="1"/>
  <c r="Q385" i="36" s="1"/>
  <c r="C385" i="36"/>
  <c r="Q384" i="36" a="1"/>
  <c r="Q384" i="36" s="1"/>
  <c r="C384" i="36"/>
  <c r="Q383" i="36" a="1"/>
  <c r="Q383" i="36" s="1"/>
  <c r="C383" i="36"/>
  <c r="Q382" i="36" a="1"/>
  <c r="Q382" i="36" s="1"/>
  <c r="C382" i="36"/>
  <c r="Q381" i="36" a="1"/>
  <c r="Q381" i="36" s="1"/>
  <c r="C381" i="36"/>
  <c r="Q380" i="36" a="1"/>
  <c r="Q380" i="36" s="1"/>
  <c r="C380" i="36"/>
  <c r="Q379" i="36" a="1"/>
  <c r="Q379" i="36" s="1"/>
  <c r="C379" i="36"/>
  <c r="Q378" i="36" a="1"/>
  <c r="Q378" i="36" s="1"/>
  <c r="C378" i="36"/>
  <c r="Q377" i="36" a="1"/>
  <c r="Q377" i="36" s="1"/>
  <c r="C377" i="36"/>
  <c r="Q376" i="36" a="1"/>
  <c r="Q376" i="36" s="1"/>
  <c r="C376" i="36"/>
  <c r="Q375" i="36" a="1"/>
  <c r="Q375" i="36" s="1"/>
  <c r="C375" i="36"/>
  <c r="Q374" i="36" a="1"/>
  <c r="Q374" i="36" s="1"/>
  <c r="C374" i="36"/>
  <c r="Q373" i="36" a="1"/>
  <c r="Q373" i="36" s="1"/>
  <c r="C373" i="36"/>
  <c r="Q372" i="36" a="1"/>
  <c r="Q372" i="36" s="1"/>
  <c r="C372" i="36"/>
  <c r="Q371" i="36" a="1"/>
  <c r="Q371" i="36" s="1"/>
  <c r="C371" i="36"/>
  <c r="Q370" i="36" a="1"/>
  <c r="Q370" i="36" s="1"/>
  <c r="C370" i="36"/>
  <c r="Q369" i="36" a="1"/>
  <c r="Q369" i="36" s="1"/>
  <c r="C369" i="36"/>
  <c r="Q368" i="36" a="1"/>
  <c r="Q368" i="36" s="1"/>
  <c r="C368" i="36"/>
  <c r="Q367" i="36" a="1"/>
  <c r="Q367" i="36" s="1"/>
  <c r="C367" i="36"/>
  <c r="Q366" i="36" a="1"/>
  <c r="Q366" i="36" s="1"/>
  <c r="C366" i="36"/>
  <c r="Q365" i="36" a="1"/>
  <c r="Q365" i="36" s="1"/>
  <c r="C365" i="36"/>
  <c r="Q364" i="36" a="1"/>
  <c r="Q364" i="36" s="1"/>
  <c r="C364" i="36"/>
  <c r="Q363" i="36" a="1"/>
  <c r="Q363" i="36" s="1"/>
  <c r="C363" i="36"/>
  <c r="Q362" i="36" a="1"/>
  <c r="Q362" i="36" s="1"/>
  <c r="C362" i="36"/>
  <c r="Q361" i="36" a="1"/>
  <c r="Q361" i="36" s="1"/>
  <c r="C361" i="36"/>
  <c r="Q360" i="36" a="1"/>
  <c r="Q360" i="36" s="1"/>
  <c r="C360" i="36"/>
  <c r="Q359" i="36" a="1"/>
  <c r="Q359" i="36" s="1"/>
  <c r="C359" i="36"/>
  <c r="Q358" i="36" a="1"/>
  <c r="Q358" i="36" s="1"/>
  <c r="C358" i="36"/>
  <c r="Q357" i="36" a="1"/>
  <c r="Q357" i="36" s="1"/>
  <c r="C357" i="36"/>
  <c r="Q356" i="36" a="1"/>
  <c r="Q356" i="36" s="1"/>
  <c r="C356" i="36"/>
  <c r="Q355" i="36" a="1"/>
  <c r="Q355" i="36" s="1"/>
  <c r="C355" i="36"/>
  <c r="Q354" i="36" a="1"/>
  <c r="Q354" i="36" s="1"/>
  <c r="C354" i="36"/>
  <c r="Q353" i="36" a="1"/>
  <c r="Q353" i="36" s="1"/>
  <c r="C353" i="36"/>
  <c r="Q352" i="36" a="1"/>
  <c r="Q352" i="36" s="1"/>
  <c r="C352" i="36"/>
  <c r="Q351" i="36" a="1"/>
  <c r="Q351" i="36" s="1"/>
  <c r="C351" i="36"/>
  <c r="Q350" i="36" a="1"/>
  <c r="Q350" i="36" s="1"/>
  <c r="C350" i="36"/>
  <c r="Q349" i="36" a="1"/>
  <c r="Q349" i="36" s="1"/>
  <c r="C349" i="36"/>
  <c r="Q348" i="36" a="1"/>
  <c r="Q348" i="36" s="1"/>
  <c r="C348" i="36"/>
  <c r="Q347" i="36" a="1"/>
  <c r="Q347" i="36" s="1"/>
  <c r="C347" i="36"/>
  <c r="Q346" i="36" a="1"/>
  <c r="Q346" i="36" s="1"/>
  <c r="C346" i="36"/>
  <c r="Q345" i="36" a="1"/>
  <c r="Q345" i="36" s="1"/>
  <c r="C345" i="36"/>
  <c r="Q344" i="36" a="1"/>
  <c r="Q344" i="36" s="1"/>
  <c r="C344" i="36"/>
  <c r="Q343" i="36" a="1"/>
  <c r="Q343" i="36" s="1"/>
  <c r="C343" i="36"/>
  <c r="Q342" i="36" a="1"/>
  <c r="Q342" i="36" s="1"/>
  <c r="C342" i="36"/>
  <c r="Q341" i="36" a="1"/>
  <c r="Q341" i="36" s="1"/>
  <c r="C341" i="36"/>
  <c r="Q340" i="36" a="1"/>
  <c r="Q340" i="36" s="1"/>
  <c r="C340" i="36"/>
  <c r="Q339" i="36" a="1"/>
  <c r="Q339" i="36" s="1"/>
  <c r="C339" i="36"/>
  <c r="Q338" i="36" a="1"/>
  <c r="Q338" i="36" s="1"/>
  <c r="C338" i="36"/>
  <c r="Q337" i="36" a="1"/>
  <c r="Q337" i="36" s="1"/>
  <c r="C337" i="36"/>
  <c r="Q336" i="36" a="1"/>
  <c r="Q336" i="36" s="1"/>
  <c r="C336" i="36"/>
  <c r="Q335" i="36" a="1"/>
  <c r="Q335" i="36" s="1"/>
  <c r="C335" i="36"/>
  <c r="Q334" i="36" a="1"/>
  <c r="Q334" i="36" s="1"/>
  <c r="C334" i="36"/>
  <c r="Q333" i="36" a="1"/>
  <c r="Q333" i="36" s="1"/>
  <c r="C333" i="36"/>
  <c r="Q332" i="36" a="1"/>
  <c r="Q332" i="36" s="1"/>
  <c r="C332" i="36"/>
  <c r="Q331" i="36" a="1"/>
  <c r="Q331" i="36" s="1"/>
  <c r="C331" i="36"/>
  <c r="Q330" i="36" a="1"/>
  <c r="Q330" i="36" s="1"/>
  <c r="C330" i="36"/>
  <c r="Q329" i="36" a="1"/>
  <c r="Q329" i="36" s="1"/>
  <c r="C329" i="36"/>
  <c r="Q328" i="36" a="1"/>
  <c r="Q328" i="36" s="1"/>
  <c r="C328" i="36"/>
  <c r="Q327" i="36" a="1"/>
  <c r="Q327" i="36" s="1"/>
  <c r="C327" i="36"/>
  <c r="Q326" i="36" a="1"/>
  <c r="Q326" i="36" s="1"/>
  <c r="C326" i="36"/>
  <c r="Q325" i="36" a="1"/>
  <c r="Q325" i="36" s="1"/>
  <c r="C325" i="36"/>
  <c r="Q324" i="36" a="1"/>
  <c r="Q324" i="36" s="1"/>
  <c r="C324" i="36"/>
  <c r="Q323" i="36" a="1"/>
  <c r="Q323" i="36" s="1"/>
  <c r="C323" i="36"/>
  <c r="Q322" i="36" a="1"/>
  <c r="Q322" i="36" s="1"/>
  <c r="C322" i="36"/>
  <c r="Q321" i="36" a="1"/>
  <c r="Q321" i="36" s="1"/>
  <c r="C321" i="36"/>
  <c r="Q320" i="36" a="1"/>
  <c r="Q320" i="36" s="1"/>
  <c r="C320" i="36"/>
  <c r="Q319" i="36" a="1"/>
  <c r="Q319" i="36" s="1"/>
  <c r="C319" i="36"/>
  <c r="Q318" i="36" a="1"/>
  <c r="Q318" i="36" s="1"/>
  <c r="C318" i="36"/>
  <c r="Q317" i="36" a="1"/>
  <c r="Q317" i="36" s="1"/>
  <c r="C317" i="36"/>
  <c r="Q316" i="36" a="1"/>
  <c r="Q316" i="36" s="1"/>
  <c r="C316" i="36"/>
  <c r="Q315" i="36" a="1"/>
  <c r="Q315" i="36" s="1"/>
  <c r="C315" i="36"/>
  <c r="Q314" i="36" a="1"/>
  <c r="Q314" i="36" s="1"/>
  <c r="C314" i="36"/>
  <c r="Q313" i="36" a="1"/>
  <c r="Q313" i="36" s="1"/>
  <c r="C313" i="36"/>
  <c r="Q312" i="36" a="1"/>
  <c r="Q312" i="36" s="1"/>
  <c r="C312" i="36"/>
  <c r="Q311" i="36" a="1"/>
  <c r="Q311" i="36" s="1"/>
  <c r="C311" i="36"/>
  <c r="Q310" i="36" a="1"/>
  <c r="Q310" i="36" s="1"/>
  <c r="C310" i="36"/>
  <c r="Q309" i="36" a="1"/>
  <c r="Q309" i="36" s="1"/>
  <c r="C309" i="36"/>
  <c r="Q308" i="36" a="1"/>
  <c r="Q308" i="36" s="1"/>
  <c r="C308" i="36"/>
  <c r="Q307" i="36" a="1"/>
  <c r="Q307" i="36" s="1"/>
  <c r="C307" i="36"/>
  <c r="Q306" i="36" a="1"/>
  <c r="Q306" i="36" s="1"/>
  <c r="C306" i="36"/>
  <c r="Q305" i="36" a="1"/>
  <c r="Q305" i="36" s="1"/>
  <c r="C305" i="36"/>
  <c r="Q304" i="36" a="1"/>
  <c r="Q304" i="36" s="1"/>
  <c r="C304" i="36"/>
  <c r="Q303" i="36" a="1"/>
  <c r="Q303" i="36" s="1"/>
  <c r="C303" i="36"/>
  <c r="Q302" i="36" a="1"/>
  <c r="Q302" i="36" s="1"/>
  <c r="C302" i="36"/>
  <c r="Q301" i="36" a="1"/>
  <c r="Q301" i="36" s="1"/>
  <c r="C301" i="36"/>
  <c r="Q300" i="36" a="1"/>
  <c r="Q300" i="36" s="1"/>
  <c r="C300" i="36"/>
  <c r="Q299" i="36" a="1"/>
  <c r="Q299" i="36" s="1"/>
  <c r="C299" i="36"/>
  <c r="Q298" i="36" a="1"/>
  <c r="Q298" i="36" s="1"/>
  <c r="C298" i="36"/>
  <c r="Q297" i="36" a="1"/>
  <c r="Q297" i="36" s="1"/>
  <c r="C297" i="36"/>
  <c r="Q296" i="36" a="1"/>
  <c r="Q296" i="36" s="1"/>
  <c r="C296" i="36"/>
  <c r="Q295" i="36" a="1"/>
  <c r="Q295" i="36" s="1"/>
  <c r="C295" i="36"/>
  <c r="Q294" i="36" a="1"/>
  <c r="Q294" i="36" s="1"/>
  <c r="C294" i="36"/>
  <c r="Q293" i="36" a="1"/>
  <c r="Q293" i="36" s="1"/>
  <c r="C293" i="36"/>
  <c r="Q292" i="36" a="1"/>
  <c r="Q292" i="36" s="1"/>
  <c r="C292" i="36"/>
  <c r="Q291" i="36" a="1"/>
  <c r="Q291" i="36" s="1"/>
  <c r="C291" i="36"/>
  <c r="Q290" i="36" a="1"/>
  <c r="Q290" i="36" s="1"/>
  <c r="C290" i="36"/>
  <c r="Q289" i="36" a="1"/>
  <c r="Q289" i="36" s="1"/>
  <c r="C289" i="36"/>
  <c r="Q288" i="36" a="1"/>
  <c r="Q288" i="36" s="1"/>
  <c r="C288" i="36"/>
  <c r="Q287" i="36" a="1"/>
  <c r="Q287" i="36" s="1"/>
  <c r="C287" i="36"/>
  <c r="Q286" i="36" a="1"/>
  <c r="Q286" i="36" s="1"/>
  <c r="C286" i="36"/>
  <c r="Q285" i="36" a="1"/>
  <c r="Q285" i="36" s="1"/>
  <c r="C285" i="36"/>
  <c r="Q284" i="36" a="1"/>
  <c r="Q284" i="36" s="1"/>
  <c r="C284" i="36"/>
  <c r="Q283" i="36" a="1"/>
  <c r="Q283" i="36" s="1"/>
  <c r="C283" i="36"/>
  <c r="Q282" i="36" a="1"/>
  <c r="Q282" i="36" s="1"/>
  <c r="C282" i="36"/>
  <c r="Q281" i="36" a="1"/>
  <c r="Q281" i="36" s="1"/>
  <c r="C281" i="36"/>
  <c r="Q280" i="36" a="1"/>
  <c r="Q280" i="36" s="1"/>
  <c r="C280" i="36"/>
  <c r="Q279" i="36" a="1"/>
  <c r="Q279" i="36" s="1"/>
  <c r="C279" i="36"/>
  <c r="Q278" i="36" a="1"/>
  <c r="Q278" i="36" s="1"/>
  <c r="C278" i="36"/>
  <c r="Q277" i="36" a="1"/>
  <c r="Q277" i="36" s="1"/>
  <c r="C277" i="36"/>
  <c r="Q276" i="36" a="1"/>
  <c r="Q276" i="36" s="1"/>
  <c r="C276" i="36"/>
  <c r="Q275" i="36" a="1"/>
  <c r="Q275" i="36" s="1"/>
  <c r="C275" i="36"/>
  <c r="Q274" i="36" a="1"/>
  <c r="Q274" i="36" s="1"/>
  <c r="C274" i="36"/>
  <c r="Q273" i="36" a="1"/>
  <c r="Q273" i="36" s="1"/>
  <c r="C273" i="36"/>
  <c r="Q272" i="36" a="1"/>
  <c r="Q272" i="36" s="1"/>
  <c r="C272" i="36"/>
  <c r="Q271" i="36" a="1"/>
  <c r="Q271" i="36" s="1"/>
  <c r="C271" i="36"/>
  <c r="Q270" i="36" a="1"/>
  <c r="Q270" i="36" s="1"/>
  <c r="C270" i="36"/>
  <c r="Q269" i="36" a="1"/>
  <c r="Q269" i="36" s="1"/>
  <c r="C269" i="36"/>
  <c r="Q268" i="36" a="1"/>
  <c r="Q268" i="36" s="1"/>
  <c r="C268" i="36"/>
  <c r="Q267" i="36" a="1"/>
  <c r="Q267" i="36" s="1"/>
  <c r="C267" i="36"/>
  <c r="Q266" i="36" a="1"/>
  <c r="Q266" i="36" s="1"/>
  <c r="C266" i="36"/>
  <c r="Q265" i="36" a="1"/>
  <c r="Q265" i="36" s="1"/>
  <c r="C265" i="36"/>
  <c r="Q264" i="36" a="1"/>
  <c r="Q264" i="36" s="1"/>
  <c r="C264" i="36"/>
  <c r="Q263" i="36" a="1"/>
  <c r="Q263" i="36" s="1"/>
  <c r="C263" i="36"/>
  <c r="Q262" i="36" a="1"/>
  <c r="Q262" i="36" s="1"/>
  <c r="C262" i="36"/>
  <c r="Q261" i="36" a="1"/>
  <c r="Q261" i="36" s="1"/>
  <c r="C261" i="36"/>
  <c r="Q260" i="36" a="1"/>
  <c r="Q260" i="36" s="1"/>
  <c r="C260" i="36"/>
  <c r="Q259" i="36" a="1"/>
  <c r="Q259" i="36" s="1"/>
  <c r="C259" i="36"/>
  <c r="Q258" i="36" a="1"/>
  <c r="Q258" i="36" s="1"/>
  <c r="C258" i="36"/>
  <c r="Q257" i="36" a="1"/>
  <c r="Q257" i="36" s="1"/>
  <c r="C257" i="36"/>
  <c r="Q256" i="36" a="1"/>
  <c r="Q256" i="36" s="1"/>
  <c r="C256" i="36"/>
  <c r="Q255" i="36" a="1"/>
  <c r="Q255" i="36" s="1"/>
  <c r="C255" i="36"/>
  <c r="Q254" i="36" a="1"/>
  <c r="Q254" i="36" s="1"/>
  <c r="C254" i="36"/>
  <c r="Q253" i="36" a="1"/>
  <c r="Q253" i="36" s="1"/>
  <c r="C253" i="36"/>
  <c r="Q252" i="36" a="1"/>
  <c r="Q252" i="36" s="1"/>
  <c r="C252" i="36"/>
  <c r="Q251" i="36" a="1"/>
  <c r="Q251" i="36" s="1"/>
  <c r="C251" i="36"/>
  <c r="Q250" i="36" a="1"/>
  <c r="Q250" i="36" s="1"/>
  <c r="C250" i="36"/>
  <c r="Q249" i="36" a="1"/>
  <c r="Q249" i="36" s="1"/>
  <c r="C249" i="36"/>
  <c r="Q248" i="36" a="1"/>
  <c r="Q248" i="36" s="1"/>
  <c r="C248" i="36"/>
  <c r="Q247" i="36" a="1"/>
  <c r="Q247" i="36" s="1"/>
  <c r="C247" i="36"/>
  <c r="Q246" i="36" a="1"/>
  <c r="Q246" i="36" s="1"/>
  <c r="C246" i="36"/>
  <c r="Q245" i="36" a="1"/>
  <c r="Q245" i="36" s="1"/>
  <c r="C245" i="36"/>
  <c r="Q244" i="36" a="1"/>
  <c r="Q244" i="36" s="1"/>
  <c r="C244" i="36"/>
  <c r="Q243" i="36" a="1"/>
  <c r="Q243" i="36" s="1"/>
  <c r="C243" i="36"/>
  <c r="Q242" i="36" a="1"/>
  <c r="Q242" i="36" s="1"/>
  <c r="C242" i="36"/>
  <c r="Q241" i="36" a="1"/>
  <c r="Q241" i="36" s="1"/>
  <c r="C241" i="36"/>
  <c r="Q240" i="36" a="1"/>
  <c r="Q240" i="36" s="1"/>
  <c r="C240" i="36"/>
  <c r="Q239" i="36" a="1"/>
  <c r="Q239" i="36" s="1"/>
  <c r="C239" i="36"/>
  <c r="Q238" i="36" a="1"/>
  <c r="Q238" i="36" s="1"/>
  <c r="C238" i="36"/>
  <c r="Q237" i="36" a="1"/>
  <c r="Q237" i="36" s="1"/>
  <c r="C237" i="36"/>
  <c r="Q236" i="36" a="1"/>
  <c r="Q236" i="36" s="1"/>
  <c r="C236" i="36"/>
  <c r="Q235" i="36" a="1"/>
  <c r="Q235" i="36" s="1"/>
  <c r="C235" i="36"/>
  <c r="Q234" i="36" a="1"/>
  <c r="Q234" i="36" s="1"/>
  <c r="C234" i="36"/>
  <c r="Q233" i="36" a="1"/>
  <c r="Q233" i="36" s="1"/>
  <c r="C233" i="36"/>
  <c r="Q232" i="36" a="1"/>
  <c r="Q232" i="36" s="1"/>
  <c r="C232" i="36"/>
  <c r="Q231" i="36" a="1"/>
  <c r="Q231" i="36" s="1"/>
  <c r="C231" i="36"/>
  <c r="Q230" i="36" a="1"/>
  <c r="Q230" i="36" s="1"/>
  <c r="C230" i="36"/>
  <c r="Q229" i="36" a="1"/>
  <c r="Q229" i="36" s="1"/>
  <c r="C229" i="36"/>
  <c r="Q228" i="36" a="1"/>
  <c r="Q228" i="36" s="1"/>
  <c r="C228" i="36"/>
  <c r="Q227" i="36" a="1"/>
  <c r="Q227" i="36" s="1"/>
  <c r="C227" i="36"/>
  <c r="Q226" i="36" a="1"/>
  <c r="Q226" i="36" s="1"/>
  <c r="C226" i="36"/>
  <c r="Q225" i="36" a="1"/>
  <c r="Q225" i="36" s="1"/>
  <c r="C225" i="36"/>
  <c r="Q224" i="36" a="1"/>
  <c r="Q224" i="36" s="1"/>
  <c r="C224" i="36"/>
  <c r="Q223" i="36" a="1"/>
  <c r="Q223" i="36" s="1"/>
  <c r="C223" i="36"/>
  <c r="Q222" i="36" a="1"/>
  <c r="Q222" i="36" s="1"/>
  <c r="C222" i="36"/>
  <c r="Q221" i="36" a="1"/>
  <c r="Q221" i="36" s="1"/>
  <c r="C221" i="36"/>
  <c r="Q220" i="36" a="1"/>
  <c r="Q220" i="36" s="1"/>
  <c r="C220" i="36"/>
  <c r="Q219" i="36" a="1"/>
  <c r="Q219" i="36" s="1"/>
  <c r="C219" i="36"/>
  <c r="Q218" i="36" a="1"/>
  <c r="Q218" i="36" s="1"/>
  <c r="C218" i="36"/>
  <c r="Q217" i="36" a="1"/>
  <c r="Q217" i="36" s="1"/>
  <c r="C217" i="36"/>
  <c r="Q216" i="36" a="1"/>
  <c r="Q216" i="36" s="1"/>
  <c r="C216" i="36"/>
  <c r="Q215" i="36" a="1"/>
  <c r="Q215" i="36" s="1"/>
  <c r="C215" i="36"/>
  <c r="Q214" i="36" a="1"/>
  <c r="Q214" i="36" s="1"/>
  <c r="C214" i="36"/>
  <c r="Q213" i="36" a="1"/>
  <c r="Q213" i="36" s="1"/>
  <c r="C213" i="36"/>
  <c r="Q212" i="36" a="1"/>
  <c r="Q212" i="36" s="1"/>
  <c r="C212" i="36"/>
  <c r="Q211" i="36" a="1"/>
  <c r="Q211" i="36" s="1"/>
  <c r="C211" i="36"/>
  <c r="Q210" i="36" a="1"/>
  <c r="Q210" i="36" s="1"/>
  <c r="C210" i="36"/>
  <c r="Q209" i="36" a="1"/>
  <c r="Q209" i="36" s="1"/>
  <c r="C209" i="36"/>
  <c r="Q208" i="36" a="1"/>
  <c r="Q208" i="36" s="1"/>
  <c r="C208" i="36"/>
  <c r="Q207" i="36" a="1"/>
  <c r="Q207" i="36" s="1"/>
  <c r="C207" i="36"/>
  <c r="Q206" i="36" a="1"/>
  <c r="Q206" i="36" s="1"/>
  <c r="C206" i="36"/>
  <c r="Q205" i="36" a="1"/>
  <c r="Q205" i="36" s="1"/>
  <c r="C205" i="36"/>
  <c r="Q204" i="36" a="1"/>
  <c r="Q204" i="36" s="1"/>
  <c r="C204" i="36"/>
  <c r="Q203" i="36" a="1"/>
  <c r="Q203" i="36" s="1"/>
  <c r="C203" i="36"/>
  <c r="Q202" i="36" a="1"/>
  <c r="Q202" i="36" s="1"/>
  <c r="C202" i="36"/>
  <c r="Q201" i="36" a="1"/>
  <c r="Q201" i="36" s="1"/>
  <c r="C201" i="36"/>
  <c r="Q200" i="36" a="1"/>
  <c r="Q200" i="36" s="1"/>
  <c r="C200" i="36"/>
  <c r="Q199" i="36" a="1"/>
  <c r="Q199" i="36" s="1"/>
  <c r="C199" i="36"/>
  <c r="Q198" i="36" a="1"/>
  <c r="Q198" i="36" s="1"/>
  <c r="C198" i="36"/>
  <c r="Q197" i="36" a="1"/>
  <c r="Q197" i="36" s="1"/>
  <c r="C197" i="36"/>
  <c r="Q196" i="36" a="1"/>
  <c r="Q196" i="36" s="1"/>
  <c r="C196" i="36"/>
  <c r="Q195" i="36" a="1"/>
  <c r="Q195" i="36" s="1"/>
  <c r="C195" i="36"/>
  <c r="Q194" i="36" a="1"/>
  <c r="Q194" i="36" s="1"/>
  <c r="C194" i="36"/>
  <c r="Q193" i="36" a="1"/>
  <c r="Q193" i="36" s="1"/>
  <c r="C193" i="36"/>
  <c r="Q192" i="36" a="1"/>
  <c r="Q192" i="36" s="1"/>
  <c r="C192" i="36"/>
  <c r="Q191" i="36" a="1"/>
  <c r="Q191" i="36" s="1"/>
  <c r="C191" i="36"/>
  <c r="Q190" i="36" a="1"/>
  <c r="Q190" i="36" s="1"/>
  <c r="C190" i="36"/>
  <c r="Q189" i="36" a="1"/>
  <c r="Q189" i="36" s="1"/>
  <c r="C189" i="36"/>
  <c r="Q188" i="36" a="1"/>
  <c r="Q188" i="36" s="1"/>
  <c r="C188" i="36"/>
  <c r="Q187" i="36" a="1"/>
  <c r="Q187" i="36" s="1"/>
  <c r="C187" i="36"/>
  <c r="Q186" i="36" a="1"/>
  <c r="Q186" i="36" s="1"/>
  <c r="C186" i="36"/>
  <c r="Q185" i="36" a="1"/>
  <c r="Q185" i="36" s="1"/>
  <c r="C185" i="36"/>
  <c r="Q184" i="36" a="1"/>
  <c r="Q184" i="36" s="1"/>
  <c r="C184" i="36"/>
  <c r="Q183" i="36" a="1"/>
  <c r="Q183" i="36" s="1"/>
  <c r="C183" i="36"/>
  <c r="Q182" i="36" a="1"/>
  <c r="Q182" i="36" s="1"/>
  <c r="C182" i="36"/>
  <c r="Q181" i="36" a="1"/>
  <c r="Q181" i="36" s="1"/>
  <c r="C181" i="36"/>
  <c r="Q180" i="36" a="1"/>
  <c r="Q180" i="36" s="1"/>
  <c r="C180" i="36"/>
  <c r="Q179" i="36" a="1"/>
  <c r="Q179" i="36" s="1"/>
  <c r="C179" i="36"/>
  <c r="Q178" i="36" a="1"/>
  <c r="Q178" i="36" s="1"/>
  <c r="C178" i="36"/>
  <c r="Q177" i="36" a="1"/>
  <c r="Q177" i="36" s="1"/>
  <c r="C177" i="36"/>
  <c r="Q176" i="36" a="1"/>
  <c r="Q176" i="36" s="1"/>
  <c r="C176" i="36"/>
  <c r="Q175" i="36" a="1"/>
  <c r="Q175" i="36" s="1"/>
  <c r="C175" i="36"/>
  <c r="Q174" i="36" a="1"/>
  <c r="Q174" i="36" s="1"/>
  <c r="C174" i="36"/>
  <c r="Q173" i="36" a="1"/>
  <c r="Q173" i="36" s="1"/>
  <c r="C173" i="36"/>
  <c r="Q172" i="36" a="1"/>
  <c r="Q172" i="36" s="1"/>
  <c r="C172" i="36"/>
  <c r="Q171" i="36" a="1"/>
  <c r="Q171" i="36" s="1"/>
  <c r="C171" i="36"/>
  <c r="Q170" i="36" a="1"/>
  <c r="Q170" i="36" s="1"/>
  <c r="C170" i="36"/>
  <c r="Q169" i="36" a="1"/>
  <c r="Q169" i="36" s="1"/>
  <c r="C169" i="36"/>
  <c r="Q168" i="36" a="1"/>
  <c r="Q168" i="36" s="1"/>
  <c r="C168" i="36"/>
  <c r="Q167" i="36" a="1"/>
  <c r="Q167" i="36" s="1"/>
  <c r="C167" i="36"/>
  <c r="Q166" i="36" a="1"/>
  <c r="Q166" i="36" s="1"/>
  <c r="C166" i="36"/>
  <c r="Q165" i="36" a="1"/>
  <c r="Q165" i="36" s="1"/>
  <c r="C165" i="36"/>
  <c r="Q164" i="36" a="1"/>
  <c r="Q164" i="36" s="1"/>
  <c r="C164" i="36"/>
  <c r="Q163" i="36" a="1"/>
  <c r="Q163" i="36" s="1"/>
  <c r="C163" i="36"/>
  <c r="Q162" i="36" a="1"/>
  <c r="Q162" i="36" s="1"/>
  <c r="C162" i="36"/>
  <c r="Q161" i="36" a="1"/>
  <c r="Q161" i="36" s="1"/>
  <c r="C161" i="36"/>
  <c r="Q160" i="36" a="1"/>
  <c r="Q160" i="36" s="1"/>
  <c r="C160" i="36"/>
  <c r="Q159" i="36" a="1"/>
  <c r="Q159" i="36" s="1"/>
  <c r="C159" i="36"/>
  <c r="Q158" i="36" a="1"/>
  <c r="Q158" i="36" s="1"/>
  <c r="C158" i="36"/>
  <c r="Q157" i="36" a="1"/>
  <c r="Q157" i="36" s="1"/>
  <c r="C157" i="36"/>
  <c r="Q156" i="36" a="1"/>
  <c r="Q156" i="36" s="1"/>
  <c r="C156" i="36"/>
  <c r="Q155" i="36" a="1"/>
  <c r="Q155" i="36" s="1"/>
  <c r="C155" i="36"/>
  <c r="Q154" i="36" a="1"/>
  <c r="Q154" i="36" s="1"/>
  <c r="C154" i="36"/>
  <c r="Q153" i="36" a="1"/>
  <c r="Q153" i="36" s="1"/>
  <c r="C153" i="36"/>
  <c r="Q152" i="36" a="1"/>
  <c r="Q152" i="36" s="1"/>
  <c r="C152" i="36"/>
  <c r="Q151" i="36" a="1"/>
  <c r="Q151" i="36" s="1"/>
  <c r="C151" i="36"/>
  <c r="Q150" i="36" a="1"/>
  <c r="Q150" i="36" s="1"/>
  <c r="C150" i="36"/>
  <c r="Q149" i="36" a="1"/>
  <c r="Q149" i="36" s="1"/>
  <c r="C149" i="36"/>
  <c r="Q148" i="36" a="1"/>
  <c r="Q148" i="36" s="1"/>
  <c r="C148" i="36"/>
  <c r="Q147" i="36" a="1"/>
  <c r="Q147" i="36" s="1"/>
  <c r="C147" i="36"/>
  <c r="Q146" i="36" a="1"/>
  <c r="Q146" i="36" s="1"/>
  <c r="C146" i="36"/>
  <c r="Q145" i="36" a="1"/>
  <c r="Q145" i="36" s="1"/>
  <c r="C145" i="36"/>
  <c r="Q144" i="36" a="1"/>
  <c r="Q144" i="36" s="1"/>
  <c r="C144" i="36"/>
  <c r="Q143" i="36" a="1"/>
  <c r="Q143" i="36" s="1"/>
  <c r="C143" i="36"/>
  <c r="Q142" i="36" a="1"/>
  <c r="Q142" i="36" s="1"/>
  <c r="C142" i="36"/>
  <c r="Q141" i="36" a="1"/>
  <c r="Q141" i="36" s="1"/>
  <c r="C141" i="36"/>
  <c r="Q140" i="36" a="1"/>
  <c r="Q140" i="36" s="1"/>
  <c r="C140" i="36"/>
  <c r="Q139" i="36" a="1"/>
  <c r="Q139" i="36" s="1"/>
  <c r="C139" i="36"/>
  <c r="Q138" i="36" a="1"/>
  <c r="Q138" i="36" s="1"/>
  <c r="C138" i="36"/>
  <c r="Q137" i="36" a="1"/>
  <c r="Q137" i="36" s="1"/>
  <c r="C137" i="36"/>
  <c r="Q136" i="36" a="1"/>
  <c r="Q136" i="36" s="1"/>
  <c r="C136" i="36"/>
  <c r="Q135" i="36" a="1"/>
  <c r="Q135" i="36" s="1"/>
  <c r="C135" i="36"/>
  <c r="Q134" i="36" a="1"/>
  <c r="Q134" i="36" s="1"/>
  <c r="C134" i="36"/>
  <c r="Q133" i="36" a="1"/>
  <c r="Q133" i="36" s="1"/>
  <c r="C133" i="36"/>
  <c r="Q132" i="36" a="1"/>
  <c r="Q132" i="36" s="1"/>
  <c r="C132" i="36"/>
  <c r="Q131" i="36" a="1"/>
  <c r="Q131" i="36" s="1"/>
  <c r="C131" i="36"/>
  <c r="Q130" i="36" a="1"/>
  <c r="Q130" i="36" s="1"/>
  <c r="C130" i="36"/>
  <c r="Q129" i="36" a="1"/>
  <c r="Q129" i="36" s="1"/>
  <c r="C129" i="36"/>
  <c r="Q128" i="36" a="1"/>
  <c r="Q128" i="36" s="1"/>
  <c r="C128" i="36"/>
  <c r="Q127" i="36" a="1"/>
  <c r="Q127" i="36" s="1"/>
  <c r="C127" i="36"/>
  <c r="Q126" i="36" a="1"/>
  <c r="Q126" i="36" s="1"/>
  <c r="C126" i="36"/>
  <c r="Q125" i="36" a="1"/>
  <c r="Q125" i="36" s="1"/>
  <c r="C125" i="36"/>
  <c r="Q124" i="36" a="1"/>
  <c r="Q124" i="36" s="1"/>
  <c r="C124" i="36"/>
  <c r="Q123" i="36" a="1"/>
  <c r="Q123" i="36" s="1"/>
  <c r="C123" i="36"/>
  <c r="Q122" i="36" a="1"/>
  <c r="Q122" i="36" s="1"/>
  <c r="C122" i="36"/>
  <c r="Q121" i="36" a="1"/>
  <c r="Q121" i="36" s="1"/>
  <c r="C121" i="36"/>
  <c r="Q120" i="36" a="1"/>
  <c r="Q120" i="36" s="1"/>
  <c r="C120" i="36"/>
  <c r="Q119" i="36" a="1"/>
  <c r="Q119" i="36" s="1"/>
  <c r="C119" i="36"/>
  <c r="Q118" i="36" a="1"/>
  <c r="Q118" i="36" s="1"/>
  <c r="C118" i="36"/>
  <c r="Q117" i="36" a="1"/>
  <c r="Q117" i="36" s="1"/>
  <c r="C117" i="36"/>
  <c r="Q116" i="36" a="1"/>
  <c r="Q116" i="36" s="1"/>
  <c r="C116" i="36"/>
  <c r="Q115" i="36" a="1"/>
  <c r="Q115" i="36" s="1"/>
  <c r="C115" i="36"/>
  <c r="Q114" i="36" a="1"/>
  <c r="Q114" i="36" s="1"/>
  <c r="C114" i="36"/>
  <c r="Q113" i="36" a="1"/>
  <c r="Q113" i="36" s="1"/>
  <c r="C113" i="36"/>
  <c r="Q112" i="36" a="1"/>
  <c r="Q112" i="36" s="1"/>
  <c r="C112" i="36"/>
  <c r="Q111" i="36" a="1"/>
  <c r="Q111" i="36" s="1"/>
  <c r="C111" i="36"/>
  <c r="Q110" i="36" a="1"/>
  <c r="Q110" i="36" s="1"/>
  <c r="C110" i="36"/>
  <c r="Q109" i="36" a="1"/>
  <c r="Q109" i="36" s="1"/>
  <c r="C109" i="36"/>
  <c r="Q108" i="36" a="1"/>
  <c r="Q108" i="36" s="1"/>
  <c r="C108" i="36"/>
  <c r="Q107" i="36" a="1"/>
  <c r="Q107" i="36" s="1"/>
  <c r="C107" i="36"/>
  <c r="Q106" i="36" a="1"/>
  <c r="Q106" i="36" s="1"/>
  <c r="C106" i="36"/>
  <c r="Q105" i="36" a="1"/>
  <c r="Q105" i="36" s="1"/>
  <c r="C105" i="36"/>
  <c r="Q104" i="36" a="1"/>
  <c r="Q104" i="36" s="1"/>
  <c r="C104" i="36"/>
  <c r="Q103" i="36" a="1"/>
  <c r="Q103" i="36" s="1"/>
  <c r="C103" i="36"/>
  <c r="Q102" i="36" a="1"/>
  <c r="Q102" i="36" s="1"/>
  <c r="C102" i="36"/>
  <c r="Q101" i="36" a="1"/>
  <c r="Q101" i="36" s="1"/>
  <c r="C101" i="36"/>
  <c r="Q100" i="36" a="1"/>
  <c r="Q100" i="36" s="1"/>
  <c r="C100" i="36"/>
  <c r="Q99" i="36" a="1"/>
  <c r="Q99" i="36" s="1"/>
  <c r="C99" i="36"/>
  <c r="Q98" i="36" a="1"/>
  <c r="Q98" i="36" s="1"/>
  <c r="C98" i="36"/>
  <c r="Q97" i="36" a="1"/>
  <c r="Q97" i="36" s="1"/>
  <c r="C97" i="36"/>
  <c r="Q96" i="36" a="1"/>
  <c r="Q96" i="36" s="1"/>
  <c r="C96" i="36"/>
  <c r="Q95" i="36" a="1"/>
  <c r="Q95" i="36" s="1"/>
  <c r="C95" i="36"/>
  <c r="Q94" i="36" a="1"/>
  <c r="Q94" i="36" s="1"/>
  <c r="C94" i="36"/>
  <c r="Q93" i="36" a="1"/>
  <c r="Q93" i="36" s="1"/>
  <c r="C93" i="36"/>
  <c r="Q92" i="36" a="1"/>
  <c r="Q92" i="36" s="1"/>
  <c r="C92" i="36"/>
  <c r="Q91" i="36" a="1"/>
  <c r="Q91" i="36" s="1"/>
  <c r="C91" i="36"/>
  <c r="Q90" i="36" a="1"/>
  <c r="Q90" i="36" s="1"/>
  <c r="C90" i="36"/>
  <c r="Q89" i="36" a="1"/>
  <c r="Q89" i="36" s="1"/>
  <c r="C89" i="36"/>
  <c r="Q88" i="36" a="1"/>
  <c r="Q88" i="36" s="1"/>
  <c r="C88" i="36"/>
  <c r="Q87" i="36" a="1"/>
  <c r="Q87" i="36" s="1"/>
  <c r="C87" i="36"/>
  <c r="Q86" i="36" a="1"/>
  <c r="Q86" i="36" s="1"/>
  <c r="C86" i="36"/>
  <c r="Q85" i="36" a="1"/>
  <c r="Q85" i="36" s="1"/>
  <c r="C85" i="36"/>
  <c r="Q84" i="36" a="1"/>
  <c r="Q84" i="36" s="1"/>
  <c r="C84" i="36"/>
  <c r="Q83" i="36" a="1"/>
  <c r="Q83" i="36" s="1"/>
  <c r="C83" i="36"/>
  <c r="Q82" i="36" a="1"/>
  <c r="Q82" i="36" s="1"/>
  <c r="C82" i="36"/>
  <c r="Q81" i="36" a="1"/>
  <c r="Q81" i="36" s="1"/>
  <c r="C81" i="36"/>
  <c r="Q80" i="36" a="1"/>
  <c r="Q80" i="36" s="1"/>
  <c r="C80" i="36"/>
  <c r="Q79" i="36" a="1"/>
  <c r="Q79" i="36" s="1"/>
  <c r="C79" i="36"/>
  <c r="Q78" i="36" a="1"/>
  <c r="Q78" i="36" s="1"/>
  <c r="C78" i="36"/>
  <c r="Q77" i="36" a="1"/>
  <c r="Q77" i="36" s="1"/>
  <c r="C77" i="36"/>
  <c r="Q76" i="36" a="1"/>
  <c r="Q76" i="36" s="1"/>
  <c r="C76" i="36"/>
  <c r="Q438" i="35" a="1"/>
  <c r="Q438" i="35" s="1"/>
  <c r="C438" i="35"/>
  <c r="Q437" i="35" a="1"/>
  <c r="Q437" i="35" s="1"/>
  <c r="C437" i="35"/>
  <c r="Q436" i="35" a="1"/>
  <c r="Q436" i="35" s="1"/>
  <c r="C436" i="35"/>
  <c r="Q435" i="35" a="1"/>
  <c r="Q435" i="35" s="1"/>
  <c r="C435" i="35"/>
  <c r="Q434" i="35" a="1"/>
  <c r="Q434" i="35" s="1"/>
  <c r="C434" i="35"/>
  <c r="Q433" i="35" a="1"/>
  <c r="Q433" i="35" s="1"/>
  <c r="C433" i="35"/>
  <c r="Q432" i="35" a="1"/>
  <c r="Q432" i="35" s="1"/>
  <c r="C432" i="35"/>
  <c r="Q431" i="35" a="1"/>
  <c r="Q431" i="35" s="1"/>
  <c r="C431" i="35"/>
  <c r="Q430" i="35" a="1"/>
  <c r="Q430" i="35" s="1"/>
  <c r="C430" i="35"/>
  <c r="Q429" i="35" a="1"/>
  <c r="Q429" i="35" s="1"/>
  <c r="C429" i="35"/>
  <c r="Q428" i="35" a="1"/>
  <c r="Q428" i="35" s="1"/>
  <c r="C428" i="35"/>
  <c r="Q427" i="35" a="1"/>
  <c r="Q427" i="35" s="1"/>
  <c r="C427" i="35"/>
  <c r="Q426" i="35" a="1"/>
  <c r="Q426" i="35" s="1"/>
  <c r="C426" i="35"/>
  <c r="Q425" i="35" a="1"/>
  <c r="Q425" i="35" s="1"/>
  <c r="C425" i="35"/>
  <c r="Q424" i="35" a="1"/>
  <c r="Q424" i="35" s="1"/>
  <c r="C424" i="35"/>
  <c r="Q423" i="35" a="1"/>
  <c r="Q423" i="35" s="1"/>
  <c r="C423" i="35"/>
  <c r="Q422" i="35" a="1"/>
  <c r="Q422" i="35" s="1"/>
  <c r="C422" i="35"/>
  <c r="Q421" i="35" a="1"/>
  <c r="Q421" i="35" s="1"/>
  <c r="C421" i="35"/>
  <c r="Q420" i="35" a="1"/>
  <c r="Q420" i="35" s="1"/>
  <c r="C420" i="35"/>
  <c r="Q419" i="35" a="1"/>
  <c r="Q419" i="35" s="1"/>
  <c r="C419" i="35"/>
  <c r="Q418" i="35" a="1"/>
  <c r="Q418" i="35" s="1"/>
  <c r="C418" i="35"/>
  <c r="Q417" i="35" a="1"/>
  <c r="Q417" i="35" s="1"/>
  <c r="C417" i="35"/>
  <c r="Q416" i="35" a="1"/>
  <c r="Q416" i="35" s="1"/>
  <c r="C416" i="35"/>
  <c r="Q415" i="35" a="1"/>
  <c r="Q415" i="35" s="1"/>
  <c r="C415" i="35"/>
  <c r="Q414" i="35" a="1"/>
  <c r="Q414" i="35" s="1"/>
  <c r="C414" i="35"/>
  <c r="Q413" i="35" a="1"/>
  <c r="Q413" i="35" s="1"/>
  <c r="C413" i="35"/>
  <c r="Q412" i="35" a="1"/>
  <c r="Q412" i="35" s="1"/>
  <c r="C412" i="35"/>
  <c r="Q411" i="35" a="1"/>
  <c r="Q411" i="35" s="1"/>
  <c r="C411" i="35"/>
  <c r="Q410" i="35" a="1"/>
  <c r="Q410" i="35" s="1"/>
  <c r="C410" i="35"/>
  <c r="Q409" i="35" a="1"/>
  <c r="Q409" i="35" s="1"/>
  <c r="C409" i="35"/>
  <c r="Q408" i="35" a="1"/>
  <c r="Q408" i="35" s="1"/>
  <c r="C408" i="35"/>
  <c r="Q407" i="35" a="1"/>
  <c r="Q407" i="35" s="1"/>
  <c r="C407" i="35"/>
  <c r="Q406" i="35" a="1"/>
  <c r="Q406" i="35" s="1"/>
  <c r="C406" i="35"/>
  <c r="Q405" i="35" a="1"/>
  <c r="Q405" i="35" s="1"/>
  <c r="C405" i="35"/>
  <c r="Q404" i="35" a="1"/>
  <c r="Q404" i="35" s="1"/>
  <c r="C404" i="35"/>
  <c r="Q403" i="35" a="1"/>
  <c r="Q403" i="35" s="1"/>
  <c r="C403" i="35"/>
  <c r="Q402" i="35" a="1"/>
  <c r="Q402" i="35" s="1"/>
  <c r="C402" i="35"/>
  <c r="Q401" i="35" a="1"/>
  <c r="Q401" i="35" s="1"/>
  <c r="C401" i="35"/>
  <c r="Q400" i="35" a="1"/>
  <c r="Q400" i="35" s="1"/>
  <c r="C400" i="35"/>
  <c r="Q399" i="35" a="1"/>
  <c r="Q399" i="35" s="1"/>
  <c r="C399" i="35"/>
  <c r="Q398" i="35" a="1"/>
  <c r="Q398" i="35" s="1"/>
  <c r="C398" i="35"/>
  <c r="Q397" i="35" a="1"/>
  <c r="Q397" i="35" s="1"/>
  <c r="C397" i="35"/>
  <c r="Q396" i="35" a="1"/>
  <c r="Q396" i="35" s="1"/>
  <c r="C396" i="35"/>
  <c r="Q395" i="35" a="1"/>
  <c r="Q395" i="35" s="1"/>
  <c r="C395" i="35"/>
  <c r="Q394" i="35" a="1"/>
  <c r="Q394" i="35" s="1"/>
  <c r="C394" i="35"/>
  <c r="Q393" i="35" a="1"/>
  <c r="Q393" i="35" s="1"/>
  <c r="C393" i="35"/>
  <c r="Q392" i="35" a="1"/>
  <c r="Q392" i="35" s="1"/>
  <c r="C392" i="35"/>
  <c r="Q391" i="35" a="1"/>
  <c r="Q391" i="35" s="1"/>
  <c r="C391" i="35"/>
  <c r="Q390" i="35" a="1"/>
  <c r="Q390" i="35" s="1"/>
  <c r="C390" i="35"/>
  <c r="Q389" i="35" a="1"/>
  <c r="Q389" i="35" s="1"/>
  <c r="C389" i="35"/>
  <c r="Q388" i="35" a="1"/>
  <c r="Q388" i="35" s="1"/>
  <c r="C388" i="35"/>
  <c r="Q387" i="35" a="1"/>
  <c r="Q387" i="35" s="1"/>
  <c r="C387" i="35"/>
  <c r="Q386" i="35" a="1"/>
  <c r="Q386" i="35" s="1"/>
  <c r="C386" i="35"/>
  <c r="Q385" i="35" a="1"/>
  <c r="Q385" i="35" s="1"/>
  <c r="C385" i="35"/>
  <c r="Q384" i="35" a="1"/>
  <c r="Q384" i="35" s="1"/>
  <c r="C384" i="35"/>
  <c r="Q383" i="35" a="1"/>
  <c r="Q383" i="35" s="1"/>
  <c r="C383" i="35"/>
  <c r="Q382" i="35" a="1"/>
  <c r="Q382" i="35" s="1"/>
  <c r="C382" i="35"/>
  <c r="Q381" i="35" a="1"/>
  <c r="Q381" i="35" s="1"/>
  <c r="C381" i="35"/>
  <c r="Q380" i="35" a="1"/>
  <c r="Q380" i="35" s="1"/>
  <c r="C380" i="35"/>
  <c r="Q379" i="35" a="1"/>
  <c r="Q379" i="35" s="1"/>
  <c r="C379" i="35"/>
  <c r="Q378" i="35" a="1"/>
  <c r="Q378" i="35" s="1"/>
  <c r="C378" i="35"/>
  <c r="Q377" i="35" a="1"/>
  <c r="Q377" i="35" s="1"/>
  <c r="C377" i="35"/>
  <c r="Q376" i="35" a="1"/>
  <c r="Q376" i="35" s="1"/>
  <c r="C376" i="35"/>
  <c r="Q375" i="35" a="1"/>
  <c r="Q375" i="35" s="1"/>
  <c r="C375" i="35"/>
  <c r="Q374" i="35" a="1"/>
  <c r="Q374" i="35" s="1"/>
  <c r="C374" i="35"/>
  <c r="Q373" i="35" a="1"/>
  <c r="Q373" i="35" s="1"/>
  <c r="C373" i="35"/>
  <c r="Q372" i="35" a="1"/>
  <c r="Q372" i="35" s="1"/>
  <c r="C372" i="35"/>
  <c r="Q371" i="35" a="1"/>
  <c r="Q371" i="35" s="1"/>
  <c r="C371" i="35"/>
  <c r="Q370" i="35" a="1"/>
  <c r="Q370" i="35" s="1"/>
  <c r="C370" i="35"/>
  <c r="Q369" i="35" a="1"/>
  <c r="Q369" i="35" s="1"/>
  <c r="C369" i="35"/>
  <c r="Q368" i="35" a="1"/>
  <c r="Q368" i="35" s="1"/>
  <c r="C368" i="35"/>
  <c r="Q367" i="35" a="1"/>
  <c r="Q367" i="35" s="1"/>
  <c r="C367" i="35"/>
  <c r="Q366" i="35" a="1"/>
  <c r="Q366" i="35" s="1"/>
  <c r="C366" i="35"/>
  <c r="Q365" i="35" a="1"/>
  <c r="Q365" i="35" s="1"/>
  <c r="C365" i="35"/>
  <c r="Q364" i="35" a="1"/>
  <c r="Q364" i="35" s="1"/>
  <c r="C364" i="35"/>
  <c r="Q363" i="35" a="1"/>
  <c r="Q363" i="35" s="1"/>
  <c r="C363" i="35"/>
  <c r="Q362" i="35" a="1"/>
  <c r="Q362" i="35" s="1"/>
  <c r="C362" i="35"/>
  <c r="Q361" i="35" a="1"/>
  <c r="Q361" i="35" s="1"/>
  <c r="C361" i="35"/>
  <c r="Q360" i="35" a="1"/>
  <c r="Q360" i="35" s="1"/>
  <c r="C360" i="35"/>
  <c r="Q359" i="35" a="1"/>
  <c r="Q359" i="35" s="1"/>
  <c r="C359" i="35"/>
  <c r="Q358" i="35" a="1"/>
  <c r="Q358" i="35" s="1"/>
  <c r="C358" i="35"/>
  <c r="Q357" i="35" a="1"/>
  <c r="Q357" i="35" s="1"/>
  <c r="C357" i="35"/>
  <c r="Q356" i="35" a="1"/>
  <c r="Q356" i="35" s="1"/>
  <c r="C356" i="35"/>
  <c r="Q355" i="35" a="1"/>
  <c r="Q355" i="35" s="1"/>
  <c r="C355" i="35"/>
  <c r="Q354" i="35" a="1"/>
  <c r="Q354" i="35" s="1"/>
  <c r="C354" i="35"/>
  <c r="Q353" i="35" a="1"/>
  <c r="Q353" i="35" s="1"/>
  <c r="C353" i="35"/>
  <c r="Q352" i="35" a="1"/>
  <c r="Q352" i="35" s="1"/>
  <c r="C352" i="35"/>
  <c r="Q351" i="35" a="1"/>
  <c r="Q351" i="35" s="1"/>
  <c r="C351" i="35"/>
  <c r="Q350" i="35" a="1"/>
  <c r="Q350" i="35" s="1"/>
  <c r="C350" i="35"/>
  <c r="Q349" i="35" a="1"/>
  <c r="Q349" i="35" s="1"/>
  <c r="C349" i="35"/>
  <c r="Q348" i="35" a="1"/>
  <c r="Q348" i="35" s="1"/>
  <c r="C348" i="35"/>
  <c r="Q347" i="35" a="1"/>
  <c r="Q347" i="35" s="1"/>
  <c r="C347" i="35"/>
  <c r="Q346" i="35" a="1"/>
  <c r="Q346" i="35" s="1"/>
  <c r="C346" i="35"/>
  <c r="Q345" i="35" a="1"/>
  <c r="Q345" i="35" s="1"/>
  <c r="C345" i="35"/>
  <c r="Q344" i="35" a="1"/>
  <c r="Q344" i="35" s="1"/>
  <c r="C344" i="35"/>
  <c r="Q343" i="35" a="1"/>
  <c r="Q343" i="35" s="1"/>
  <c r="C343" i="35"/>
  <c r="Q342" i="35" a="1"/>
  <c r="Q342" i="35" s="1"/>
  <c r="C342" i="35"/>
  <c r="Q341" i="35" a="1"/>
  <c r="Q341" i="35" s="1"/>
  <c r="C341" i="35"/>
  <c r="Q340" i="35" a="1"/>
  <c r="Q340" i="35" s="1"/>
  <c r="C340" i="35"/>
  <c r="Q339" i="35" a="1"/>
  <c r="Q339" i="35" s="1"/>
  <c r="C339" i="35"/>
  <c r="Q338" i="35" a="1"/>
  <c r="Q338" i="35" s="1"/>
  <c r="C338" i="35"/>
  <c r="Q337" i="35" a="1"/>
  <c r="Q337" i="35" s="1"/>
  <c r="C337" i="35"/>
  <c r="Q336" i="35" a="1"/>
  <c r="Q336" i="35" s="1"/>
  <c r="C336" i="35"/>
  <c r="Q335" i="35" a="1"/>
  <c r="Q335" i="35" s="1"/>
  <c r="C335" i="35"/>
  <c r="Q334" i="35" a="1"/>
  <c r="Q334" i="35" s="1"/>
  <c r="C334" i="35"/>
  <c r="Q333" i="35" a="1"/>
  <c r="Q333" i="35" s="1"/>
  <c r="C333" i="35"/>
  <c r="Q332" i="35" a="1"/>
  <c r="Q332" i="35" s="1"/>
  <c r="C332" i="35"/>
  <c r="Q331" i="35" a="1"/>
  <c r="Q331" i="35" s="1"/>
  <c r="C331" i="35"/>
  <c r="Q330" i="35" a="1"/>
  <c r="Q330" i="35" s="1"/>
  <c r="C330" i="35"/>
  <c r="Q329" i="35" a="1"/>
  <c r="Q329" i="35" s="1"/>
  <c r="C329" i="35"/>
  <c r="Q328" i="35" a="1"/>
  <c r="Q328" i="35" s="1"/>
  <c r="C328" i="35"/>
  <c r="Q327" i="35" a="1"/>
  <c r="Q327" i="35" s="1"/>
  <c r="C327" i="35"/>
  <c r="Q326" i="35" a="1"/>
  <c r="Q326" i="35" s="1"/>
  <c r="C326" i="35"/>
  <c r="Q325" i="35" a="1"/>
  <c r="Q325" i="35" s="1"/>
  <c r="C325" i="35"/>
  <c r="Q324" i="35" a="1"/>
  <c r="Q324" i="35" s="1"/>
  <c r="C324" i="35"/>
  <c r="Q323" i="35" a="1"/>
  <c r="Q323" i="35" s="1"/>
  <c r="C323" i="35"/>
  <c r="Q322" i="35" a="1"/>
  <c r="Q322" i="35" s="1"/>
  <c r="C322" i="35"/>
  <c r="Q321" i="35" a="1"/>
  <c r="Q321" i="35" s="1"/>
  <c r="C321" i="35"/>
  <c r="Q320" i="35" a="1"/>
  <c r="Q320" i="35" s="1"/>
  <c r="C320" i="35"/>
  <c r="Q319" i="35" a="1"/>
  <c r="Q319" i="35" s="1"/>
  <c r="C319" i="35"/>
  <c r="Q318" i="35" a="1"/>
  <c r="Q318" i="35" s="1"/>
  <c r="C318" i="35"/>
  <c r="Q317" i="35" a="1"/>
  <c r="Q317" i="35" s="1"/>
  <c r="C317" i="35"/>
  <c r="Q316" i="35" a="1"/>
  <c r="Q316" i="35" s="1"/>
  <c r="C316" i="35"/>
  <c r="Q315" i="35" a="1"/>
  <c r="Q315" i="35" s="1"/>
  <c r="C315" i="35"/>
  <c r="Q314" i="35" a="1"/>
  <c r="Q314" i="35" s="1"/>
  <c r="C314" i="35"/>
  <c r="Q313" i="35" a="1"/>
  <c r="Q313" i="35" s="1"/>
  <c r="C313" i="35"/>
  <c r="Q312" i="35" a="1"/>
  <c r="Q312" i="35" s="1"/>
  <c r="C312" i="35"/>
  <c r="Q311" i="35" a="1"/>
  <c r="Q311" i="35" s="1"/>
  <c r="C311" i="35"/>
  <c r="Q310" i="35" a="1"/>
  <c r="Q310" i="35" s="1"/>
  <c r="C310" i="35"/>
  <c r="Q309" i="35" a="1"/>
  <c r="Q309" i="35" s="1"/>
  <c r="C309" i="35"/>
  <c r="Q308" i="35" a="1"/>
  <c r="Q308" i="35" s="1"/>
  <c r="C308" i="35"/>
  <c r="Q307" i="35" a="1"/>
  <c r="Q307" i="35" s="1"/>
  <c r="C307" i="35"/>
  <c r="Q306" i="35" a="1"/>
  <c r="Q306" i="35" s="1"/>
  <c r="C306" i="35"/>
  <c r="Q305" i="35" a="1"/>
  <c r="Q305" i="35" s="1"/>
  <c r="C305" i="35"/>
  <c r="Q304" i="35" a="1"/>
  <c r="Q304" i="35" s="1"/>
  <c r="C304" i="35"/>
  <c r="Q303" i="35" a="1"/>
  <c r="Q303" i="35" s="1"/>
  <c r="C303" i="35"/>
  <c r="Q302" i="35" a="1"/>
  <c r="Q302" i="35" s="1"/>
  <c r="C302" i="35"/>
  <c r="Q301" i="35" a="1"/>
  <c r="Q301" i="35" s="1"/>
  <c r="C301" i="35"/>
  <c r="Q300" i="35" a="1"/>
  <c r="Q300" i="35" s="1"/>
  <c r="C300" i="35"/>
  <c r="Q299" i="35" a="1"/>
  <c r="Q299" i="35" s="1"/>
  <c r="C299" i="35"/>
  <c r="Q298" i="35" a="1"/>
  <c r="Q298" i="35" s="1"/>
  <c r="C298" i="35"/>
  <c r="Q297" i="35" a="1"/>
  <c r="Q297" i="35" s="1"/>
  <c r="C297" i="35"/>
  <c r="Q296" i="35" a="1"/>
  <c r="Q296" i="35" s="1"/>
  <c r="C296" i="35"/>
  <c r="Q295" i="35" a="1"/>
  <c r="Q295" i="35" s="1"/>
  <c r="C295" i="35"/>
  <c r="Q294" i="35" a="1"/>
  <c r="Q294" i="35" s="1"/>
  <c r="C294" i="35"/>
  <c r="Q293" i="35" a="1"/>
  <c r="Q293" i="35" s="1"/>
  <c r="C293" i="35"/>
  <c r="Q292" i="35" a="1"/>
  <c r="Q292" i="35" s="1"/>
  <c r="C292" i="35"/>
  <c r="Q291" i="35" a="1"/>
  <c r="Q291" i="35" s="1"/>
  <c r="C291" i="35"/>
  <c r="Q290" i="35" a="1"/>
  <c r="Q290" i="35" s="1"/>
  <c r="C290" i="35"/>
  <c r="Q289" i="35" a="1"/>
  <c r="Q289" i="35" s="1"/>
  <c r="C289" i="35"/>
  <c r="Q288" i="35" a="1"/>
  <c r="Q288" i="35" s="1"/>
  <c r="C288" i="35"/>
  <c r="Q287" i="35" a="1"/>
  <c r="Q287" i="35" s="1"/>
  <c r="C287" i="35"/>
  <c r="Q286" i="35" a="1"/>
  <c r="Q286" i="35" s="1"/>
  <c r="C286" i="35"/>
  <c r="Q285" i="35" a="1"/>
  <c r="Q285" i="35" s="1"/>
  <c r="C285" i="35"/>
  <c r="Q284" i="35" a="1"/>
  <c r="Q284" i="35" s="1"/>
  <c r="C284" i="35"/>
  <c r="Q283" i="35" a="1"/>
  <c r="Q283" i="35" s="1"/>
  <c r="C283" i="35"/>
  <c r="Q282" i="35" a="1"/>
  <c r="Q282" i="35" s="1"/>
  <c r="C282" i="35"/>
  <c r="Q281" i="35" a="1"/>
  <c r="Q281" i="35" s="1"/>
  <c r="C281" i="35"/>
  <c r="Q280" i="35" a="1"/>
  <c r="Q280" i="35" s="1"/>
  <c r="C280" i="35"/>
  <c r="Q279" i="35" a="1"/>
  <c r="Q279" i="35" s="1"/>
  <c r="C279" i="35"/>
  <c r="Q278" i="35" a="1"/>
  <c r="Q278" i="35" s="1"/>
  <c r="C278" i="35"/>
  <c r="Q277" i="35" a="1"/>
  <c r="Q277" i="35" s="1"/>
  <c r="C277" i="35"/>
  <c r="Q276" i="35" a="1"/>
  <c r="Q276" i="35" s="1"/>
  <c r="C276" i="35"/>
  <c r="Q275" i="35" a="1"/>
  <c r="Q275" i="35" s="1"/>
  <c r="C275" i="35"/>
  <c r="Q274" i="35" a="1"/>
  <c r="Q274" i="35" s="1"/>
  <c r="C274" i="35"/>
  <c r="Q273" i="35" a="1"/>
  <c r="Q273" i="35" s="1"/>
  <c r="C273" i="35"/>
  <c r="Q272" i="35" a="1"/>
  <c r="Q272" i="35" s="1"/>
  <c r="C272" i="35"/>
  <c r="Q271" i="35" a="1"/>
  <c r="Q271" i="35" s="1"/>
  <c r="C271" i="35"/>
  <c r="Q270" i="35" a="1"/>
  <c r="Q270" i="35" s="1"/>
  <c r="C270" i="35"/>
  <c r="Q269" i="35" a="1"/>
  <c r="Q269" i="35" s="1"/>
  <c r="C269" i="35"/>
  <c r="Q268" i="35" a="1"/>
  <c r="Q268" i="35" s="1"/>
  <c r="C268" i="35"/>
  <c r="Q267" i="35" a="1"/>
  <c r="Q267" i="35" s="1"/>
  <c r="C267" i="35"/>
  <c r="Q266" i="35" a="1"/>
  <c r="Q266" i="35" s="1"/>
  <c r="C266" i="35"/>
  <c r="Q265" i="35" a="1"/>
  <c r="Q265" i="35" s="1"/>
  <c r="C265" i="35"/>
  <c r="Q264" i="35" a="1"/>
  <c r="Q264" i="35" s="1"/>
  <c r="C264" i="35"/>
  <c r="Q263" i="35" a="1"/>
  <c r="Q263" i="35" s="1"/>
  <c r="C263" i="35"/>
  <c r="Q262" i="35" a="1"/>
  <c r="Q262" i="35" s="1"/>
  <c r="C262" i="35"/>
  <c r="Q261" i="35" a="1"/>
  <c r="Q261" i="35" s="1"/>
  <c r="C261" i="35"/>
  <c r="Q260" i="35" a="1"/>
  <c r="Q260" i="35" s="1"/>
  <c r="C260" i="35"/>
  <c r="Q259" i="35" a="1"/>
  <c r="Q259" i="35" s="1"/>
  <c r="C259" i="35"/>
  <c r="Q258" i="35" a="1"/>
  <c r="Q258" i="35" s="1"/>
  <c r="C258" i="35"/>
  <c r="Q257" i="35" a="1"/>
  <c r="Q257" i="35" s="1"/>
  <c r="C257" i="35"/>
  <c r="Q256" i="35" a="1"/>
  <c r="Q256" i="35" s="1"/>
  <c r="C256" i="35"/>
  <c r="Q255" i="35" a="1"/>
  <c r="Q255" i="35" s="1"/>
  <c r="C255" i="35"/>
  <c r="Q254" i="35" a="1"/>
  <c r="Q254" i="35" s="1"/>
  <c r="C254" i="35"/>
  <c r="Q253" i="35" a="1"/>
  <c r="Q253" i="35" s="1"/>
  <c r="C253" i="35"/>
  <c r="Q252" i="35" a="1"/>
  <c r="Q252" i="35" s="1"/>
  <c r="C252" i="35"/>
  <c r="Q251" i="35" a="1"/>
  <c r="Q251" i="35" s="1"/>
  <c r="C251" i="35"/>
  <c r="Q250" i="35" a="1"/>
  <c r="Q250" i="35" s="1"/>
  <c r="C250" i="35"/>
  <c r="Q249" i="35" a="1"/>
  <c r="Q249" i="35" s="1"/>
  <c r="C249" i="35"/>
  <c r="Q248" i="35" a="1"/>
  <c r="Q248" i="35" s="1"/>
  <c r="C248" i="35"/>
  <c r="Q247" i="35" a="1"/>
  <c r="Q247" i="35" s="1"/>
  <c r="C247" i="35"/>
  <c r="Q246" i="35" a="1"/>
  <c r="Q246" i="35" s="1"/>
  <c r="C246" i="35"/>
  <c r="Q245" i="35" a="1"/>
  <c r="Q245" i="35" s="1"/>
  <c r="C245" i="35"/>
  <c r="Q244" i="35" a="1"/>
  <c r="Q244" i="35" s="1"/>
  <c r="C244" i="35"/>
  <c r="Q243" i="35" a="1"/>
  <c r="Q243" i="35" s="1"/>
  <c r="C243" i="35"/>
  <c r="Q242" i="35" a="1"/>
  <c r="Q242" i="35" s="1"/>
  <c r="C242" i="35"/>
  <c r="Q241" i="35" a="1"/>
  <c r="Q241" i="35" s="1"/>
  <c r="C241" i="35"/>
  <c r="Q240" i="35" a="1"/>
  <c r="Q240" i="35" s="1"/>
  <c r="C240" i="35"/>
  <c r="Q239" i="35" a="1"/>
  <c r="Q239" i="35" s="1"/>
  <c r="C239" i="35"/>
  <c r="Q238" i="35" a="1"/>
  <c r="Q238" i="35" s="1"/>
  <c r="C238" i="35"/>
  <c r="Q237" i="35" a="1"/>
  <c r="Q237" i="35" s="1"/>
  <c r="C237" i="35"/>
  <c r="Q236" i="35" a="1"/>
  <c r="Q236" i="35" s="1"/>
  <c r="C236" i="35"/>
  <c r="Q235" i="35" a="1"/>
  <c r="Q235" i="35" s="1"/>
  <c r="C235" i="35"/>
  <c r="Q234" i="35" a="1"/>
  <c r="Q234" i="35" s="1"/>
  <c r="C234" i="35"/>
  <c r="Q233" i="35" a="1"/>
  <c r="Q233" i="35" s="1"/>
  <c r="C233" i="35"/>
  <c r="Q232" i="35" a="1"/>
  <c r="Q232" i="35" s="1"/>
  <c r="C232" i="35"/>
  <c r="Q231" i="35" a="1"/>
  <c r="Q231" i="35" s="1"/>
  <c r="C231" i="35"/>
  <c r="Q230" i="35" a="1"/>
  <c r="Q230" i="35" s="1"/>
  <c r="C230" i="35"/>
  <c r="Q229" i="35" a="1"/>
  <c r="Q229" i="35" s="1"/>
  <c r="C229" i="35"/>
  <c r="Q228" i="35" a="1"/>
  <c r="Q228" i="35" s="1"/>
  <c r="C228" i="35"/>
  <c r="Q227" i="35" a="1"/>
  <c r="Q227" i="35" s="1"/>
  <c r="C227" i="35"/>
  <c r="Q226" i="35" a="1"/>
  <c r="Q226" i="35" s="1"/>
  <c r="C226" i="35"/>
  <c r="Q225" i="35" a="1"/>
  <c r="Q225" i="35" s="1"/>
  <c r="C225" i="35"/>
  <c r="Q224" i="35" a="1"/>
  <c r="Q224" i="35" s="1"/>
  <c r="C224" i="35"/>
  <c r="Q223" i="35" a="1"/>
  <c r="Q223" i="35" s="1"/>
  <c r="C223" i="35"/>
  <c r="Q222" i="35" a="1"/>
  <c r="Q222" i="35" s="1"/>
  <c r="C222" i="35"/>
  <c r="Q221" i="35" a="1"/>
  <c r="Q221" i="35" s="1"/>
  <c r="C221" i="35"/>
  <c r="Q220" i="35" a="1"/>
  <c r="Q220" i="35" s="1"/>
  <c r="C220" i="35"/>
  <c r="Q219" i="35" a="1"/>
  <c r="Q219" i="35" s="1"/>
  <c r="C219" i="35"/>
  <c r="Q218" i="35" a="1"/>
  <c r="Q218" i="35" s="1"/>
  <c r="C218" i="35"/>
  <c r="Q217" i="35" a="1"/>
  <c r="Q217" i="35" s="1"/>
  <c r="C217" i="35"/>
  <c r="Q216" i="35" a="1"/>
  <c r="Q216" i="35" s="1"/>
  <c r="C216" i="35"/>
  <c r="Q215" i="35" a="1"/>
  <c r="Q215" i="35" s="1"/>
  <c r="C215" i="35"/>
  <c r="Q214" i="35" a="1"/>
  <c r="Q214" i="35" s="1"/>
  <c r="C214" i="35"/>
  <c r="Q213" i="35" a="1"/>
  <c r="Q213" i="35" s="1"/>
  <c r="C213" i="35"/>
  <c r="Q212" i="35" a="1"/>
  <c r="Q212" i="35" s="1"/>
  <c r="C212" i="35"/>
  <c r="Q211" i="35" a="1"/>
  <c r="Q211" i="35" s="1"/>
  <c r="C211" i="35"/>
  <c r="Q210" i="35" a="1"/>
  <c r="Q210" i="35" s="1"/>
  <c r="C210" i="35"/>
  <c r="Q209" i="35" a="1"/>
  <c r="Q209" i="35" s="1"/>
  <c r="C209" i="35"/>
  <c r="Q208" i="35" a="1"/>
  <c r="Q208" i="35" s="1"/>
  <c r="C208" i="35"/>
  <c r="Q207" i="35" a="1"/>
  <c r="Q207" i="35" s="1"/>
  <c r="C207" i="35"/>
  <c r="Q206" i="35" a="1"/>
  <c r="Q206" i="35" s="1"/>
  <c r="C206" i="35"/>
  <c r="Q205" i="35" a="1"/>
  <c r="Q205" i="35" s="1"/>
  <c r="C205" i="35"/>
  <c r="Q204" i="35" a="1"/>
  <c r="Q204" i="35" s="1"/>
  <c r="C204" i="35"/>
  <c r="Q203" i="35" a="1"/>
  <c r="Q203" i="35" s="1"/>
  <c r="C203" i="35"/>
  <c r="Q202" i="35" a="1"/>
  <c r="Q202" i="35" s="1"/>
  <c r="C202" i="35"/>
  <c r="Q201" i="35" a="1"/>
  <c r="Q201" i="35" s="1"/>
  <c r="C201" i="35"/>
  <c r="Q200" i="35" a="1"/>
  <c r="Q200" i="35" s="1"/>
  <c r="C200" i="35"/>
  <c r="Q199" i="35" a="1"/>
  <c r="Q199" i="35" s="1"/>
  <c r="C199" i="35"/>
  <c r="Q198" i="35" a="1"/>
  <c r="Q198" i="35" s="1"/>
  <c r="C198" i="35"/>
  <c r="Q197" i="35" a="1"/>
  <c r="Q197" i="35" s="1"/>
  <c r="C197" i="35"/>
  <c r="Q196" i="35" a="1"/>
  <c r="Q196" i="35" s="1"/>
  <c r="C196" i="35"/>
  <c r="Q195" i="35" a="1"/>
  <c r="Q195" i="35" s="1"/>
  <c r="C195" i="35"/>
  <c r="Q194" i="35" a="1"/>
  <c r="Q194" i="35" s="1"/>
  <c r="C194" i="35"/>
  <c r="Q193" i="35" a="1"/>
  <c r="Q193" i="35" s="1"/>
  <c r="C193" i="35"/>
  <c r="Q192" i="35" a="1"/>
  <c r="Q192" i="35" s="1"/>
  <c r="C192" i="35"/>
  <c r="Q191" i="35" a="1"/>
  <c r="Q191" i="35" s="1"/>
  <c r="C191" i="35"/>
  <c r="Q190" i="35" a="1"/>
  <c r="Q190" i="35" s="1"/>
  <c r="C190" i="35"/>
  <c r="Q189" i="35" a="1"/>
  <c r="Q189" i="35" s="1"/>
  <c r="C189" i="35"/>
  <c r="Q188" i="35" a="1"/>
  <c r="Q188" i="35" s="1"/>
  <c r="C188" i="35"/>
  <c r="Q187" i="35" a="1"/>
  <c r="Q187" i="35" s="1"/>
  <c r="C187" i="35"/>
  <c r="Q186" i="35" a="1"/>
  <c r="Q186" i="35" s="1"/>
  <c r="C186" i="35"/>
  <c r="Q185" i="35" a="1"/>
  <c r="Q185" i="35" s="1"/>
  <c r="C185" i="35"/>
  <c r="Q184" i="35" a="1"/>
  <c r="Q184" i="35" s="1"/>
  <c r="C184" i="35"/>
  <c r="Q183" i="35" a="1"/>
  <c r="Q183" i="35" s="1"/>
  <c r="C183" i="35"/>
  <c r="Q182" i="35" a="1"/>
  <c r="Q182" i="35" s="1"/>
  <c r="C182" i="35"/>
  <c r="Q181" i="35" a="1"/>
  <c r="Q181" i="35" s="1"/>
  <c r="C181" i="35"/>
  <c r="Q180" i="35" a="1"/>
  <c r="Q180" i="35" s="1"/>
  <c r="C180" i="35"/>
  <c r="Q179" i="35" a="1"/>
  <c r="Q179" i="35" s="1"/>
  <c r="C179" i="35"/>
  <c r="Q178" i="35" a="1"/>
  <c r="Q178" i="35" s="1"/>
  <c r="C178" i="35"/>
  <c r="Q177" i="35" a="1"/>
  <c r="Q177" i="35" s="1"/>
  <c r="C177" i="35"/>
  <c r="Q176" i="35" a="1"/>
  <c r="Q176" i="35" s="1"/>
  <c r="C176" i="35"/>
  <c r="Q175" i="35" a="1"/>
  <c r="Q175" i="35" s="1"/>
  <c r="C175" i="35"/>
  <c r="Q174" i="35" a="1"/>
  <c r="Q174" i="35" s="1"/>
  <c r="C174" i="35"/>
  <c r="Q173" i="35" a="1"/>
  <c r="Q173" i="35" s="1"/>
  <c r="C173" i="35"/>
  <c r="Q172" i="35" a="1"/>
  <c r="Q172" i="35" s="1"/>
  <c r="C172" i="35"/>
  <c r="Q171" i="35" a="1"/>
  <c r="Q171" i="35" s="1"/>
  <c r="C171" i="35"/>
  <c r="Q170" i="35" a="1"/>
  <c r="Q170" i="35" s="1"/>
  <c r="C170" i="35"/>
  <c r="Q169" i="35" a="1"/>
  <c r="Q169" i="35" s="1"/>
  <c r="C169" i="35"/>
  <c r="Q168" i="35" a="1"/>
  <c r="Q168" i="35" s="1"/>
  <c r="C168" i="35"/>
  <c r="Q167" i="35" a="1"/>
  <c r="Q167" i="35" s="1"/>
  <c r="C167" i="35"/>
  <c r="Q166" i="35" a="1"/>
  <c r="Q166" i="35" s="1"/>
  <c r="C166" i="35"/>
  <c r="Q165" i="35" a="1"/>
  <c r="Q165" i="35" s="1"/>
  <c r="C165" i="35"/>
  <c r="Q164" i="35" a="1"/>
  <c r="Q164" i="35" s="1"/>
  <c r="C164" i="35"/>
  <c r="Q163" i="35" a="1"/>
  <c r="Q163" i="35" s="1"/>
  <c r="C163" i="35"/>
  <c r="Q162" i="35" a="1"/>
  <c r="Q162" i="35" s="1"/>
  <c r="C162" i="35"/>
  <c r="Q161" i="35" a="1"/>
  <c r="Q161" i="35" s="1"/>
  <c r="C161" i="35"/>
  <c r="Q160" i="35" a="1"/>
  <c r="Q160" i="35" s="1"/>
  <c r="C160" i="35"/>
  <c r="Q159" i="35" a="1"/>
  <c r="Q159" i="35" s="1"/>
  <c r="C159" i="35"/>
  <c r="Q158" i="35" a="1"/>
  <c r="Q158" i="35" s="1"/>
  <c r="C158" i="35"/>
  <c r="Q157" i="35" a="1"/>
  <c r="Q157" i="35" s="1"/>
  <c r="C157" i="35"/>
  <c r="Q156" i="35" a="1"/>
  <c r="Q156" i="35" s="1"/>
  <c r="C156" i="35"/>
  <c r="Q155" i="35" a="1"/>
  <c r="Q155" i="35" s="1"/>
  <c r="C155" i="35"/>
  <c r="Q154" i="35" a="1"/>
  <c r="Q154" i="35" s="1"/>
  <c r="C154" i="35"/>
  <c r="Q153" i="35" a="1"/>
  <c r="Q153" i="35" s="1"/>
  <c r="C153" i="35"/>
  <c r="Q152" i="35" a="1"/>
  <c r="Q152" i="35" s="1"/>
  <c r="C152" i="35"/>
  <c r="Q151" i="35" a="1"/>
  <c r="Q151" i="35" s="1"/>
  <c r="C151" i="35"/>
  <c r="Q150" i="35" a="1"/>
  <c r="Q150" i="35" s="1"/>
  <c r="C150" i="35"/>
  <c r="Q149" i="35" a="1"/>
  <c r="Q149" i="35" s="1"/>
  <c r="C149" i="35"/>
  <c r="Q148" i="35" a="1"/>
  <c r="Q148" i="35" s="1"/>
  <c r="C148" i="35"/>
  <c r="Q147" i="35" a="1"/>
  <c r="Q147" i="35" s="1"/>
  <c r="C147" i="35"/>
  <c r="Q146" i="35" a="1"/>
  <c r="Q146" i="35" s="1"/>
  <c r="C146" i="35"/>
  <c r="Q145" i="35" a="1"/>
  <c r="Q145" i="35" s="1"/>
  <c r="C145" i="35"/>
  <c r="Q144" i="35" a="1"/>
  <c r="Q144" i="35" s="1"/>
  <c r="C144" i="35"/>
  <c r="Q143" i="35" a="1"/>
  <c r="Q143" i="35" s="1"/>
  <c r="C143" i="35"/>
  <c r="Q142" i="35" a="1"/>
  <c r="Q142" i="35" s="1"/>
  <c r="C142" i="35"/>
  <c r="Q141" i="35" a="1"/>
  <c r="Q141" i="35" s="1"/>
  <c r="C141" i="35"/>
  <c r="Q140" i="35" a="1"/>
  <c r="Q140" i="35" s="1"/>
  <c r="C140" i="35"/>
  <c r="Q139" i="35" a="1"/>
  <c r="Q139" i="35" s="1"/>
  <c r="C139" i="35"/>
  <c r="Q138" i="35" a="1"/>
  <c r="Q138" i="35" s="1"/>
  <c r="C138" i="35"/>
  <c r="Q137" i="35" a="1"/>
  <c r="Q137" i="35" s="1"/>
  <c r="C137" i="35"/>
  <c r="Q136" i="35" a="1"/>
  <c r="Q136" i="35" s="1"/>
  <c r="C136" i="35"/>
  <c r="Q135" i="35" a="1"/>
  <c r="Q135" i="35" s="1"/>
  <c r="C135" i="35"/>
  <c r="Q134" i="35" a="1"/>
  <c r="Q134" i="35" s="1"/>
  <c r="C134" i="35"/>
  <c r="Q133" i="35" a="1"/>
  <c r="Q133" i="35" s="1"/>
  <c r="C133" i="35"/>
  <c r="Q132" i="35" a="1"/>
  <c r="Q132" i="35" s="1"/>
  <c r="C132" i="35"/>
  <c r="Q131" i="35" a="1"/>
  <c r="Q131" i="35" s="1"/>
  <c r="C131" i="35"/>
  <c r="Q130" i="35" a="1"/>
  <c r="Q130" i="35" s="1"/>
  <c r="C130" i="35"/>
  <c r="Q129" i="35" a="1"/>
  <c r="Q129" i="35" s="1"/>
  <c r="C129" i="35"/>
  <c r="Q128" i="35" a="1"/>
  <c r="Q128" i="35" s="1"/>
  <c r="C128" i="35"/>
  <c r="Q127" i="35" a="1"/>
  <c r="Q127" i="35" s="1"/>
  <c r="C127" i="35"/>
  <c r="Q126" i="35" a="1"/>
  <c r="Q126" i="35" s="1"/>
  <c r="C126" i="35"/>
  <c r="Q125" i="35" a="1"/>
  <c r="Q125" i="35" s="1"/>
  <c r="C125" i="35"/>
  <c r="Q124" i="35" a="1"/>
  <c r="Q124" i="35" s="1"/>
  <c r="C124" i="35"/>
  <c r="Q123" i="35" a="1"/>
  <c r="Q123" i="35" s="1"/>
  <c r="C123" i="35"/>
  <c r="Q122" i="35" a="1"/>
  <c r="Q122" i="35" s="1"/>
  <c r="C122" i="35"/>
  <c r="Q121" i="35" a="1"/>
  <c r="Q121" i="35" s="1"/>
  <c r="C121" i="35"/>
  <c r="Q120" i="35" a="1"/>
  <c r="Q120" i="35" s="1"/>
  <c r="C120" i="35"/>
  <c r="Q119" i="35" a="1"/>
  <c r="Q119" i="35" s="1"/>
  <c r="C119" i="35"/>
  <c r="Q118" i="35" a="1"/>
  <c r="Q118" i="35" s="1"/>
  <c r="C118" i="35"/>
  <c r="Q117" i="35" a="1"/>
  <c r="Q117" i="35" s="1"/>
  <c r="C117" i="35"/>
  <c r="Q116" i="35" a="1"/>
  <c r="Q116" i="35" s="1"/>
  <c r="C116" i="35"/>
  <c r="Q115" i="35" a="1"/>
  <c r="Q115" i="35" s="1"/>
  <c r="C115" i="35"/>
  <c r="Q114" i="35" a="1"/>
  <c r="Q114" i="35" s="1"/>
  <c r="C114" i="35"/>
  <c r="Q113" i="35" a="1"/>
  <c r="Q113" i="35" s="1"/>
  <c r="C113" i="35"/>
  <c r="Q112" i="35" a="1"/>
  <c r="Q112" i="35" s="1"/>
  <c r="C112" i="35"/>
  <c r="Q111" i="35" a="1"/>
  <c r="Q111" i="35" s="1"/>
  <c r="C111" i="35"/>
  <c r="Q110" i="35" a="1"/>
  <c r="Q110" i="35" s="1"/>
  <c r="C110" i="35"/>
  <c r="Q109" i="35" a="1"/>
  <c r="Q109" i="35" s="1"/>
  <c r="C109" i="35"/>
  <c r="Q108" i="35" a="1"/>
  <c r="Q108" i="35" s="1"/>
  <c r="C108" i="35"/>
  <c r="Q107" i="35" a="1"/>
  <c r="Q107" i="35" s="1"/>
  <c r="C107" i="35"/>
  <c r="Q106" i="35" a="1"/>
  <c r="Q106" i="35" s="1"/>
  <c r="C106" i="35"/>
  <c r="Q105" i="35" a="1"/>
  <c r="Q105" i="35" s="1"/>
  <c r="C105" i="35"/>
  <c r="Q104" i="35" a="1"/>
  <c r="Q104" i="35" s="1"/>
  <c r="C104" i="35"/>
  <c r="Q103" i="35" a="1"/>
  <c r="Q103" i="35" s="1"/>
  <c r="C103" i="35"/>
  <c r="Q102" i="35" a="1"/>
  <c r="Q102" i="35" s="1"/>
  <c r="C102" i="35"/>
  <c r="Q101" i="35" a="1"/>
  <c r="Q101" i="35" s="1"/>
  <c r="C101" i="35"/>
  <c r="Q100" i="35" a="1"/>
  <c r="Q100" i="35" s="1"/>
  <c r="C100" i="35"/>
  <c r="Q99" i="35" a="1"/>
  <c r="Q99" i="35" s="1"/>
  <c r="C99" i="35"/>
  <c r="Q98" i="35" a="1"/>
  <c r="Q98" i="35" s="1"/>
  <c r="C98" i="35"/>
  <c r="Q97" i="35" a="1"/>
  <c r="Q97" i="35" s="1"/>
  <c r="C97" i="35"/>
  <c r="Q96" i="35" a="1"/>
  <c r="Q96" i="35" s="1"/>
  <c r="C96" i="35"/>
  <c r="Q95" i="35" a="1"/>
  <c r="Q95" i="35" s="1"/>
  <c r="C95" i="35"/>
  <c r="Q94" i="35" a="1"/>
  <c r="Q94" i="35" s="1"/>
  <c r="C94" i="35"/>
  <c r="Q93" i="35" a="1"/>
  <c r="Q93" i="35" s="1"/>
  <c r="C93" i="35"/>
  <c r="Q92" i="35" a="1"/>
  <c r="Q92" i="35" s="1"/>
  <c r="C92" i="35"/>
  <c r="Q91" i="35" a="1"/>
  <c r="Q91" i="35" s="1"/>
  <c r="C91" i="35"/>
  <c r="Q90" i="35" a="1"/>
  <c r="Q90" i="35" s="1"/>
  <c r="C90" i="35"/>
  <c r="Q89" i="35" a="1"/>
  <c r="Q89" i="35" s="1"/>
  <c r="C89" i="35"/>
  <c r="Q88" i="35" a="1"/>
  <c r="Q88" i="35" s="1"/>
  <c r="C88" i="35"/>
  <c r="Q87" i="35" a="1"/>
  <c r="Q87" i="35" s="1"/>
  <c r="C87" i="35"/>
  <c r="Q86" i="35" a="1"/>
  <c r="Q86" i="35" s="1"/>
  <c r="C86" i="35"/>
  <c r="Q85" i="35" a="1"/>
  <c r="Q85" i="35" s="1"/>
  <c r="C85" i="35"/>
  <c r="Q84" i="35" a="1"/>
  <c r="Q84" i="35" s="1"/>
  <c r="C84" i="35"/>
  <c r="Q83" i="35" a="1"/>
  <c r="Q83" i="35" s="1"/>
  <c r="C83" i="35"/>
  <c r="Q82" i="35" a="1"/>
  <c r="Q82" i="35" s="1"/>
  <c r="C82" i="35"/>
  <c r="Q81" i="35" a="1"/>
  <c r="Q81" i="35" s="1"/>
  <c r="C81" i="35"/>
  <c r="Q80" i="35" a="1"/>
  <c r="Q80" i="35" s="1"/>
  <c r="C80" i="35"/>
  <c r="Q79" i="35" a="1"/>
  <c r="Q79" i="35" s="1"/>
  <c r="C79" i="35"/>
  <c r="Q78" i="35" a="1"/>
  <c r="Q78" i="35" s="1"/>
  <c r="C78" i="35"/>
  <c r="Q77" i="35" a="1"/>
  <c r="Q77" i="35" s="1"/>
  <c r="C77" i="35"/>
  <c r="Q76" i="35" a="1"/>
  <c r="Q76" i="35" s="1"/>
  <c r="C76" i="35"/>
  <c r="C76" i="31"/>
  <c r="C77" i="31"/>
  <c r="C78" i="31"/>
  <c r="C79" i="31"/>
  <c r="C80" i="31"/>
  <c r="C81" i="31"/>
  <c r="C82" i="31"/>
  <c r="C83" i="31"/>
  <c r="C84" i="31"/>
  <c r="C85" i="31"/>
  <c r="C86" i="31"/>
  <c r="C87" i="31"/>
  <c r="C88" i="31"/>
  <c r="C89" i="31"/>
  <c r="C90" i="31"/>
  <c r="C91" i="31"/>
  <c r="C92" i="31"/>
  <c r="C93" i="31"/>
  <c r="C94" i="31"/>
  <c r="C95" i="31"/>
  <c r="C96" i="31"/>
  <c r="C97" i="31"/>
  <c r="C98" i="31"/>
  <c r="C99" i="31"/>
  <c r="C100" i="31"/>
  <c r="C101" i="31"/>
  <c r="C102" i="31"/>
  <c r="C103" i="31"/>
  <c r="C104" i="3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C148" i="31"/>
  <c r="C149" i="31"/>
  <c r="C150" i="31"/>
  <c r="C151" i="31"/>
  <c r="C152" i="31"/>
  <c r="C153" i="31"/>
  <c r="C154" i="31"/>
  <c r="C155" i="31"/>
  <c r="C156" i="31"/>
  <c r="C157" i="31"/>
  <c r="C158" i="31"/>
  <c r="C159" i="31"/>
  <c r="C160" i="31"/>
  <c r="C161" i="31"/>
  <c r="C162" i="31"/>
  <c r="C163" i="31"/>
  <c r="C164" i="31"/>
  <c r="C165" i="31"/>
  <c r="C166" i="31"/>
  <c r="C167" i="31"/>
  <c r="C168" i="31"/>
  <c r="C169" i="31"/>
  <c r="C170" i="31"/>
  <c r="C171" i="31"/>
  <c r="C172" i="31"/>
  <c r="C173" i="31"/>
  <c r="C174" i="31"/>
  <c r="C175" i="31"/>
  <c r="C176" i="31"/>
  <c r="C177" i="31"/>
  <c r="C178" i="31"/>
  <c r="C179" i="31"/>
  <c r="C180" i="31"/>
  <c r="C181" i="31"/>
  <c r="C182" i="31"/>
  <c r="C183" i="31"/>
  <c r="C184" i="31"/>
  <c r="C185" i="31"/>
  <c r="C186" i="31"/>
  <c r="C187" i="31"/>
  <c r="C188" i="31"/>
  <c r="C189" i="31"/>
  <c r="C190" i="31"/>
  <c r="C191" i="31"/>
  <c r="C192" i="31"/>
  <c r="C193" i="31"/>
  <c r="C194" i="31"/>
  <c r="C195" i="31"/>
  <c r="C196" i="31"/>
  <c r="C197" i="31"/>
  <c r="C198" i="31"/>
  <c r="C199" i="31"/>
  <c r="C200" i="31"/>
  <c r="C201" i="31"/>
  <c r="C202" i="31"/>
  <c r="C203" i="31"/>
  <c r="C204" i="31"/>
  <c r="C205" i="31"/>
  <c r="C206" i="31"/>
  <c r="C207" i="31"/>
  <c r="C208" i="31"/>
  <c r="C209" i="31"/>
  <c r="C210" i="31"/>
  <c r="C211" i="31"/>
  <c r="C212" i="31"/>
  <c r="C213" i="31"/>
  <c r="C214" i="31"/>
  <c r="C215" i="31"/>
  <c r="C216" i="31"/>
  <c r="C217" i="31"/>
  <c r="C218" i="31"/>
  <c r="C219" i="31"/>
  <c r="C220" i="31"/>
  <c r="C221" i="31"/>
  <c r="C222" i="31"/>
  <c r="C223" i="31"/>
  <c r="C224" i="31"/>
  <c r="C225" i="31"/>
  <c r="C226" i="31"/>
  <c r="C227" i="31"/>
  <c r="C228" i="31"/>
  <c r="C229" i="31"/>
  <c r="C230" i="31"/>
  <c r="C231" i="31"/>
  <c r="C232" i="31"/>
  <c r="C233" i="31"/>
  <c r="C234" i="31"/>
  <c r="C235" i="31"/>
  <c r="C236" i="31"/>
  <c r="C237" i="31"/>
  <c r="C238" i="31"/>
  <c r="C239" i="31"/>
  <c r="C240" i="31"/>
  <c r="C241" i="31"/>
  <c r="C242" i="31"/>
  <c r="C243" i="31"/>
  <c r="C244" i="31"/>
  <c r="C245" i="31"/>
  <c r="C246" i="31"/>
  <c r="C247" i="31"/>
  <c r="C248" i="31"/>
  <c r="C249" i="31"/>
  <c r="C250" i="31"/>
  <c r="C251" i="31"/>
  <c r="C252" i="31"/>
  <c r="C253" i="31"/>
  <c r="C254" i="31"/>
  <c r="C255" i="31"/>
  <c r="C256" i="31"/>
  <c r="C257" i="31"/>
  <c r="C258" i="31"/>
  <c r="C259" i="31"/>
  <c r="C260" i="31"/>
  <c r="C261" i="31"/>
  <c r="C262" i="31"/>
  <c r="C263" i="31"/>
  <c r="C264" i="31"/>
  <c r="C265" i="31"/>
  <c r="C266" i="31"/>
  <c r="C267" i="31"/>
  <c r="C268" i="31"/>
  <c r="C269" i="31"/>
  <c r="C270" i="31"/>
  <c r="C271" i="31"/>
  <c r="C272" i="31"/>
  <c r="C273" i="31"/>
  <c r="C274" i="31"/>
  <c r="C275" i="31"/>
  <c r="C276" i="31"/>
  <c r="C277" i="31"/>
  <c r="C278" i="31"/>
  <c r="C279" i="31"/>
  <c r="C280" i="31"/>
  <c r="C281" i="31"/>
  <c r="C282" i="31"/>
  <c r="C283" i="31"/>
  <c r="C284" i="31"/>
  <c r="C285" i="31"/>
  <c r="C286" i="31"/>
  <c r="C287" i="31"/>
  <c r="C288" i="31"/>
  <c r="C289" i="31"/>
  <c r="C290" i="31"/>
  <c r="C291" i="31"/>
  <c r="C292" i="31"/>
  <c r="C293" i="31"/>
  <c r="C294" i="31"/>
  <c r="C295" i="31"/>
  <c r="C296" i="31"/>
  <c r="C297" i="31"/>
  <c r="C298" i="31"/>
  <c r="C299" i="31"/>
  <c r="C300" i="31"/>
  <c r="C301" i="31"/>
  <c r="C302" i="31"/>
  <c r="C303" i="31"/>
  <c r="C304" i="31"/>
  <c r="C305" i="31"/>
  <c r="C306" i="31"/>
  <c r="C307" i="31"/>
  <c r="C308" i="31"/>
  <c r="C309" i="31"/>
  <c r="C310" i="31"/>
  <c r="C311" i="31"/>
  <c r="C312" i="31"/>
  <c r="C313" i="31"/>
  <c r="C314" i="31"/>
  <c r="C315" i="31"/>
  <c r="C316" i="31"/>
  <c r="C317" i="31"/>
  <c r="C318" i="31"/>
  <c r="C319" i="31"/>
  <c r="C320" i="31"/>
  <c r="C321" i="31"/>
  <c r="C322" i="31"/>
  <c r="C323" i="31"/>
  <c r="C324" i="31"/>
  <c r="C325" i="31"/>
  <c r="C326" i="31"/>
  <c r="C327" i="31"/>
  <c r="C328" i="31"/>
  <c r="C329" i="31"/>
  <c r="C330" i="31"/>
  <c r="C331" i="31"/>
  <c r="C332" i="31"/>
  <c r="C333" i="31"/>
  <c r="C334" i="31"/>
  <c r="C335" i="31"/>
  <c r="C336" i="31"/>
  <c r="C337" i="31"/>
  <c r="C338" i="31"/>
  <c r="C339" i="31"/>
  <c r="C340" i="31"/>
  <c r="C341" i="31"/>
  <c r="C342" i="31"/>
  <c r="C343" i="31"/>
  <c r="C344" i="31"/>
  <c r="C345" i="31"/>
  <c r="C346" i="31"/>
  <c r="C347" i="31"/>
  <c r="C348" i="31"/>
  <c r="C349" i="31"/>
  <c r="C350" i="31"/>
  <c r="C351" i="31"/>
  <c r="C352" i="31"/>
  <c r="C353" i="31"/>
  <c r="C354" i="31"/>
  <c r="C355" i="31"/>
  <c r="C356" i="31"/>
  <c r="C357" i="31"/>
  <c r="C358" i="31"/>
  <c r="C359" i="31"/>
  <c r="C360" i="31"/>
  <c r="C361" i="31"/>
  <c r="C362" i="31"/>
  <c r="C363" i="31"/>
  <c r="C364" i="31"/>
  <c r="C365" i="31"/>
  <c r="C366" i="31"/>
  <c r="C367" i="31"/>
  <c r="C368" i="31"/>
  <c r="C369" i="31"/>
  <c r="C370" i="31"/>
  <c r="C371" i="31"/>
  <c r="C372" i="31"/>
  <c r="C373" i="31"/>
  <c r="C374" i="31"/>
  <c r="C375" i="31"/>
  <c r="C376" i="31"/>
  <c r="C377" i="31"/>
  <c r="C378" i="31"/>
  <c r="C379" i="31"/>
  <c r="C380" i="31"/>
  <c r="C381" i="31"/>
  <c r="C382" i="31"/>
  <c r="C383" i="31"/>
  <c r="C384" i="31"/>
  <c r="C385" i="31"/>
  <c r="C386" i="31"/>
  <c r="C387" i="31"/>
  <c r="C388" i="31"/>
  <c r="C389" i="31"/>
  <c r="C390" i="31"/>
  <c r="C391" i="31"/>
  <c r="C392" i="31"/>
  <c r="C393" i="31"/>
  <c r="C394" i="31"/>
  <c r="C395" i="31"/>
  <c r="C396" i="31"/>
  <c r="C397" i="31"/>
  <c r="C398" i="31"/>
  <c r="C399" i="31"/>
  <c r="C400" i="31"/>
  <c r="C401" i="31"/>
  <c r="C402" i="31"/>
  <c r="C403" i="31"/>
  <c r="C404" i="31"/>
  <c r="C405" i="31"/>
  <c r="C406" i="31"/>
  <c r="C407" i="31"/>
  <c r="C408" i="31"/>
  <c r="C409" i="31"/>
  <c r="C410" i="31"/>
  <c r="C411" i="31"/>
  <c r="C412" i="31"/>
  <c r="C413" i="31"/>
  <c r="C414" i="31"/>
  <c r="C415" i="31"/>
  <c r="C416" i="31"/>
  <c r="C417" i="31"/>
  <c r="C418" i="31"/>
  <c r="C419" i="31"/>
  <c r="C420" i="31"/>
  <c r="C421" i="31"/>
  <c r="C422" i="31"/>
  <c r="C423" i="31"/>
  <c r="C424" i="31"/>
  <c r="C425" i="31"/>
  <c r="C426" i="31"/>
  <c r="C427" i="31"/>
  <c r="C428" i="31"/>
  <c r="C429" i="31"/>
  <c r="C430" i="31"/>
  <c r="C431" i="31"/>
  <c r="C432" i="31"/>
  <c r="C433" i="31"/>
  <c r="C434" i="31"/>
  <c r="C435" i="31"/>
  <c r="C436" i="31"/>
  <c r="C437" i="31"/>
  <c r="C438" i="31"/>
  <c r="Q76" i="31" a="1"/>
  <c r="Q76" i="31" s="1"/>
  <c r="Q77" i="31" a="1"/>
  <c r="Q77" i="31" s="1"/>
  <c r="Q78" i="31" a="1"/>
  <c r="Q78" i="31" s="1"/>
  <c r="Q79" i="31" a="1"/>
  <c r="Q79" i="31" s="1"/>
  <c r="Q80" i="31" a="1"/>
  <c r="Q80" i="31" s="1"/>
  <c r="Q81" i="31" a="1"/>
  <c r="Q81" i="31" s="1"/>
  <c r="Q82" i="31" a="1"/>
  <c r="Q82" i="31" s="1"/>
  <c r="Q83" i="31" a="1"/>
  <c r="Q83" i="31" s="1"/>
  <c r="Q84" i="31" a="1"/>
  <c r="Q84" i="31" s="1"/>
  <c r="Q85" i="31" a="1"/>
  <c r="Q85" i="31" s="1"/>
  <c r="Q86" i="31" a="1"/>
  <c r="Q86" i="31" s="1"/>
  <c r="Q87" i="31" a="1"/>
  <c r="Q87" i="31" s="1"/>
  <c r="Q88" i="31" a="1"/>
  <c r="Q88" i="31" s="1"/>
  <c r="Q89" i="31" a="1"/>
  <c r="Q89" i="31" s="1"/>
  <c r="Q90" i="31" a="1"/>
  <c r="Q90" i="31" s="1"/>
  <c r="Q91" i="31" a="1"/>
  <c r="Q91" i="31" s="1"/>
  <c r="Q92" i="31" a="1"/>
  <c r="Q92" i="31" s="1"/>
  <c r="Q93" i="31" a="1"/>
  <c r="Q93" i="31" s="1"/>
  <c r="Q94" i="31" a="1"/>
  <c r="Q94" i="31" s="1"/>
  <c r="Q95" i="31" a="1"/>
  <c r="Q95" i="31" s="1"/>
  <c r="Q96" i="31" a="1"/>
  <c r="Q96" i="31" s="1"/>
  <c r="Q97" i="31" a="1"/>
  <c r="Q97" i="31" s="1"/>
  <c r="Q98" i="31" a="1"/>
  <c r="Q98" i="31" s="1"/>
  <c r="Q99" i="31" a="1"/>
  <c r="Q99" i="31" s="1"/>
  <c r="Q100" i="31" a="1"/>
  <c r="Q100" i="31" s="1"/>
  <c r="Q101" i="31" a="1"/>
  <c r="Q101" i="31" s="1"/>
  <c r="Q102" i="31" a="1"/>
  <c r="Q102" i="31" s="1"/>
  <c r="Q103" i="31" a="1"/>
  <c r="Q103" i="31" s="1"/>
  <c r="Q104" i="31" a="1"/>
  <c r="Q104" i="31" s="1"/>
  <c r="Q105" i="31" a="1"/>
  <c r="Q105" i="31" s="1"/>
  <c r="Q106" i="31" a="1"/>
  <c r="Q106" i="31" s="1"/>
  <c r="Q107" i="31" a="1"/>
  <c r="Q107" i="31" s="1"/>
  <c r="Q108" i="31" a="1"/>
  <c r="Q108" i="31" s="1"/>
  <c r="Q109" i="31" a="1"/>
  <c r="Q109" i="31" s="1"/>
  <c r="Q110" i="31" a="1"/>
  <c r="Q110" i="31" s="1"/>
  <c r="Q111" i="31" a="1"/>
  <c r="Q111" i="31" s="1"/>
  <c r="Q112" i="31" a="1"/>
  <c r="Q112" i="31" s="1"/>
  <c r="Q113" i="31" a="1"/>
  <c r="Q113" i="31" s="1"/>
  <c r="Q114" i="31" a="1"/>
  <c r="Q114" i="31" s="1"/>
  <c r="Q115" i="31" a="1"/>
  <c r="Q115" i="31" s="1"/>
  <c r="Q116" i="31" a="1"/>
  <c r="Q116" i="31" s="1"/>
  <c r="Q117" i="31" a="1"/>
  <c r="Q117" i="31" s="1"/>
  <c r="Q118" i="31" a="1"/>
  <c r="Q118" i="31" s="1"/>
  <c r="Q119" i="31" a="1"/>
  <c r="Q119" i="31" s="1"/>
  <c r="Q120" i="31" a="1"/>
  <c r="Q120" i="31" s="1"/>
  <c r="Q121" i="31" a="1"/>
  <c r="Q121" i="31" s="1"/>
  <c r="Q122" i="31" a="1"/>
  <c r="Q122" i="31" s="1"/>
  <c r="Q123" i="31" a="1"/>
  <c r="Q123" i="31" s="1"/>
  <c r="Q124" i="31" a="1"/>
  <c r="Q124" i="31" s="1"/>
  <c r="Q125" i="31" a="1"/>
  <c r="Q125" i="31" s="1"/>
  <c r="Q126" i="31" a="1"/>
  <c r="Q126" i="31" s="1"/>
  <c r="Q127" i="31" a="1"/>
  <c r="Q127" i="31" s="1"/>
  <c r="Q128" i="31" a="1"/>
  <c r="Q128" i="31" s="1"/>
  <c r="Q129" i="31" a="1"/>
  <c r="Q129" i="31" s="1"/>
  <c r="Q130" i="31" a="1"/>
  <c r="Q130" i="31" s="1"/>
  <c r="Q131" i="31" a="1"/>
  <c r="Q131" i="31" s="1"/>
  <c r="Q132" i="31" a="1"/>
  <c r="Q132" i="31" s="1"/>
  <c r="Q133" i="31" a="1"/>
  <c r="Q133" i="31" s="1"/>
  <c r="Q134" i="31" a="1"/>
  <c r="Q134" i="31" s="1"/>
  <c r="Q135" i="31" a="1"/>
  <c r="Q135" i="31" s="1"/>
  <c r="Q136" i="31" a="1"/>
  <c r="Q136" i="31" s="1"/>
  <c r="Q137" i="31" a="1"/>
  <c r="Q137" i="31" s="1"/>
  <c r="Q138" i="31" a="1"/>
  <c r="Q138" i="31" s="1"/>
  <c r="Q139" i="31" a="1"/>
  <c r="Q139" i="31" s="1"/>
  <c r="Q140" i="31" a="1"/>
  <c r="Q140" i="31" s="1"/>
  <c r="Q141" i="31" a="1"/>
  <c r="Q141" i="31" s="1"/>
  <c r="Q142" i="31" a="1"/>
  <c r="Q142" i="31" s="1"/>
  <c r="Q143" i="31" a="1"/>
  <c r="Q143" i="31" s="1"/>
  <c r="Q144" i="31" a="1"/>
  <c r="Q144" i="31" s="1"/>
  <c r="Q145" i="31" a="1"/>
  <c r="Q145" i="31" s="1"/>
  <c r="Q146" i="31" a="1"/>
  <c r="Q146" i="31" s="1"/>
  <c r="Q147" i="31" a="1"/>
  <c r="Q147" i="31" s="1"/>
  <c r="Q148" i="31" a="1"/>
  <c r="Q148" i="31" s="1"/>
  <c r="Q149" i="31" a="1"/>
  <c r="Q149" i="31" s="1"/>
  <c r="Q150" i="31" a="1"/>
  <c r="Q150" i="31" s="1"/>
  <c r="Q151" i="31" a="1"/>
  <c r="Q151" i="31" s="1"/>
  <c r="Q152" i="31" a="1"/>
  <c r="Q152" i="31" s="1"/>
  <c r="Q153" i="31" a="1"/>
  <c r="Q153" i="31" s="1"/>
  <c r="Q154" i="31" a="1"/>
  <c r="Q154" i="31" s="1"/>
  <c r="Q155" i="31" a="1"/>
  <c r="Q156" i="31" a="1"/>
  <c r="Q156" i="31" s="1"/>
  <c r="Q157" i="31" a="1"/>
  <c r="Q157" i="31" s="1"/>
  <c r="Q158" i="31" a="1"/>
  <c r="Q158" i="31" s="1"/>
  <c r="Q159" i="31" a="1"/>
  <c r="Q159" i="31" s="1"/>
  <c r="Q160" i="31" a="1"/>
  <c r="Q160" i="31" s="1"/>
  <c r="Q161" i="31" a="1"/>
  <c r="Q161" i="31" s="1"/>
  <c r="Q162" i="31" a="1"/>
  <c r="Q162" i="31" s="1"/>
  <c r="Q163" i="31" a="1"/>
  <c r="Q163" i="31" s="1"/>
  <c r="Q164" i="31" a="1"/>
  <c r="Q164" i="31" s="1"/>
  <c r="Q165" i="31" a="1"/>
  <c r="Q165" i="31" s="1"/>
  <c r="Q166" i="31" a="1"/>
  <c r="Q166" i="31" s="1"/>
  <c r="Q167" i="31" a="1"/>
  <c r="Q167" i="31" s="1"/>
  <c r="Q168" i="31" a="1"/>
  <c r="Q168" i="31" s="1"/>
  <c r="Q169" i="31" a="1"/>
  <c r="Q169" i="31" s="1"/>
  <c r="Q170" i="31" a="1"/>
  <c r="Q170" i="31" s="1"/>
  <c r="Q171" i="31" a="1"/>
  <c r="Q171" i="31" s="1"/>
  <c r="Q172" i="31" a="1"/>
  <c r="Q172" i="31" s="1"/>
  <c r="Q173" i="31" a="1"/>
  <c r="Q173" i="31" s="1"/>
  <c r="Q174" i="31" a="1"/>
  <c r="Q174" i="31" s="1"/>
  <c r="Q175" i="31" a="1"/>
  <c r="Q175" i="31" s="1"/>
  <c r="Q176" i="31" a="1"/>
  <c r="Q176" i="31" s="1"/>
  <c r="Q177" i="31" a="1"/>
  <c r="Q177" i="31" s="1"/>
  <c r="Q178" i="31" a="1"/>
  <c r="Q178" i="31" s="1"/>
  <c r="Q179" i="31" a="1"/>
  <c r="Q179" i="31" s="1"/>
  <c r="Q180" i="31" a="1"/>
  <c r="Q180" i="31" s="1"/>
  <c r="Q181" i="31" a="1"/>
  <c r="Q181" i="31" s="1"/>
  <c r="Q182" i="31" a="1"/>
  <c r="Q182" i="31" s="1"/>
  <c r="Q183" i="31" a="1"/>
  <c r="Q183" i="31" s="1"/>
  <c r="Q184" i="31" a="1"/>
  <c r="Q184" i="31" s="1"/>
  <c r="Q185" i="31" a="1"/>
  <c r="Q185" i="31" s="1"/>
  <c r="Q186" i="31" a="1"/>
  <c r="Q186" i="31" s="1"/>
  <c r="Q187" i="31" a="1"/>
  <c r="Q187" i="31" s="1"/>
  <c r="Q188" i="31" a="1"/>
  <c r="Q188" i="31" s="1"/>
  <c r="Q189" i="31" a="1"/>
  <c r="Q189" i="31" s="1"/>
  <c r="Q190" i="31" a="1"/>
  <c r="Q190" i="31" s="1"/>
  <c r="Q191" i="31" a="1"/>
  <c r="Q191" i="31" s="1"/>
  <c r="Q192" i="31" a="1"/>
  <c r="Q192" i="31" s="1"/>
  <c r="Q193" i="31" a="1"/>
  <c r="Q193" i="31" s="1"/>
  <c r="Q194" i="31" a="1"/>
  <c r="Q194" i="31" s="1"/>
  <c r="Q195" i="31" a="1"/>
  <c r="Q195" i="31" s="1"/>
  <c r="Q196" i="31" a="1"/>
  <c r="Q196" i="31" s="1"/>
  <c r="Q197" i="31" a="1"/>
  <c r="Q197" i="31" s="1"/>
  <c r="Q198" i="31" a="1"/>
  <c r="Q198" i="31" s="1"/>
  <c r="Q199" i="31" a="1"/>
  <c r="Q199" i="31" s="1"/>
  <c r="Q200" i="31" a="1"/>
  <c r="Q200" i="31" s="1"/>
  <c r="Q201" i="31" a="1"/>
  <c r="Q201" i="31" s="1"/>
  <c r="Q202" i="31" a="1"/>
  <c r="Q202" i="31" s="1"/>
  <c r="Q203" i="31" a="1"/>
  <c r="Q203" i="31" s="1"/>
  <c r="Q204" i="31" a="1"/>
  <c r="Q204" i="31" s="1"/>
  <c r="Q205" i="31" a="1"/>
  <c r="Q205" i="31" s="1"/>
  <c r="Q206" i="31" a="1"/>
  <c r="Q206" i="31" s="1"/>
  <c r="Q207" i="31" a="1"/>
  <c r="Q207" i="31" s="1"/>
  <c r="Q208" i="31" a="1"/>
  <c r="Q208" i="31" s="1"/>
  <c r="Q209" i="31" a="1"/>
  <c r="Q209" i="31" s="1"/>
  <c r="Q210" i="31" a="1"/>
  <c r="Q210" i="31" s="1"/>
  <c r="Q211" i="31" a="1"/>
  <c r="Q211" i="31" s="1"/>
  <c r="Q212" i="31" a="1"/>
  <c r="Q212" i="31" s="1"/>
  <c r="Q213" i="31" a="1"/>
  <c r="Q213" i="31" s="1"/>
  <c r="Q214" i="31" a="1"/>
  <c r="Q214" i="31" s="1"/>
  <c r="Q215" i="31" a="1"/>
  <c r="Q215" i="31" s="1"/>
  <c r="Q216" i="31" a="1"/>
  <c r="Q216" i="31" s="1"/>
  <c r="Q217" i="31" a="1"/>
  <c r="Q217" i="31" s="1"/>
  <c r="Q218" i="31" a="1"/>
  <c r="Q218" i="31" s="1"/>
  <c r="Q219" i="31" a="1"/>
  <c r="Q219" i="31" s="1"/>
  <c r="Q220" i="31" a="1"/>
  <c r="Q220" i="31" s="1"/>
  <c r="Q221" i="31" a="1"/>
  <c r="Q221" i="31" s="1"/>
  <c r="Q222" i="31" a="1"/>
  <c r="Q222" i="31" s="1"/>
  <c r="Q223" i="31" a="1"/>
  <c r="Q223" i="31" s="1"/>
  <c r="Q224" i="31" a="1"/>
  <c r="Q224" i="31" s="1"/>
  <c r="Q225" i="31" a="1"/>
  <c r="Q225" i="31" s="1"/>
  <c r="Q226" i="31" a="1"/>
  <c r="Q226" i="31" s="1"/>
  <c r="Q227" i="31" a="1"/>
  <c r="Q227" i="31" s="1"/>
  <c r="Q228" i="31" a="1"/>
  <c r="Q228" i="31" s="1"/>
  <c r="Q229" i="31" a="1"/>
  <c r="Q229" i="31" s="1"/>
  <c r="Q230" i="31" a="1"/>
  <c r="Q230" i="31" s="1"/>
  <c r="Q231" i="31" a="1"/>
  <c r="Q231" i="31" s="1"/>
  <c r="Q232" i="31" a="1"/>
  <c r="Q232" i="31" s="1"/>
  <c r="Q233" i="31" a="1"/>
  <c r="Q233" i="31" s="1"/>
  <c r="Q234" i="31" a="1"/>
  <c r="Q234" i="31" s="1"/>
  <c r="Q235" i="31" a="1"/>
  <c r="Q235" i="31" s="1"/>
  <c r="Q236" i="31" a="1"/>
  <c r="Q236" i="31" s="1"/>
  <c r="Q237" i="31" a="1"/>
  <c r="Q237" i="31" s="1"/>
  <c r="Q238" i="31" a="1"/>
  <c r="Q238" i="31" s="1"/>
  <c r="Q239" i="31" a="1"/>
  <c r="Q239" i="31" s="1"/>
  <c r="Q240" i="31" a="1"/>
  <c r="Q240" i="31" s="1"/>
  <c r="Q241" i="31" a="1"/>
  <c r="Q241" i="31" s="1"/>
  <c r="Q242" i="31" a="1"/>
  <c r="Q242" i="31" s="1"/>
  <c r="Q243" i="31" a="1"/>
  <c r="Q243" i="31" s="1"/>
  <c r="Q244" i="31" a="1"/>
  <c r="Q244" i="31" s="1"/>
  <c r="Q245" i="31" a="1"/>
  <c r="Q245" i="31" s="1"/>
  <c r="Q246" i="31" a="1"/>
  <c r="Q246" i="31" s="1"/>
  <c r="Q247" i="31" a="1"/>
  <c r="Q247" i="31" s="1"/>
  <c r="Q248" i="31" a="1"/>
  <c r="Q248" i="31" s="1"/>
  <c r="Q249" i="31" a="1"/>
  <c r="Q249" i="31" s="1"/>
  <c r="Q250" i="31" a="1"/>
  <c r="Q250" i="31" s="1"/>
  <c r="Q251" i="31" a="1"/>
  <c r="Q251" i="31" s="1"/>
  <c r="Q252" i="31" a="1"/>
  <c r="Q252" i="31" s="1"/>
  <c r="Q253" i="31" a="1"/>
  <c r="Q253" i="31" s="1"/>
  <c r="Q254" i="31" a="1"/>
  <c r="Q254" i="31" s="1"/>
  <c r="Q255" i="31" a="1"/>
  <c r="Q255" i="31" s="1"/>
  <c r="Q256" i="31" a="1"/>
  <c r="Q256" i="31" s="1"/>
  <c r="Q257" i="31" a="1"/>
  <c r="Q257" i="31" s="1"/>
  <c r="Q258" i="31" a="1"/>
  <c r="Q258" i="31" s="1"/>
  <c r="Q259" i="31" a="1"/>
  <c r="Q259" i="31" s="1"/>
  <c r="Q260" i="31" a="1"/>
  <c r="Q260" i="31" s="1"/>
  <c r="Q261" i="31" a="1"/>
  <c r="Q261" i="31" s="1"/>
  <c r="Q262" i="31" a="1"/>
  <c r="Q262" i="31" s="1"/>
  <c r="Q263" i="31" a="1"/>
  <c r="Q263" i="31" s="1"/>
  <c r="Q264" i="31" a="1"/>
  <c r="Q264" i="31" s="1"/>
  <c r="Q265" i="31" a="1"/>
  <c r="Q265" i="31" s="1"/>
  <c r="Q266" i="31" a="1"/>
  <c r="Q266" i="31" s="1"/>
  <c r="Q267" i="31" a="1"/>
  <c r="Q267" i="31" s="1"/>
  <c r="Q268" i="31" a="1"/>
  <c r="Q268" i="31" s="1"/>
  <c r="Q269" i="31" a="1"/>
  <c r="Q269" i="31" s="1"/>
  <c r="Q270" i="31" a="1"/>
  <c r="Q270" i="31" s="1"/>
  <c r="Q271" i="31" a="1"/>
  <c r="Q271" i="31" s="1"/>
  <c r="Q272" i="31" a="1"/>
  <c r="Q272" i="31" s="1"/>
  <c r="Q273" i="31" a="1"/>
  <c r="Q273" i="31" s="1"/>
  <c r="Q274" i="31" a="1"/>
  <c r="Q274" i="31" s="1"/>
  <c r="Q275" i="31" a="1"/>
  <c r="Q275" i="31" s="1"/>
  <c r="Q276" i="31" a="1"/>
  <c r="Q276" i="31" s="1"/>
  <c r="Q277" i="31" a="1"/>
  <c r="Q277" i="31" s="1"/>
  <c r="Q278" i="31" a="1"/>
  <c r="Q278" i="31" s="1"/>
  <c r="Q279" i="31" a="1"/>
  <c r="Q279" i="31" s="1"/>
  <c r="Q280" i="31" a="1"/>
  <c r="Q280" i="31" s="1"/>
  <c r="Q281" i="31" a="1"/>
  <c r="Q281" i="31" s="1"/>
  <c r="Q282" i="31" a="1"/>
  <c r="Q282" i="31" s="1"/>
  <c r="Q283" i="31" a="1"/>
  <c r="Q283" i="31" s="1"/>
  <c r="Q284" i="31" a="1"/>
  <c r="Q284" i="31" s="1"/>
  <c r="Q285" i="31" a="1"/>
  <c r="Q285" i="31" s="1"/>
  <c r="Q286" i="31" a="1"/>
  <c r="Q286" i="31" s="1"/>
  <c r="Q287" i="31" a="1"/>
  <c r="Q287" i="31" s="1"/>
  <c r="Q288" i="31" a="1"/>
  <c r="Q288" i="31" s="1"/>
  <c r="Q289" i="31" a="1"/>
  <c r="Q289" i="31" s="1"/>
  <c r="Q290" i="31" a="1"/>
  <c r="Q290" i="31" s="1"/>
  <c r="Q291" i="31" a="1"/>
  <c r="Q291" i="31" s="1"/>
  <c r="Q292" i="31" a="1"/>
  <c r="Q292" i="31" s="1"/>
  <c r="Q293" i="31" a="1"/>
  <c r="Q293" i="31" s="1"/>
  <c r="Q294" i="31" a="1"/>
  <c r="Q294" i="31" s="1"/>
  <c r="Q295" i="31" a="1"/>
  <c r="Q295" i="31" s="1"/>
  <c r="Q296" i="31" a="1"/>
  <c r="Q296" i="31" s="1"/>
  <c r="Q297" i="31" a="1"/>
  <c r="Q297" i="31" s="1"/>
  <c r="Q298" i="31" a="1"/>
  <c r="Q298" i="31" s="1"/>
  <c r="Q299" i="31" a="1"/>
  <c r="Q299" i="31" s="1"/>
  <c r="Q300" i="31" a="1"/>
  <c r="Q300" i="31" s="1"/>
  <c r="Q301" i="31" a="1"/>
  <c r="Q301" i="31" s="1"/>
  <c r="Q302" i="31" a="1"/>
  <c r="Q302" i="31" s="1"/>
  <c r="Q303" i="31" a="1"/>
  <c r="Q303" i="31" s="1"/>
  <c r="Q304" i="31" a="1"/>
  <c r="Q304" i="31" s="1"/>
  <c r="Q305" i="31" a="1"/>
  <c r="Q305" i="31" s="1"/>
  <c r="Q306" i="31" a="1"/>
  <c r="Q306" i="31" s="1"/>
  <c r="Q307" i="31" a="1"/>
  <c r="Q307" i="31" s="1"/>
  <c r="Q308" i="31" a="1"/>
  <c r="Q308" i="31" s="1"/>
  <c r="Q309" i="31" a="1"/>
  <c r="Q309" i="31" s="1"/>
  <c r="Q310" i="31" a="1"/>
  <c r="Q310" i="31" s="1"/>
  <c r="Q311" i="31" a="1"/>
  <c r="Q311" i="31" s="1"/>
  <c r="Q312" i="31" a="1"/>
  <c r="Q312" i="31" s="1"/>
  <c r="Q313" i="31" a="1"/>
  <c r="Q313" i="31" s="1"/>
  <c r="Q314" i="31" a="1"/>
  <c r="Q314" i="31" s="1"/>
  <c r="Q315" i="31" a="1"/>
  <c r="Q315" i="31" s="1"/>
  <c r="Q316" i="31" a="1"/>
  <c r="Q316" i="31" s="1"/>
  <c r="Q317" i="31" a="1"/>
  <c r="Q317" i="31" s="1"/>
  <c r="Q318" i="31" a="1"/>
  <c r="Q318" i="31" s="1"/>
  <c r="Q319" i="31" a="1"/>
  <c r="Q319" i="31" s="1"/>
  <c r="Q320" i="31" a="1"/>
  <c r="Q320" i="31" s="1"/>
  <c r="Q321" i="31" a="1"/>
  <c r="Q321" i="31" s="1"/>
  <c r="Q322" i="31" a="1"/>
  <c r="Q322" i="31" s="1"/>
  <c r="Q323" i="31" a="1"/>
  <c r="Q323" i="31" s="1"/>
  <c r="Q324" i="31" a="1"/>
  <c r="Q324" i="31" s="1"/>
  <c r="Q325" i="31" a="1"/>
  <c r="Q325" i="31" s="1"/>
  <c r="Q326" i="31" a="1"/>
  <c r="Q326" i="31" s="1"/>
  <c r="Q327" i="31" a="1"/>
  <c r="Q327" i="31" s="1"/>
  <c r="Q328" i="31" a="1"/>
  <c r="Q328" i="31" s="1"/>
  <c r="Q329" i="31" a="1"/>
  <c r="Q329" i="31" s="1"/>
  <c r="Q330" i="31" a="1"/>
  <c r="Q330" i="31" s="1"/>
  <c r="Q331" i="31" a="1"/>
  <c r="Q331" i="31" s="1"/>
  <c r="Q332" i="31" a="1"/>
  <c r="Q332" i="31" s="1"/>
  <c r="Q333" i="31" a="1"/>
  <c r="Q333" i="31" s="1"/>
  <c r="Q334" i="31" a="1"/>
  <c r="Q334" i="31" s="1"/>
  <c r="Q335" i="31" a="1"/>
  <c r="Q335" i="31" s="1"/>
  <c r="Q336" i="31" a="1"/>
  <c r="Q336" i="31" s="1"/>
  <c r="Q337" i="31" a="1"/>
  <c r="Q337" i="31" s="1"/>
  <c r="Q338" i="31" a="1"/>
  <c r="Q338" i="31" s="1"/>
  <c r="Q339" i="31" a="1"/>
  <c r="Q339" i="31" s="1"/>
  <c r="Q340" i="31" a="1"/>
  <c r="Q340" i="31" s="1"/>
  <c r="Q341" i="31" a="1"/>
  <c r="Q341" i="31" s="1"/>
  <c r="Q342" i="31" a="1"/>
  <c r="Q342" i="31" s="1"/>
  <c r="Q343" i="31" a="1"/>
  <c r="Q343" i="31" s="1"/>
  <c r="Q344" i="31" a="1"/>
  <c r="Q344" i="31" s="1"/>
  <c r="Q345" i="31" a="1"/>
  <c r="Q345" i="31" s="1"/>
  <c r="Q346" i="31" a="1"/>
  <c r="Q346" i="31" s="1"/>
  <c r="Q347" i="31" a="1"/>
  <c r="Q347" i="31" s="1"/>
  <c r="Q348" i="31" a="1"/>
  <c r="Q348" i="31" s="1"/>
  <c r="Q349" i="31" a="1"/>
  <c r="Q349" i="31" s="1"/>
  <c r="Q350" i="31" a="1"/>
  <c r="Q350" i="31" s="1"/>
  <c r="Q351" i="31" a="1"/>
  <c r="Q351" i="31" s="1"/>
  <c r="Q352" i="31" a="1"/>
  <c r="Q352" i="31" s="1"/>
  <c r="Q353" i="31" a="1"/>
  <c r="Q353" i="31" s="1"/>
  <c r="Q354" i="31" a="1"/>
  <c r="Q354" i="31" s="1"/>
  <c r="Q355" i="31" a="1"/>
  <c r="Q355" i="31" s="1"/>
  <c r="Q356" i="31" a="1"/>
  <c r="Q356" i="31" s="1"/>
  <c r="Q357" i="31" a="1"/>
  <c r="Q357" i="31" s="1"/>
  <c r="Q358" i="31" a="1"/>
  <c r="Q358" i="31" s="1"/>
  <c r="Q359" i="31" a="1"/>
  <c r="Q359" i="31" s="1"/>
  <c r="Q360" i="31" a="1"/>
  <c r="Q360" i="31" s="1"/>
  <c r="Q361" i="31" a="1"/>
  <c r="Q361" i="31" s="1"/>
  <c r="Q362" i="31" a="1"/>
  <c r="Q362" i="31" s="1"/>
  <c r="Q363" i="31" a="1"/>
  <c r="Q363" i="31" s="1"/>
  <c r="Q364" i="31" a="1"/>
  <c r="Q364" i="31" s="1"/>
  <c r="Q365" i="31" a="1"/>
  <c r="Q365" i="31" s="1"/>
  <c r="Q366" i="31" a="1"/>
  <c r="Q366" i="31" s="1"/>
  <c r="Q367" i="31" a="1"/>
  <c r="Q367" i="31" s="1"/>
  <c r="Q368" i="31" a="1"/>
  <c r="Q368" i="31" s="1"/>
  <c r="Q369" i="31" a="1"/>
  <c r="Q369" i="31" s="1"/>
  <c r="Q370" i="31" a="1"/>
  <c r="Q370" i="31" s="1"/>
  <c r="Q371" i="31" a="1"/>
  <c r="Q371" i="31" s="1"/>
  <c r="Q372" i="31" a="1"/>
  <c r="Q372" i="31" s="1"/>
  <c r="Q373" i="31" a="1"/>
  <c r="Q373" i="31" s="1"/>
  <c r="Q374" i="31" a="1"/>
  <c r="Q374" i="31" s="1"/>
  <c r="Q375" i="31" a="1"/>
  <c r="Q375" i="31" s="1"/>
  <c r="Q376" i="31" a="1"/>
  <c r="Q376" i="31" s="1"/>
  <c r="Q377" i="31" a="1"/>
  <c r="Q377" i="31" s="1"/>
  <c r="Q378" i="31" a="1"/>
  <c r="Q378" i="31" s="1"/>
  <c r="Q379" i="31" a="1"/>
  <c r="Q379" i="31" s="1"/>
  <c r="Q380" i="31" a="1"/>
  <c r="Q380" i="31" s="1"/>
  <c r="Q381" i="31" a="1"/>
  <c r="Q381" i="31" s="1"/>
  <c r="Q382" i="31" a="1"/>
  <c r="Q382" i="31" s="1"/>
  <c r="Q383" i="31" a="1"/>
  <c r="Q383" i="31" s="1"/>
  <c r="Q384" i="31" a="1"/>
  <c r="Q384" i="31" s="1"/>
  <c r="Q385" i="31" a="1"/>
  <c r="Q385" i="31" s="1"/>
  <c r="Q386" i="31" a="1"/>
  <c r="Q386" i="31" s="1"/>
  <c r="Q387" i="31" a="1"/>
  <c r="Q387" i="31" s="1"/>
  <c r="Q388" i="31" a="1"/>
  <c r="Q388" i="31" s="1"/>
  <c r="Q389" i="31" a="1"/>
  <c r="Q389" i="31" s="1"/>
  <c r="Q390" i="31" a="1"/>
  <c r="Q390" i="31" s="1"/>
  <c r="Q391" i="31" a="1"/>
  <c r="Q391" i="31" s="1"/>
  <c r="Q392" i="31" a="1"/>
  <c r="Q392" i="31" s="1"/>
  <c r="Q393" i="31" a="1"/>
  <c r="Q393" i="31" s="1"/>
  <c r="Q394" i="31" a="1"/>
  <c r="Q394" i="31" s="1"/>
  <c r="Q395" i="31" a="1"/>
  <c r="Q395" i="31" s="1"/>
  <c r="Q396" i="31" a="1"/>
  <c r="Q396" i="31" s="1"/>
  <c r="Q397" i="31" a="1"/>
  <c r="Q397" i="31" s="1"/>
  <c r="Q398" i="31" a="1"/>
  <c r="Q398" i="31" s="1"/>
  <c r="Q399" i="31" a="1"/>
  <c r="Q399" i="31" s="1"/>
  <c r="Q400" i="31" a="1"/>
  <c r="Q400" i="31" s="1"/>
  <c r="Q401" i="31" a="1"/>
  <c r="Q401" i="31" s="1"/>
  <c r="Q402" i="31" a="1"/>
  <c r="Q402" i="31" s="1"/>
  <c r="Q403" i="31" a="1"/>
  <c r="Q403" i="31" s="1"/>
  <c r="Q404" i="31" a="1"/>
  <c r="Q404" i="31" s="1"/>
  <c r="Q405" i="31" a="1"/>
  <c r="Q405" i="31" s="1"/>
  <c r="Q406" i="31" a="1"/>
  <c r="Q406" i="31" s="1"/>
  <c r="Q407" i="31" a="1"/>
  <c r="Q407" i="31" s="1"/>
  <c r="Q408" i="31" a="1"/>
  <c r="Q408" i="31" s="1"/>
  <c r="Q409" i="31" a="1"/>
  <c r="Q409" i="31" s="1"/>
  <c r="Q410" i="31" a="1"/>
  <c r="Q410" i="31" s="1"/>
  <c r="Q411" i="31" a="1"/>
  <c r="Q411" i="31" s="1"/>
  <c r="Q412" i="31" a="1"/>
  <c r="Q412" i="31" s="1"/>
  <c r="Q413" i="31" a="1"/>
  <c r="Q413" i="31" s="1"/>
  <c r="Q414" i="31" a="1"/>
  <c r="Q414" i="31" s="1"/>
  <c r="Q415" i="31" a="1"/>
  <c r="Q415" i="31" s="1"/>
  <c r="Q416" i="31" a="1"/>
  <c r="Q416" i="31" s="1"/>
  <c r="Q417" i="31" a="1"/>
  <c r="Q417" i="31" s="1"/>
  <c r="Q418" i="31" a="1"/>
  <c r="Q418" i="31" s="1"/>
  <c r="Q419" i="31" a="1"/>
  <c r="Q419" i="31" s="1"/>
  <c r="Q420" i="31" a="1"/>
  <c r="Q420" i="31" s="1"/>
  <c r="Q421" i="31" a="1"/>
  <c r="Q421" i="31" s="1"/>
  <c r="Q422" i="31" a="1"/>
  <c r="Q422" i="31" s="1"/>
  <c r="Q423" i="31" a="1"/>
  <c r="Q423" i="31" s="1"/>
  <c r="Q424" i="31" a="1"/>
  <c r="Q424" i="31" s="1"/>
  <c r="Q425" i="31" a="1"/>
  <c r="Q425" i="31" s="1"/>
  <c r="Q426" i="31" a="1"/>
  <c r="Q426" i="31" s="1"/>
  <c r="Q427" i="31" a="1"/>
  <c r="Q427" i="31" s="1"/>
  <c r="Q428" i="31" a="1"/>
  <c r="Q428" i="31" s="1"/>
  <c r="Q429" i="31" a="1"/>
  <c r="Q429" i="31" s="1"/>
  <c r="Q430" i="31" a="1"/>
  <c r="Q430" i="31" s="1"/>
  <c r="Q431" i="31" a="1"/>
  <c r="Q431" i="31" s="1"/>
  <c r="Q432" i="31" a="1"/>
  <c r="Q432" i="31" s="1"/>
  <c r="Q433" i="31" a="1"/>
  <c r="Q433" i="31" s="1"/>
  <c r="Q434" i="31" a="1"/>
  <c r="Q434" i="31" s="1"/>
  <c r="Q435" i="31" a="1"/>
  <c r="Q435" i="31" s="1"/>
  <c r="Q436" i="31" a="1"/>
  <c r="Q436" i="31" s="1"/>
  <c r="Q437" i="31" a="1"/>
  <c r="Q437" i="31" s="1"/>
  <c r="Q438" i="31" a="1"/>
  <c r="Q438" i="31" s="1"/>
  <c r="B1" i="29"/>
  <c r="F4" i="21" a="1"/>
  <c r="F4" i="21" s="1"/>
  <c r="F34" i="23" a="1"/>
  <c r="F34" i="23" s="1"/>
  <c r="F35" i="23" s="1" a="1"/>
  <c r="F35" i="23" s="1"/>
  <c r="F36" i="23" a="1"/>
  <c r="F36" i="23" s="1"/>
  <c r="C8" i="24" a="1"/>
  <c r="C8" i="24" s="1"/>
  <c r="C8" i="21" a="1"/>
  <c r="C8" i="21" s="1"/>
  <c r="C8" i="26" a="1"/>
  <c r="C8" i="26" s="1"/>
  <c r="C8" i="23" a="1"/>
  <c r="C8" i="23" s="1"/>
  <c r="C18" i="27" a="1"/>
  <c r="C18" i="27" s="1"/>
  <c r="C16" i="27" a="1"/>
  <c r="C16" i="27" s="1"/>
  <c r="C14" i="27" a="1"/>
  <c r="C14" i="27" s="1"/>
  <c r="C12" i="27" a="1"/>
  <c r="C12" i="27" s="1"/>
  <c r="C10" i="27" a="1"/>
  <c r="C10" i="27" s="1"/>
  <c r="C8" i="27" a="1"/>
  <c r="C8" i="27" s="1"/>
  <c r="I65" i="30" a="1"/>
  <c r="I82" i="30" a="1"/>
  <c r="I90" i="30" a="1"/>
  <c r="I179" i="30" a="1"/>
  <c r="I172" i="30" a="1"/>
  <c r="I177" i="30" a="1"/>
  <c r="I155" i="30" a="1"/>
  <c r="I52" i="30" a="1"/>
  <c r="I184" i="30" a="1"/>
  <c r="I14" i="30" a="1"/>
  <c r="I71" i="30" a="1"/>
  <c r="I13" i="30" a="1"/>
  <c r="I31" i="30" a="1"/>
  <c r="I135" i="30" a="1"/>
  <c r="I58" i="30" a="1"/>
  <c r="I94" i="30" a="1"/>
  <c r="I174" i="30" a="1"/>
  <c r="I10" i="30" a="1"/>
  <c r="I125" i="30" a="1"/>
  <c r="I78" i="30" a="1"/>
  <c r="I28" i="30" a="1"/>
  <c r="I182" i="30" a="1"/>
  <c r="I87" i="30" a="1"/>
  <c r="I115" i="30" a="1"/>
  <c r="I74" i="30" a="1"/>
  <c r="I27" i="30" a="1"/>
  <c r="I49" i="30" a="1"/>
  <c r="I205" i="30" a="1"/>
  <c r="I198" i="30" a="1"/>
  <c r="I9" i="30" a="1"/>
  <c r="I15" i="30" a="1"/>
  <c r="I92" i="30" a="1"/>
  <c r="I193" i="30" a="1"/>
  <c r="I39" i="30" a="1"/>
  <c r="I147" i="30" a="1"/>
  <c r="I24" i="30" a="1"/>
  <c r="I86" i="30" a="1"/>
  <c r="I105" i="30" a="1"/>
  <c r="I107" i="30" a="1"/>
  <c r="I153" i="30" a="1"/>
  <c r="I77" i="30" a="1"/>
  <c r="I55" i="30" a="1"/>
  <c r="I21" i="30" a="1"/>
  <c r="I141" i="30" a="1"/>
  <c r="I6" i="30" a="1"/>
  <c r="I121" i="30" a="1"/>
  <c r="I164" i="30" a="1"/>
  <c r="I111" i="30" a="1"/>
  <c r="I3" i="30" a="1"/>
  <c r="I194" i="30" a="1"/>
  <c r="I129" i="30" a="1"/>
  <c r="I7" i="30" a="1"/>
  <c r="I114" i="30" a="1"/>
  <c r="I178" i="30" a="1"/>
  <c r="I4" i="30" a="1"/>
  <c r="I29" i="30" a="1"/>
  <c r="I18" i="30" a="1"/>
  <c r="I197" i="30" a="1"/>
  <c r="I16" i="30" a="1"/>
  <c r="I136" i="30" a="1"/>
  <c r="I17" i="30" a="1"/>
  <c r="I45" i="30" a="1"/>
  <c r="I166" i="30" a="1"/>
  <c r="I145" i="30" a="1"/>
  <c r="I85" i="30" a="1"/>
  <c r="I151" i="30" a="1"/>
  <c r="I208" i="30" a="1"/>
  <c r="I176" i="30" a="1"/>
  <c r="I201" i="30" a="1"/>
  <c r="I106" i="30" a="1"/>
  <c r="I67" i="30" a="1"/>
  <c r="I8" i="30" a="1"/>
  <c r="I66" i="30" a="1"/>
  <c r="I150" i="30" a="1"/>
  <c r="I149" i="30" a="1"/>
  <c r="I130" i="30" a="1"/>
  <c r="I159" i="30" a="1"/>
  <c r="I93" i="30" a="1"/>
  <c r="I165" i="30" a="1"/>
  <c r="I73" i="30" a="1"/>
  <c r="I20" i="30" a="1"/>
  <c r="I180" i="30" a="1"/>
  <c r="I79" i="30" a="1"/>
  <c r="I206" i="30" a="1"/>
  <c r="I54" i="30" a="1"/>
  <c r="I60" i="30" a="1"/>
  <c r="I42" i="30" a="1"/>
  <c r="I57" i="30" a="1"/>
  <c r="I127" i="30" a="1"/>
  <c r="I11" i="30" a="1"/>
  <c r="I134" i="30" a="1"/>
  <c r="I192" i="30" a="1"/>
  <c r="I187" i="30" a="1"/>
  <c r="I81" i="30" a="1"/>
  <c r="I95" i="30" a="1"/>
  <c r="I38" i="30" a="1"/>
  <c r="I152" i="30" a="1"/>
  <c r="I113" i="30" a="1"/>
  <c r="I102" i="30" a="1"/>
  <c r="I69" i="30" a="1"/>
  <c r="I117" i="30" a="1"/>
  <c r="I143" i="30" a="1"/>
  <c r="I144" i="30" a="1"/>
  <c r="I30" i="30" a="1"/>
  <c r="I96" i="30" a="1"/>
  <c r="I68" i="30" a="1"/>
  <c r="I175" i="30" a="1"/>
  <c r="I63" i="30" a="1"/>
  <c r="I76" i="30" a="1"/>
  <c r="I202" i="30" a="1"/>
  <c r="I40" i="30" a="1"/>
  <c r="I171" i="30" a="1"/>
  <c r="I137" i="30" a="1"/>
  <c r="I101" i="30" a="1"/>
  <c r="I59" i="30" a="1"/>
  <c r="I196" i="30" a="1"/>
  <c r="I5" i="30" a="1"/>
  <c r="I131" i="30" a="1"/>
  <c r="I91" i="30" a="1"/>
  <c r="I48" i="30" a="1"/>
  <c r="I120" i="30" a="1"/>
  <c r="I186" i="30" a="1"/>
  <c r="I203" i="30" a="1"/>
  <c r="I188" i="30" a="1"/>
  <c r="I25" i="30" a="1"/>
  <c r="I98" i="30" a="1"/>
  <c r="I12" i="30" a="1"/>
  <c r="I22" i="30" a="1"/>
  <c r="I156" i="30" a="1"/>
  <c r="I209" i="30" a="1"/>
  <c r="I99" i="30" a="1"/>
  <c r="I122" i="30" a="1"/>
  <c r="I170" i="30" a="1"/>
  <c r="I128" i="30" a="1"/>
  <c r="I89" i="30" a="1"/>
  <c r="I173" i="30" a="1"/>
  <c r="I160" i="30" a="1"/>
  <c r="I44" i="30" a="1"/>
  <c r="I116" i="30" a="1"/>
  <c r="I154" i="30" a="1"/>
  <c r="I83" i="30" a="1"/>
  <c r="I37" i="30" a="1"/>
  <c r="I72" i="30" a="1"/>
  <c r="I43" i="30" a="1"/>
  <c r="I64" i="30" a="1"/>
  <c r="I138" i="30" a="1"/>
  <c r="I70" i="30" a="1"/>
  <c r="I204" i="30" a="1"/>
  <c r="I139" i="30" a="1"/>
  <c r="I124" i="30" a="1"/>
  <c r="I163" i="30" a="1"/>
  <c r="I97" i="30" a="1"/>
  <c r="I26" i="30" a="1"/>
  <c r="I104" i="30" a="1"/>
  <c r="I19" i="30" a="1"/>
  <c r="I190" i="30" a="1"/>
  <c r="I88" i="30" a="1"/>
  <c r="I51" i="30" a="1"/>
  <c r="I200" i="30" a="1"/>
  <c r="I132" i="30" a="1"/>
  <c r="I100" i="30" a="1"/>
  <c r="I103" i="30" a="1"/>
  <c r="I140" i="30" a="1"/>
  <c r="I61" i="30" a="1"/>
  <c r="I161" i="30" a="1"/>
  <c r="I23" i="30" a="1"/>
  <c r="I33" i="30" a="1"/>
  <c r="I50" i="30" a="1"/>
  <c r="I199" i="30" a="1"/>
  <c r="I185" i="30" a="1"/>
  <c r="I84" i="30" a="1"/>
  <c r="I80" i="30" a="1"/>
  <c r="I157" i="30" a="1"/>
  <c r="I133" i="30" a="1"/>
  <c r="I119" i="30" a="1"/>
  <c r="I53" i="30" a="1"/>
  <c r="I181" i="30" a="1"/>
  <c r="I142" i="30" a="1"/>
  <c r="I118" i="30" a="1"/>
  <c r="I146" i="30" a="1"/>
  <c r="I158" i="30" a="1"/>
  <c r="I148" i="30" a="1"/>
  <c r="I41" i="30" a="1"/>
  <c r="I112" i="30" a="1"/>
  <c r="I162" i="30" a="1"/>
  <c r="I195" i="30" a="1"/>
  <c r="I46" i="30" a="1"/>
  <c r="I47" i="30" a="1"/>
  <c r="I189" i="30" a="1"/>
  <c r="I126" i="30" a="1"/>
  <c r="I207" i="30" a="1"/>
  <c r="I75" i="30" a="1"/>
  <c r="I123" i="30" a="1"/>
  <c r="I34" i="30" a="1"/>
  <c r="I36" i="30" a="1"/>
  <c r="I191" i="30" a="1"/>
  <c r="I183" i="30" a="1"/>
  <c r="I35" i="30" a="1"/>
  <c r="I62" i="30" a="1"/>
  <c r="I56" i="30" a="1"/>
  <c r="I32" i="30" a="1"/>
  <c r="I36" i="30" l="1"/>
  <c r="I194" i="30"/>
  <c r="I174" i="30"/>
  <c r="I151" i="30"/>
  <c r="I131" i="30"/>
  <c r="I111" i="30"/>
  <c r="I88" i="30"/>
  <c r="I68" i="30"/>
  <c r="I48" i="30"/>
  <c r="I28" i="30"/>
  <c r="I8" i="30"/>
  <c r="I193" i="30"/>
  <c r="I173" i="30"/>
  <c r="I150" i="30"/>
  <c r="I130" i="30"/>
  <c r="I107" i="30"/>
  <c r="I87" i="30"/>
  <c r="I67" i="30"/>
  <c r="I47" i="30"/>
  <c r="I27" i="30"/>
  <c r="I7" i="30"/>
  <c r="I192" i="30"/>
  <c r="I172" i="30"/>
  <c r="I149" i="30"/>
  <c r="I129" i="30"/>
  <c r="I106" i="30"/>
  <c r="I86" i="30"/>
  <c r="I66" i="30"/>
  <c r="I46" i="30"/>
  <c r="I26" i="30"/>
  <c r="I6" i="30"/>
  <c r="I191" i="30"/>
  <c r="I171" i="30"/>
  <c r="I148" i="30"/>
  <c r="I128" i="30"/>
  <c r="I105" i="30"/>
  <c r="I85" i="30"/>
  <c r="I65" i="30"/>
  <c r="I45" i="30"/>
  <c r="I25" i="30"/>
  <c r="I5" i="30"/>
  <c r="I3" i="30"/>
  <c r="I190" i="30"/>
  <c r="I170" i="30"/>
  <c r="I147" i="30"/>
  <c r="I127" i="30"/>
  <c r="I104" i="30"/>
  <c r="I84" i="30"/>
  <c r="I64" i="30"/>
  <c r="I44" i="30"/>
  <c r="I24" i="30"/>
  <c r="I4" i="30"/>
  <c r="I209" i="30"/>
  <c r="I189" i="30"/>
  <c r="I166" i="30"/>
  <c r="I146" i="30"/>
  <c r="I126" i="30"/>
  <c r="I103" i="30"/>
  <c r="I83" i="30"/>
  <c r="I63" i="30"/>
  <c r="I43" i="30"/>
  <c r="I23" i="30"/>
  <c r="I208" i="30"/>
  <c r="I188" i="30"/>
  <c r="I165" i="30"/>
  <c r="I145" i="30"/>
  <c r="I125" i="30"/>
  <c r="I102" i="30"/>
  <c r="I82" i="30"/>
  <c r="I62" i="30"/>
  <c r="I42" i="30"/>
  <c r="I207" i="30"/>
  <c r="I187" i="30"/>
  <c r="I164" i="30"/>
  <c r="I144" i="30"/>
  <c r="I124" i="30"/>
  <c r="I101" i="30"/>
  <c r="I81" i="30"/>
  <c r="I61" i="30"/>
  <c r="I41" i="30"/>
  <c r="I21" i="30"/>
  <c r="I206" i="30"/>
  <c r="I186" i="30"/>
  <c r="I163" i="30"/>
  <c r="I143" i="30"/>
  <c r="I123" i="30"/>
  <c r="I100" i="30"/>
  <c r="I80" i="30"/>
  <c r="I60" i="30"/>
  <c r="I40" i="30"/>
  <c r="I20" i="30"/>
  <c r="I22" i="30"/>
  <c r="I205" i="30"/>
  <c r="I185" i="30"/>
  <c r="I162" i="30"/>
  <c r="I142" i="30"/>
  <c r="I122" i="30"/>
  <c r="I99" i="30"/>
  <c r="I79" i="30"/>
  <c r="I59" i="30"/>
  <c r="I39" i="30"/>
  <c r="I19" i="30"/>
  <c r="I57" i="30"/>
  <c r="I202" i="30"/>
  <c r="I139" i="30"/>
  <c r="I119" i="30"/>
  <c r="I96" i="30"/>
  <c r="I76" i="30"/>
  <c r="I56" i="30"/>
  <c r="I16" i="30"/>
  <c r="I161" i="30"/>
  <c r="I38" i="30"/>
  <c r="I203" i="30"/>
  <c r="I97" i="30"/>
  <c r="I17" i="30"/>
  <c r="I201" i="30"/>
  <c r="I181" i="30"/>
  <c r="I158" i="30"/>
  <c r="I138" i="30"/>
  <c r="I118" i="30"/>
  <c r="I95" i="30"/>
  <c r="I75" i="30"/>
  <c r="I55" i="30"/>
  <c r="I35" i="30"/>
  <c r="I15" i="30"/>
  <c r="I121" i="30"/>
  <c r="I183" i="30"/>
  <c r="I159" i="30"/>
  <c r="I200" i="30"/>
  <c r="I180" i="30"/>
  <c r="I157" i="30"/>
  <c r="I137" i="30"/>
  <c r="I117" i="30"/>
  <c r="I94" i="30"/>
  <c r="I74" i="30"/>
  <c r="I54" i="30"/>
  <c r="I34" i="30"/>
  <c r="I14" i="30"/>
  <c r="I18" i="30"/>
  <c r="I199" i="30"/>
  <c r="I179" i="30"/>
  <c r="I156" i="30"/>
  <c r="I136" i="30"/>
  <c r="I116" i="30"/>
  <c r="I93" i="30"/>
  <c r="I73" i="30"/>
  <c r="I53" i="30"/>
  <c r="I33" i="30"/>
  <c r="I13" i="30"/>
  <c r="I141" i="30"/>
  <c r="I160" i="30"/>
  <c r="I198" i="30"/>
  <c r="I178" i="30"/>
  <c r="I155" i="30"/>
  <c r="I135" i="30"/>
  <c r="I115" i="30"/>
  <c r="I92" i="30"/>
  <c r="I72" i="30"/>
  <c r="I52" i="30"/>
  <c r="I32" i="30"/>
  <c r="I12" i="30"/>
  <c r="I204" i="30"/>
  <c r="I98" i="30"/>
  <c r="I77" i="30"/>
  <c r="I197" i="30"/>
  <c r="I177" i="30"/>
  <c r="I154" i="30"/>
  <c r="I134" i="30"/>
  <c r="I114" i="30"/>
  <c r="I91" i="30"/>
  <c r="I71" i="30"/>
  <c r="I51" i="30"/>
  <c r="I31" i="30"/>
  <c r="I11" i="30"/>
  <c r="I78" i="30"/>
  <c r="I140" i="30"/>
  <c r="I182" i="30"/>
  <c r="I196" i="30"/>
  <c r="I176" i="30"/>
  <c r="I153" i="30"/>
  <c r="I133" i="30"/>
  <c r="I113" i="30"/>
  <c r="I90" i="30"/>
  <c r="I70" i="30"/>
  <c r="I50" i="30"/>
  <c r="I30" i="30"/>
  <c r="I10" i="30"/>
  <c r="I184" i="30"/>
  <c r="I58" i="30"/>
  <c r="I120" i="30"/>
  <c r="I37" i="30"/>
  <c r="I195" i="30"/>
  <c r="I175" i="30"/>
  <c r="I152" i="30"/>
  <c r="I132" i="30"/>
  <c r="I112" i="30"/>
  <c r="I89" i="30"/>
  <c r="I69" i="30"/>
  <c r="I49" i="30"/>
  <c r="I29" i="30"/>
  <c r="I9" i="30"/>
  <c r="Q155" i="31"/>
  <c r="A37" i="27"/>
  <c r="L37" i="27" a="1"/>
  <c r="L37" i="27" s="1"/>
  <c r="K36" i="27" a="1"/>
  <c r="K36" i="27" s="1"/>
  <c r="K37" i="27" s="1" a="1"/>
  <c r="K37" i="27" s="1"/>
  <c r="J36" i="27" a="1"/>
  <c r="J36" i="27" s="1"/>
  <c r="J37" i="27" s="1" a="1"/>
  <c r="J37" i="27" s="1"/>
  <c r="F36" i="27" a="1"/>
  <c r="F36" i="27" s="1"/>
  <c r="F37" i="27" s="1" a="1"/>
  <c r="F37" i="27" s="1"/>
  <c r="E36" i="27" a="1"/>
  <c r="E36" i="27" s="1"/>
  <c r="E37" i="27" s="1" a="1"/>
  <c r="E37" i="27" s="1"/>
  <c r="C36" i="27" a="1"/>
  <c r="C36" i="27" s="1"/>
  <c r="A36" i="27"/>
  <c r="A35" i="27"/>
  <c r="L35" i="27" a="1"/>
  <c r="L35" i="27" s="1"/>
  <c r="K34" i="27" a="1"/>
  <c r="K34" i="27" s="1"/>
  <c r="K35" i="27" s="1" a="1"/>
  <c r="K35" i="27" s="1"/>
  <c r="J34" i="27" a="1"/>
  <c r="J34" i="27" s="1"/>
  <c r="J35" i="27" s="1" a="1"/>
  <c r="J35" i="27" s="1"/>
  <c r="F34" i="27" a="1"/>
  <c r="F34" i="27" s="1"/>
  <c r="F35" i="27" s="1" a="1"/>
  <c r="F35" i="27" s="1"/>
  <c r="E34" i="27" a="1"/>
  <c r="E34" i="27" s="1"/>
  <c r="E35" i="27" s="1" a="1"/>
  <c r="E35" i="27" s="1"/>
  <c r="C34" i="27" a="1"/>
  <c r="C34" i="27" s="1"/>
  <c r="A34" i="27"/>
  <c r="A33" i="27"/>
  <c r="L33" i="27" a="1"/>
  <c r="L33" i="27" s="1"/>
  <c r="K32" i="27" a="1"/>
  <c r="K32" i="27" s="1"/>
  <c r="K33" i="27" s="1" a="1"/>
  <c r="K33" i="27" s="1"/>
  <c r="J32" i="27" a="1"/>
  <c r="J32" i="27" s="1"/>
  <c r="J33" i="27" s="1" a="1"/>
  <c r="J33" i="27" s="1"/>
  <c r="F32" i="27" a="1"/>
  <c r="F32" i="27" s="1"/>
  <c r="F33" i="27" s="1" a="1"/>
  <c r="F33" i="27" s="1"/>
  <c r="E32" i="27" a="1"/>
  <c r="E32" i="27" s="1"/>
  <c r="E33" i="27" s="1" a="1"/>
  <c r="E33" i="27" s="1"/>
  <c r="C32" i="27" a="1"/>
  <c r="C32" i="27" s="1"/>
  <c r="A32" i="27"/>
  <c r="A31" i="27"/>
  <c r="L31" i="27" a="1"/>
  <c r="L31" i="27" s="1"/>
  <c r="K30" i="27" a="1"/>
  <c r="K30" i="27" s="1"/>
  <c r="K31" i="27" s="1" a="1"/>
  <c r="K31" i="27" s="1"/>
  <c r="J30" i="27" a="1"/>
  <c r="J30" i="27" s="1"/>
  <c r="J31" i="27" s="1" a="1"/>
  <c r="J31" i="27" s="1"/>
  <c r="F30" i="27" a="1"/>
  <c r="F30" i="27" s="1"/>
  <c r="F31" i="27" s="1" a="1"/>
  <c r="F31" i="27" s="1"/>
  <c r="E30" i="27" a="1"/>
  <c r="E30" i="27" s="1"/>
  <c r="E31" i="27" s="1" a="1"/>
  <c r="E31" i="27" s="1"/>
  <c r="C30" i="27" a="1"/>
  <c r="C30" i="27" s="1"/>
  <c r="A30" i="27"/>
  <c r="A29" i="27"/>
  <c r="L29" i="27" a="1"/>
  <c r="L29" i="27" s="1"/>
  <c r="K28" i="27" a="1"/>
  <c r="K28" i="27" s="1"/>
  <c r="K29" i="27" s="1" a="1"/>
  <c r="K29" i="27" s="1"/>
  <c r="J28" i="27" a="1"/>
  <c r="J28" i="27" s="1"/>
  <c r="J29" i="27" s="1" a="1"/>
  <c r="J29" i="27" s="1"/>
  <c r="F28" i="27" a="1"/>
  <c r="F28" i="27" s="1"/>
  <c r="F29" i="27" s="1" a="1"/>
  <c r="F29" i="27" s="1"/>
  <c r="E28" i="27" a="1"/>
  <c r="E28" i="27" s="1"/>
  <c r="E29" i="27" s="1" a="1"/>
  <c r="E29" i="27" s="1"/>
  <c r="C28" i="27" a="1"/>
  <c r="C28" i="27" s="1"/>
  <c r="A28" i="27"/>
  <c r="A27" i="27"/>
  <c r="L27" i="27" a="1"/>
  <c r="L27" i="27" s="1"/>
  <c r="K26" i="27" a="1"/>
  <c r="K26" i="27" s="1"/>
  <c r="K27" i="27" s="1" a="1"/>
  <c r="K27" i="27" s="1"/>
  <c r="J26" i="27" a="1"/>
  <c r="J26" i="27" s="1"/>
  <c r="J27" i="27" s="1" a="1"/>
  <c r="J27" i="27" s="1"/>
  <c r="F26" i="27" a="1"/>
  <c r="F26" i="27" s="1"/>
  <c r="F27" i="27" s="1" a="1"/>
  <c r="F27" i="27" s="1"/>
  <c r="E26" i="27" a="1"/>
  <c r="E26" i="27" s="1"/>
  <c r="E27" i="27" s="1" a="1"/>
  <c r="E27" i="27" s="1"/>
  <c r="C26" i="27" a="1"/>
  <c r="C26" i="27" s="1"/>
  <c r="A26" i="27"/>
  <c r="A25" i="27"/>
  <c r="L24" i="27" a="1"/>
  <c r="L24" i="27" s="1"/>
  <c r="L25" i="27" s="1" a="1"/>
  <c r="L25" i="27" s="1"/>
  <c r="K24" i="27" a="1"/>
  <c r="K24" i="27" s="1"/>
  <c r="K25" i="27" s="1" a="1"/>
  <c r="K25" i="27" s="1"/>
  <c r="J24" i="27" a="1"/>
  <c r="J24" i="27" s="1"/>
  <c r="J25" i="27" s="1" a="1"/>
  <c r="J25" i="27" s="1"/>
  <c r="F24" i="27" a="1"/>
  <c r="F24" i="27" s="1"/>
  <c r="F25" i="27" s="1" a="1"/>
  <c r="F25" i="27" s="1"/>
  <c r="E24" i="27" a="1"/>
  <c r="E24" i="27" s="1"/>
  <c r="E25" i="27" s="1" a="1"/>
  <c r="E25" i="27" s="1"/>
  <c r="C24" i="27" a="1"/>
  <c r="C24" i="27" s="1"/>
  <c r="A24" i="27"/>
  <c r="A23" i="27"/>
  <c r="L22" i="27" a="1"/>
  <c r="L22" i="27" s="1"/>
  <c r="L23" i="27" s="1" a="1"/>
  <c r="L23" i="27" s="1"/>
  <c r="K22" i="27" a="1"/>
  <c r="K22" i="27" s="1"/>
  <c r="K23" i="27" s="1" a="1"/>
  <c r="K23" i="27" s="1"/>
  <c r="J22" i="27" a="1"/>
  <c r="J22" i="27" s="1"/>
  <c r="J23" i="27" s="1" a="1"/>
  <c r="J23" i="27" s="1"/>
  <c r="F22" i="27" a="1"/>
  <c r="F22" i="27" s="1"/>
  <c r="F23" i="27" s="1" a="1"/>
  <c r="F23" i="27" s="1"/>
  <c r="E22" i="27" a="1"/>
  <c r="E22" i="27" s="1"/>
  <c r="E23" i="27" s="1" a="1"/>
  <c r="E23" i="27" s="1"/>
  <c r="C22" i="27" a="1"/>
  <c r="C22" i="27" s="1"/>
  <c r="A22" i="27"/>
  <c r="A21" i="27"/>
  <c r="L20" i="27" a="1"/>
  <c r="L20" i="27" s="1"/>
  <c r="L21" i="27" s="1" a="1"/>
  <c r="L21" i="27" s="1"/>
  <c r="K20" i="27" a="1"/>
  <c r="K20" i="27" s="1"/>
  <c r="K21" i="27" s="1" a="1"/>
  <c r="K21" i="27" s="1"/>
  <c r="J20" i="27" a="1"/>
  <c r="J20" i="27" s="1"/>
  <c r="J21" i="27" s="1" a="1"/>
  <c r="J21" i="27" s="1"/>
  <c r="F20" i="27" a="1"/>
  <c r="F20" i="27" s="1"/>
  <c r="F21" i="27" s="1" a="1"/>
  <c r="F21" i="27" s="1"/>
  <c r="E20" i="27" a="1"/>
  <c r="E20" i="27" s="1"/>
  <c r="E21" i="27" s="1" a="1"/>
  <c r="E21" i="27" s="1"/>
  <c r="C20" i="27" a="1"/>
  <c r="C20" i="27" s="1"/>
  <c r="A20" i="27"/>
  <c r="A19" i="27"/>
  <c r="L18" i="27" a="1"/>
  <c r="L18" i="27" s="1"/>
  <c r="L19" i="27" s="1" a="1"/>
  <c r="L19" i="27" s="1"/>
  <c r="K18" i="27" a="1"/>
  <c r="K18" i="27" s="1"/>
  <c r="K19" i="27" s="1" a="1"/>
  <c r="K19" i="27" s="1"/>
  <c r="J18" i="27" a="1"/>
  <c r="J18" i="27" s="1"/>
  <c r="J19" i="27" s="1" a="1"/>
  <c r="J19" i="27" s="1"/>
  <c r="F18" i="27" a="1"/>
  <c r="F18" i="27" s="1"/>
  <c r="F19" i="27" s="1" a="1"/>
  <c r="F19" i="27" s="1"/>
  <c r="E18" i="27" a="1"/>
  <c r="E18" i="27" s="1"/>
  <c r="E19" i="27" s="1" a="1"/>
  <c r="E19" i="27" s="1"/>
  <c r="A18" i="27"/>
  <c r="A17" i="27"/>
  <c r="L16" i="27" a="1"/>
  <c r="L16" i="27" s="1"/>
  <c r="L17" i="27" s="1" a="1"/>
  <c r="L17" i="27" s="1"/>
  <c r="K16" i="27" a="1"/>
  <c r="K16" i="27" s="1"/>
  <c r="K17" i="27" s="1" a="1"/>
  <c r="K17" i="27" s="1"/>
  <c r="J16" i="27" a="1"/>
  <c r="J16" i="27" s="1"/>
  <c r="J17" i="27" s="1" a="1"/>
  <c r="J17" i="27" s="1"/>
  <c r="F16" i="27" a="1"/>
  <c r="F16" i="27" s="1"/>
  <c r="F17" i="27" s="1" a="1"/>
  <c r="F17" i="27" s="1"/>
  <c r="E16" i="27" a="1"/>
  <c r="E16" i="27" s="1"/>
  <c r="E17" i="27" s="1" a="1"/>
  <c r="E17" i="27" s="1"/>
  <c r="A16" i="27"/>
  <c r="A15" i="27"/>
  <c r="L14" i="27" a="1"/>
  <c r="L14" i="27" s="1"/>
  <c r="L15" i="27" s="1" a="1"/>
  <c r="L15" i="27" s="1"/>
  <c r="K14" i="27" a="1"/>
  <c r="K14" i="27" s="1"/>
  <c r="K15" i="27" s="1" a="1"/>
  <c r="K15" i="27" s="1"/>
  <c r="J14" i="27" a="1"/>
  <c r="J14" i="27" s="1"/>
  <c r="J15" i="27" s="1" a="1"/>
  <c r="J15" i="27" s="1"/>
  <c r="F14" i="27" a="1"/>
  <c r="F14" i="27" s="1"/>
  <c r="F15" i="27" s="1" a="1"/>
  <c r="F15" i="27" s="1"/>
  <c r="E14" i="27" a="1"/>
  <c r="E14" i="27" s="1"/>
  <c r="E15" i="27" s="1" a="1"/>
  <c r="E15" i="27" s="1"/>
  <c r="A14" i="27"/>
  <c r="A13" i="27"/>
  <c r="L12" i="27" a="1"/>
  <c r="L12" i="27" s="1"/>
  <c r="L13" i="27" s="1" a="1"/>
  <c r="L13" i="27" s="1"/>
  <c r="K12" i="27" a="1"/>
  <c r="K12" i="27" s="1"/>
  <c r="K13" i="27" s="1" a="1"/>
  <c r="K13" i="27" s="1"/>
  <c r="J12" i="27" a="1"/>
  <c r="J12" i="27" s="1"/>
  <c r="J13" i="27" s="1" a="1"/>
  <c r="J13" i="27" s="1"/>
  <c r="F12" i="27" a="1"/>
  <c r="F12" i="27" s="1"/>
  <c r="F13" i="27" s="1" a="1"/>
  <c r="F13" i="27" s="1"/>
  <c r="E12" i="27" a="1"/>
  <c r="E12" i="27" s="1"/>
  <c r="E13" i="27" s="1" a="1"/>
  <c r="E13" i="27" s="1"/>
  <c r="A12" i="27"/>
  <c r="A11" i="27"/>
  <c r="L10" i="27" a="1"/>
  <c r="L10" i="27" s="1"/>
  <c r="L11" i="27" s="1" a="1"/>
  <c r="L11" i="27" s="1"/>
  <c r="K10" i="27" a="1"/>
  <c r="K10" i="27" s="1"/>
  <c r="K11" i="27" s="1" a="1"/>
  <c r="K11" i="27" s="1"/>
  <c r="J10" i="27" a="1"/>
  <c r="J10" i="27" s="1"/>
  <c r="J11" i="27" s="1" a="1"/>
  <c r="J11" i="27" s="1"/>
  <c r="F10" i="27" a="1"/>
  <c r="F10" i="27" s="1"/>
  <c r="F11" i="27" s="1" a="1"/>
  <c r="F11" i="27" s="1"/>
  <c r="E10" i="27" a="1"/>
  <c r="E10" i="27" s="1"/>
  <c r="E11" i="27" s="1" a="1"/>
  <c r="E11" i="27" s="1"/>
  <c r="A10" i="27"/>
  <c r="A9" i="27"/>
  <c r="L8" i="27" a="1"/>
  <c r="L8" i="27" s="1"/>
  <c r="L9" i="27" s="1" a="1"/>
  <c r="L9" i="27" s="1"/>
  <c r="K8" i="27" a="1"/>
  <c r="K8" i="27" s="1"/>
  <c r="K9" i="27" s="1" a="1"/>
  <c r="K9" i="27" s="1"/>
  <c r="J8" i="27" a="1"/>
  <c r="J8" i="27" s="1"/>
  <c r="J9" i="27" s="1" a="1"/>
  <c r="J9" i="27" s="1"/>
  <c r="F8" i="27" a="1"/>
  <c r="F8" i="27" s="1"/>
  <c r="F9" i="27" s="1" a="1"/>
  <c r="F9" i="27" s="1"/>
  <c r="E8" i="27" a="1"/>
  <c r="E8" i="27" s="1"/>
  <c r="E9" i="27" s="1" a="1"/>
  <c r="E9" i="27" s="1"/>
  <c r="A8" i="27"/>
  <c r="A7" i="27"/>
  <c r="L6" i="27" a="1"/>
  <c r="L6" i="27" s="1"/>
  <c r="L7" i="27" s="1" a="1"/>
  <c r="L7" i="27" s="1"/>
  <c r="K6" i="27" a="1"/>
  <c r="K6" i="27" s="1"/>
  <c r="K7" i="27" s="1" a="1"/>
  <c r="K7" i="27" s="1"/>
  <c r="J6" i="27" a="1"/>
  <c r="J6" i="27" s="1"/>
  <c r="J7" i="27" s="1" a="1"/>
  <c r="J7" i="27" s="1"/>
  <c r="F6" i="27" a="1"/>
  <c r="F6" i="27" s="1"/>
  <c r="F7" i="27" s="1" a="1"/>
  <c r="F7" i="27" s="1"/>
  <c r="E6" i="27" a="1"/>
  <c r="E6" i="27" s="1"/>
  <c r="E7" i="27" s="1" a="1"/>
  <c r="E7" i="27" s="1"/>
  <c r="C6" i="27" a="1"/>
  <c r="C6" i="27" s="1"/>
  <c r="A6" i="27"/>
  <c r="L4" i="27" a="1"/>
  <c r="L4" i="27" s="1"/>
  <c r="K4" i="27" a="1"/>
  <c r="K4" i="27" s="1"/>
  <c r="J4" i="27" a="1"/>
  <c r="J4" i="27" s="1"/>
  <c r="I4" i="27" a="1"/>
  <c r="I4" i="27" s="1"/>
  <c r="H4" i="27" a="1"/>
  <c r="H4" i="27" s="1"/>
  <c r="G4" i="27" a="1"/>
  <c r="G4" i="27" s="1"/>
  <c r="F4" i="27" a="1"/>
  <c r="F4" i="27" s="1"/>
  <c r="E4" i="27" a="1"/>
  <c r="E4" i="27" s="1"/>
  <c r="A37" i="26"/>
  <c r="L37" i="26" a="1"/>
  <c r="L37" i="26" s="1"/>
  <c r="K36" i="26" a="1"/>
  <c r="K36" i="26" s="1"/>
  <c r="K37" i="26" s="1" a="1"/>
  <c r="K37" i="26" s="1"/>
  <c r="J36" i="26" a="1"/>
  <c r="J36" i="26" s="1"/>
  <c r="J37" i="26" s="1" a="1"/>
  <c r="J37" i="26" s="1"/>
  <c r="F36" i="26" a="1"/>
  <c r="F36" i="26" s="1"/>
  <c r="F37" i="26" s="1" a="1"/>
  <c r="F37" i="26" s="1"/>
  <c r="E36" i="26" a="1"/>
  <c r="E36" i="26" s="1"/>
  <c r="E37" i="26" s="1" a="1"/>
  <c r="E37" i="26" s="1"/>
  <c r="C36" i="26" a="1"/>
  <c r="C36" i="26" s="1"/>
  <c r="A36" i="26"/>
  <c r="A35" i="26"/>
  <c r="L35" i="26" a="1"/>
  <c r="L35" i="26" s="1"/>
  <c r="K34" i="26" a="1"/>
  <c r="K34" i="26" s="1"/>
  <c r="K35" i="26" s="1" a="1"/>
  <c r="K35" i="26" s="1"/>
  <c r="J34" i="26" a="1"/>
  <c r="J34" i="26" s="1"/>
  <c r="J35" i="26" s="1" a="1"/>
  <c r="J35" i="26" s="1"/>
  <c r="F34" i="26" a="1"/>
  <c r="F34" i="26" s="1"/>
  <c r="F35" i="26" s="1" a="1"/>
  <c r="F35" i="26" s="1"/>
  <c r="E34" i="26" a="1"/>
  <c r="E34" i="26" s="1"/>
  <c r="E35" i="26" s="1" a="1"/>
  <c r="E35" i="26" s="1"/>
  <c r="C34" i="26" a="1"/>
  <c r="C34" i="26" s="1"/>
  <c r="A34" i="26"/>
  <c r="A33" i="26"/>
  <c r="L33" i="26" a="1"/>
  <c r="L33" i="26" s="1"/>
  <c r="K32" i="26" a="1"/>
  <c r="K32" i="26" s="1"/>
  <c r="K33" i="26" s="1" a="1"/>
  <c r="K33" i="26" s="1"/>
  <c r="J32" i="26" a="1"/>
  <c r="J32" i="26" s="1"/>
  <c r="J33" i="26" s="1" a="1"/>
  <c r="J33" i="26" s="1"/>
  <c r="F32" i="26" a="1"/>
  <c r="F32" i="26" s="1"/>
  <c r="F33" i="26" s="1" a="1"/>
  <c r="F33" i="26" s="1"/>
  <c r="E32" i="26" a="1"/>
  <c r="E32" i="26" s="1"/>
  <c r="E33" i="26" s="1" a="1"/>
  <c r="E33" i="26" s="1"/>
  <c r="C32" i="26" a="1"/>
  <c r="C32" i="26" s="1"/>
  <c r="A32" i="26"/>
  <c r="A31" i="26"/>
  <c r="L31" i="26" a="1"/>
  <c r="L31" i="26" s="1"/>
  <c r="K30" i="26" a="1"/>
  <c r="K30" i="26" s="1"/>
  <c r="K31" i="26" s="1" a="1"/>
  <c r="K31" i="26" s="1"/>
  <c r="J30" i="26" a="1"/>
  <c r="J30" i="26" s="1"/>
  <c r="J31" i="26" s="1" a="1"/>
  <c r="J31" i="26" s="1"/>
  <c r="F30" i="26" a="1"/>
  <c r="F30" i="26" s="1"/>
  <c r="F31" i="26" s="1" a="1"/>
  <c r="F31" i="26" s="1"/>
  <c r="E30" i="26" a="1"/>
  <c r="E30" i="26" s="1"/>
  <c r="E31" i="26" s="1" a="1"/>
  <c r="E31" i="26" s="1"/>
  <c r="C30" i="26" a="1"/>
  <c r="C30" i="26" s="1"/>
  <c r="A30" i="26"/>
  <c r="A29" i="26"/>
  <c r="L29" i="26" a="1"/>
  <c r="L29" i="26" s="1"/>
  <c r="K28" i="26" a="1"/>
  <c r="K28" i="26" s="1"/>
  <c r="K29" i="26" s="1" a="1"/>
  <c r="K29" i="26" s="1"/>
  <c r="J28" i="26" a="1"/>
  <c r="J28" i="26" s="1"/>
  <c r="J29" i="26" s="1" a="1"/>
  <c r="J29" i="26" s="1"/>
  <c r="F28" i="26" a="1"/>
  <c r="F28" i="26" s="1"/>
  <c r="F29" i="26" s="1" a="1"/>
  <c r="F29" i="26" s="1"/>
  <c r="E28" i="26" a="1"/>
  <c r="E28" i="26" s="1"/>
  <c r="E29" i="26" s="1" a="1"/>
  <c r="E29" i="26" s="1"/>
  <c r="C28" i="26" a="1"/>
  <c r="C28" i="26" s="1"/>
  <c r="A28" i="26"/>
  <c r="A27" i="26"/>
  <c r="L27" i="26" a="1"/>
  <c r="L27" i="26" s="1"/>
  <c r="K26" i="26" a="1"/>
  <c r="K26" i="26" s="1"/>
  <c r="K27" i="26" s="1" a="1"/>
  <c r="K27" i="26" s="1"/>
  <c r="J26" i="26" a="1"/>
  <c r="J26" i="26" s="1"/>
  <c r="J27" i="26" s="1" a="1"/>
  <c r="J27" i="26" s="1"/>
  <c r="F26" i="26" a="1"/>
  <c r="F26" i="26" s="1"/>
  <c r="F27" i="26" s="1" a="1"/>
  <c r="F27" i="26" s="1"/>
  <c r="E26" i="26" a="1"/>
  <c r="E26" i="26" s="1"/>
  <c r="E27" i="26" s="1" a="1"/>
  <c r="E27" i="26" s="1"/>
  <c r="C26" i="26" a="1"/>
  <c r="C26" i="26" s="1"/>
  <c r="A26" i="26"/>
  <c r="A25" i="26"/>
  <c r="L24" i="26" a="1"/>
  <c r="L24" i="26" s="1"/>
  <c r="L25" i="26" s="1" a="1"/>
  <c r="L25" i="26" s="1"/>
  <c r="K24" i="26" a="1"/>
  <c r="K24" i="26" s="1"/>
  <c r="K25" i="26" s="1" a="1"/>
  <c r="K25" i="26" s="1"/>
  <c r="J24" i="26" a="1"/>
  <c r="J24" i="26" s="1"/>
  <c r="J25" i="26" s="1" a="1"/>
  <c r="J25" i="26" s="1"/>
  <c r="F24" i="26" a="1"/>
  <c r="F24" i="26" s="1"/>
  <c r="F25" i="26" s="1" a="1"/>
  <c r="F25" i="26" s="1"/>
  <c r="E24" i="26" a="1"/>
  <c r="E24" i="26" s="1"/>
  <c r="E25" i="26" s="1" a="1"/>
  <c r="E25" i="26" s="1"/>
  <c r="C24" i="26" a="1"/>
  <c r="C24" i="26" s="1"/>
  <c r="A24" i="26"/>
  <c r="A23" i="26"/>
  <c r="L22" i="26" a="1"/>
  <c r="L22" i="26" s="1"/>
  <c r="L23" i="26" s="1" a="1"/>
  <c r="L23" i="26" s="1"/>
  <c r="K22" i="26" a="1"/>
  <c r="K22" i="26" s="1"/>
  <c r="K23" i="26" s="1" a="1"/>
  <c r="K23" i="26" s="1"/>
  <c r="J22" i="26" a="1"/>
  <c r="J22" i="26" s="1"/>
  <c r="J23" i="26" s="1" a="1"/>
  <c r="J23" i="26" s="1"/>
  <c r="F22" i="26" a="1"/>
  <c r="F22" i="26" s="1"/>
  <c r="F23" i="26" s="1" a="1"/>
  <c r="F23" i="26" s="1"/>
  <c r="E22" i="26" a="1"/>
  <c r="E22" i="26" s="1"/>
  <c r="E23" i="26" s="1" a="1"/>
  <c r="E23" i="26" s="1"/>
  <c r="C22" i="26" a="1"/>
  <c r="C22" i="26" s="1"/>
  <c r="A22" i="26"/>
  <c r="A21" i="26"/>
  <c r="L20" i="26" a="1"/>
  <c r="L20" i="26" s="1"/>
  <c r="L21" i="26" s="1" a="1"/>
  <c r="L21" i="26" s="1"/>
  <c r="K20" i="26" a="1"/>
  <c r="K20" i="26" s="1"/>
  <c r="K21" i="26" s="1" a="1"/>
  <c r="K21" i="26" s="1"/>
  <c r="J20" i="26" a="1"/>
  <c r="J20" i="26" s="1"/>
  <c r="J21" i="26" s="1" a="1"/>
  <c r="J21" i="26" s="1"/>
  <c r="F20" i="26" a="1"/>
  <c r="F20" i="26" s="1"/>
  <c r="F21" i="26" s="1" a="1"/>
  <c r="F21" i="26" s="1"/>
  <c r="E20" i="26" a="1"/>
  <c r="E20" i="26" s="1"/>
  <c r="E21" i="26" s="1" a="1"/>
  <c r="E21" i="26" s="1"/>
  <c r="C20" i="26" a="1"/>
  <c r="C20" i="26" s="1"/>
  <c r="A20" i="26"/>
  <c r="A19" i="26"/>
  <c r="L18" i="26" a="1"/>
  <c r="L18" i="26" s="1"/>
  <c r="L19" i="26" s="1" a="1"/>
  <c r="L19" i="26" s="1"/>
  <c r="K18" i="26" a="1"/>
  <c r="K18" i="26" s="1"/>
  <c r="K19" i="26" s="1" a="1"/>
  <c r="K19" i="26" s="1"/>
  <c r="J18" i="26" a="1"/>
  <c r="J18" i="26" s="1"/>
  <c r="J19" i="26" s="1" a="1"/>
  <c r="J19" i="26" s="1"/>
  <c r="F18" i="26" a="1"/>
  <c r="F18" i="26" s="1"/>
  <c r="F19" i="26" s="1" a="1"/>
  <c r="F19" i="26" s="1"/>
  <c r="E18" i="26" a="1"/>
  <c r="E18" i="26" s="1"/>
  <c r="E19" i="26" s="1" a="1"/>
  <c r="E19" i="26" s="1"/>
  <c r="C18" i="26" a="1"/>
  <c r="C18" i="26" s="1"/>
  <c r="A18" i="26"/>
  <c r="A17" i="26"/>
  <c r="L16" i="26" a="1"/>
  <c r="L16" i="26" s="1"/>
  <c r="L17" i="26" s="1" a="1"/>
  <c r="L17" i="26" s="1"/>
  <c r="K16" i="26" a="1"/>
  <c r="K16" i="26" s="1"/>
  <c r="K17" i="26" s="1" a="1"/>
  <c r="K17" i="26" s="1"/>
  <c r="J16" i="26" a="1"/>
  <c r="J16" i="26" s="1"/>
  <c r="J17" i="26" s="1" a="1"/>
  <c r="J17" i="26" s="1"/>
  <c r="F16" i="26" a="1"/>
  <c r="F16" i="26" s="1"/>
  <c r="F17" i="26" s="1" a="1"/>
  <c r="F17" i="26" s="1"/>
  <c r="E16" i="26" a="1"/>
  <c r="E16" i="26" s="1"/>
  <c r="E17" i="26" s="1" a="1"/>
  <c r="E17" i="26" s="1"/>
  <c r="C16" i="26" a="1"/>
  <c r="C16" i="26" s="1"/>
  <c r="A16" i="26"/>
  <c r="A15" i="26"/>
  <c r="L14" i="26" a="1"/>
  <c r="L14" i="26" s="1"/>
  <c r="L15" i="26" s="1" a="1"/>
  <c r="L15" i="26" s="1"/>
  <c r="K14" i="26" a="1"/>
  <c r="K14" i="26" s="1"/>
  <c r="K15" i="26" s="1" a="1"/>
  <c r="K15" i="26" s="1"/>
  <c r="J14" i="26" a="1"/>
  <c r="J14" i="26" s="1"/>
  <c r="J15" i="26" s="1" a="1"/>
  <c r="J15" i="26" s="1"/>
  <c r="F14" i="26" a="1"/>
  <c r="F14" i="26" s="1"/>
  <c r="F15" i="26" s="1" a="1"/>
  <c r="F15" i="26" s="1"/>
  <c r="E14" i="26" a="1"/>
  <c r="E14" i="26" s="1"/>
  <c r="E15" i="26" s="1" a="1"/>
  <c r="E15" i="26" s="1"/>
  <c r="C14" i="26" a="1"/>
  <c r="C14" i="26" s="1"/>
  <c r="A14" i="26"/>
  <c r="A13" i="26"/>
  <c r="L12" i="26" a="1"/>
  <c r="L12" i="26" s="1"/>
  <c r="L13" i="26" s="1" a="1"/>
  <c r="L13" i="26" s="1"/>
  <c r="K12" i="26" a="1"/>
  <c r="K12" i="26" s="1"/>
  <c r="K13" i="26" s="1" a="1"/>
  <c r="K13" i="26" s="1"/>
  <c r="J12" i="26" a="1"/>
  <c r="J12" i="26" s="1"/>
  <c r="J13" i="26" s="1" a="1"/>
  <c r="J13" i="26" s="1"/>
  <c r="F12" i="26" a="1"/>
  <c r="F12" i="26" s="1"/>
  <c r="F13" i="26" s="1" a="1"/>
  <c r="F13" i="26" s="1"/>
  <c r="E12" i="26" a="1"/>
  <c r="E12" i="26" s="1"/>
  <c r="E13" i="26" s="1" a="1"/>
  <c r="E13" i="26" s="1"/>
  <c r="C12" i="26" a="1"/>
  <c r="C12" i="26" s="1"/>
  <c r="A12" i="26"/>
  <c r="A11" i="26"/>
  <c r="L10" i="26" a="1"/>
  <c r="L10" i="26" s="1"/>
  <c r="L11" i="26" s="1" a="1"/>
  <c r="L11" i="26" s="1"/>
  <c r="K10" i="26" a="1"/>
  <c r="K10" i="26" s="1"/>
  <c r="K11" i="26" s="1" a="1"/>
  <c r="K11" i="26" s="1"/>
  <c r="J10" i="26" a="1"/>
  <c r="J10" i="26" s="1"/>
  <c r="J11" i="26" s="1" a="1"/>
  <c r="J11" i="26" s="1"/>
  <c r="F10" i="26" a="1"/>
  <c r="F10" i="26" s="1"/>
  <c r="F11" i="26" s="1" a="1"/>
  <c r="F11" i="26" s="1"/>
  <c r="E10" i="26" a="1"/>
  <c r="E10" i="26" s="1"/>
  <c r="E11" i="26" s="1" a="1"/>
  <c r="E11" i="26" s="1"/>
  <c r="C10" i="26" a="1"/>
  <c r="C10" i="26" s="1"/>
  <c r="A10" i="26"/>
  <c r="A9" i="26"/>
  <c r="L8" i="26" a="1"/>
  <c r="L8" i="26" s="1"/>
  <c r="L9" i="26" s="1" a="1"/>
  <c r="L9" i="26" s="1"/>
  <c r="K8" i="26" a="1"/>
  <c r="K8" i="26" s="1"/>
  <c r="K9" i="26" s="1" a="1"/>
  <c r="K9" i="26" s="1"/>
  <c r="J8" i="26" a="1"/>
  <c r="J8" i="26" s="1"/>
  <c r="J9" i="26" s="1" a="1"/>
  <c r="J9" i="26" s="1"/>
  <c r="F8" i="26" a="1"/>
  <c r="F8" i="26" s="1"/>
  <c r="F9" i="26" s="1" a="1"/>
  <c r="F9" i="26" s="1"/>
  <c r="E8" i="26" a="1"/>
  <c r="E8" i="26" s="1"/>
  <c r="E9" i="26" s="1" a="1"/>
  <c r="E9" i="26" s="1"/>
  <c r="A8" i="26"/>
  <c r="A7" i="26"/>
  <c r="L6" i="26" a="1"/>
  <c r="L6" i="26" s="1"/>
  <c r="L7" i="26" s="1" a="1"/>
  <c r="L7" i="26" s="1"/>
  <c r="K6" i="26" a="1"/>
  <c r="K6" i="26" s="1"/>
  <c r="K7" i="26" s="1" a="1"/>
  <c r="K7" i="26" s="1"/>
  <c r="J6" i="26" a="1"/>
  <c r="J6" i="26" s="1"/>
  <c r="J7" i="26" s="1" a="1"/>
  <c r="J7" i="26" s="1"/>
  <c r="F6" i="26" a="1"/>
  <c r="F6" i="26" s="1"/>
  <c r="F7" i="26" s="1" a="1"/>
  <c r="F7" i="26" s="1"/>
  <c r="E6" i="26" a="1"/>
  <c r="E6" i="26" s="1"/>
  <c r="E7" i="26" s="1" a="1"/>
  <c r="E7" i="26" s="1"/>
  <c r="C6" i="26" a="1"/>
  <c r="C6" i="26" s="1"/>
  <c r="A6" i="26"/>
  <c r="N4" i="26" a="1"/>
  <c r="N4" i="26" s="1"/>
  <c r="M4" i="26" a="1"/>
  <c r="M4" i="26" s="1"/>
  <c r="L4" i="26" a="1"/>
  <c r="L4" i="26" s="1"/>
  <c r="K4" i="26" a="1"/>
  <c r="K4" i="26" s="1"/>
  <c r="J4" i="26" a="1"/>
  <c r="J4" i="26" s="1"/>
  <c r="I4" i="26" a="1"/>
  <c r="I4" i="26" s="1"/>
  <c r="H4" i="26" a="1"/>
  <c r="H4" i="26" s="1"/>
  <c r="G4" i="26" a="1"/>
  <c r="G4" i="26" s="1"/>
  <c r="F4" i="26" a="1"/>
  <c r="F4" i="26" s="1"/>
  <c r="E4" i="26" a="1"/>
  <c r="E4" i="26" s="1"/>
  <c r="D4" i="26" s="1"/>
  <c r="A37" i="24"/>
  <c r="L37" i="24" a="1"/>
  <c r="L37" i="24" s="1"/>
  <c r="K36" i="24" a="1"/>
  <c r="K36" i="24" s="1"/>
  <c r="K37" i="24" s="1" a="1"/>
  <c r="K37" i="24" s="1"/>
  <c r="J36" i="24" a="1"/>
  <c r="J36" i="24" s="1"/>
  <c r="J37" i="24" s="1" a="1"/>
  <c r="J37" i="24" s="1"/>
  <c r="F36" i="24" a="1"/>
  <c r="F36" i="24" s="1"/>
  <c r="F37" i="24" s="1" a="1"/>
  <c r="F37" i="24" s="1"/>
  <c r="E36" i="24" a="1"/>
  <c r="E36" i="24" s="1"/>
  <c r="E37" i="24" s="1" a="1"/>
  <c r="E37" i="24" s="1"/>
  <c r="C36" i="24" a="1"/>
  <c r="C36" i="24" s="1"/>
  <c r="A36" i="24"/>
  <c r="A35" i="24"/>
  <c r="L35" i="24" a="1"/>
  <c r="L35" i="24" s="1"/>
  <c r="K34" i="24" a="1"/>
  <c r="K34" i="24" s="1"/>
  <c r="K35" i="24" s="1" a="1"/>
  <c r="K35" i="24" s="1"/>
  <c r="J34" i="24" a="1"/>
  <c r="J34" i="24" s="1"/>
  <c r="J35" i="24" s="1" a="1"/>
  <c r="J35" i="24" s="1"/>
  <c r="F34" i="24" a="1"/>
  <c r="F34" i="24" s="1"/>
  <c r="F35" i="24" s="1" a="1"/>
  <c r="F35" i="24" s="1"/>
  <c r="E34" i="24" a="1"/>
  <c r="E34" i="24" s="1"/>
  <c r="E35" i="24" s="1" a="1"/>
  <c r="E35" i="24" s="1"/>
  <c r="C34" i="24" a="1"/>
  <c r="C34" i="24" s="1"/>
  <c r="A34" i="24"/>
  <c r="A33" i="24"/>
  <c r="L33" i="24" a="1"/>
  <c r="L33" i="24" s="1"/>
  <c r="K32" i="24" a="1"/>
  <c r="K32" i="24" s="1"/>
  <c r="K33" i="24" s="1" a="1"/>
  <c r="K33" i="24" s="1"/>
  <c r="J32" i="24" a="1"/>
  <c r="J32" i="24" s="1"/>
  <c r="J33" i="24" s="1" a="1"/>
  <c r="J33" i="24" s="1"/>
  <c r="F32" i="24" a="1"/>
  <c r="F32" i="24" s="1"/>
  <c r="F33" i="24" s="1" a="1"/>
  <c r="F33" i="24" s="1"/>
  <c r="E32" i="24" a="1"/>
  <c r="E32" i="24" s="1"/>
  <c r="E33" i="24" s="1" a="1"/>
  <c r="E33" i="24" s="1"/>
  <c r="C32" i="24" a="1"/>
  <c r="C32" i="24" s="1"/>
  <c r="A32" i="24"/>
  <c r="A31" i="24"/>
  <c r="L31" i="24" a="1"/>
  <c r="L31" i="24" s="1"/>
  <c r="K30" i="24" a="1"/>
  <c r="K30" i="24" s="1"/>
  <c r="K31" i="24" s="1" a="1"/>
  <c r="K31" i="24" s="1"/>
  <c r="J30" i="24" a="1"/>
  <c r="J30" i="24" s="1"/>
  <c r="J31" i="24" s="1" a="1"/>
  <c r="J31" i="24" s="1"/>
  <c r="F30" i="24" a="1"/>
  <c r="F30" i="24" s="1"/>
  <c r="F31" i="24" s="1" a="1"/>
  <c r="F31" i="24" s="1"/>
  <c r="E30" i="24" a="1"/>
  <c r="E30" i="24" s="1"/>
  <c r="E31" i="24" s="1" a="1"/>
  <c r="E31" i="24" s="1"/>
  <c r="C30" i="24" a="1"/>
  <c r="C30" i="24" s="1"/>
  <c r="A30" i="24"/>
  <c r="A29" i="24"/>
  <c r="L29" i="24" a="1"/>
  <c r="L29" i="24" s="1"/>
  <c r="K28" i="24" a="1"/>
  <c r="K28" i="24" s="1"/>
  <c r="K29" i="24" s="1" a="1"/>
  <c r="K29" i="24" s="1"/>
  <c r="J28" i="24" a="1"/>
  <c r="J28" i="24" s="1"/>
  <c r="J29" i="24" s="1" a="1"/>
  <c r="J29" i="24" s="1"/>
  <c r="F28" i="24" a="1"/>
  <c r="F28" i="24" s="1"/>
  <c r="F29" i="24" s="1" a="1"/>
  <c r="F29" i="24" s="1"/>
  <c r="E28" i="24" a="1"/>
  <c r="E28" i="24" s="1"/>
  <c r="E29" i="24" s="1" a="1"/>
  <c r="E29" i="24" s="1"/>
  <c r="C28" i="24" a="1"/>
  <c r="C28" i="24" s="1"/>
  <c r="A28" i="24"/>
  <c r="A27" i="24"/>
  <c r="L27" i="24" a="1"/>
  <c r="L27" i="24" s="1"/>
  <c r="K26" i="24" a="1"/>
  <c r="K26" i="24" s="1"/>
  <c r="K27" i="24" s="1" a="1"/>
  <c r="K27" i="24" s="1"/>
  <c r="J26" i="24" a="1"/>
  <c r="J26" i="24" s="1"/>
  <c r="J27" i="24" s="1" a="1"/>
  <c r="J27" i="24" s="1"/>
  <c r="F26" i="24" a="1"/>
  <c r="F26" i="24" s="1"/>
  <c r="F27" i="24" s="1" a="1"/>
  <c r="F27" i="24" s="1"/>
  <c r="E26" i="24" a="1"/>
  <c r="E26" i="24" s="1"/>
  <c r="E27" i="24" s="1" a="1"/>
  <c r="E27" i="24" s="1"/>
  <c r="C26" i="24" a="1"/>
  <c r="C26" i="24" s="1"/>
  <c r="A26" i="24"/>
  <c r="A25" i="24"/>
  <c r="L24" i="24" a="1"/>
  <c r="L24" i="24" s="1"/>
  <c r="L25" i="24" s="1" a="1"/>
  <c r="L25" i="24" s="1"/>
  <c r="K24" i="24" a="1"/>
  <c r="K24" i="24" s="1"/>
  <c r="K25" i="24" s="1" a="1"/>
  <c r="K25" i="24" s="1"/>
  <c r="J24" i="24" a="1"/>
  <c r="J24" i="24" s="1"/>
  <c r="J25" i="24" s="1" a="1"/>
  <c r="J25" i="24" s="1"/>
  <c r="F24" i="24" a="1"/>
  <c r="F24" i="24" s="1"/>
  <c r="F25" i="24" s="1" a="1"/>
  <c r="F25" i="24" s="1"/>
  <c r="E24" i="24" a="1"/>
  <c r="E24" i="24" s="1"/>
  <c r="E25" i="24" s="1" a="1"/>
  <c r="E25" i="24" s="1"/>
  <c r="C24" i="24" a="1"/>
  <c r="C24" i="24" s="1"/>
  <c r="A24" i="24"/>
  <c r="A23" i="24"/>
  <c r="L22" i="24" a="1"/>
  <c r="L22" i="24" s="1"/>
  <c r="L23" i="24" s="1" a="1"/>
  <c r="L23" i="24" s="1"/>
  <c r="K22" i="24" a="1"/>
  <c r="K22" i="24" s="1"/>
  <c r="K23" i="24" s="1" a="1"/>
  <c r="K23" i="24" s="1"/>
  <c r="J22" i="24" a="1"/>
  <c r="J22" i="24" s="1"/>
  <c r="J23" i="24" s="1" a="1"/>
  <c r="J23" i="24" s="1"/>
  <c r="F22" i="24" a="1"/>
  <c r="F22" i="24" s="1"/>
  <c r="F23" i="24" s="1" a="1"/>
  <c r="F23" i="24" s="1"/>
  <c r="E22" i="24" a="1"/>
  <c r="E22" i="24" s="1"/>
  <c r="E23" i="24" s="1" a="1"/>
  <c r="E23" i="24" s="1"/>
  <c r="C22" i="24" a="1"/>
  <c r="C22" i="24" s="1"/>
  <c r="A22" i="24"/>
  <c r="A21" i="24"/>
  <c r="L20" i="24" a="1"/>
  <c r="L20" i="24" s="1"/>
  <c r="L21" i="24" s="1" a="1"/>
  <c r="L21" i="24" s="1"/>
  <c r="K20" i="24" a="1"/>
  <c r="K20" i="24" s="1"/>
  <c r="K21" i="24" s="1" a="1"/>
  <c r="K21" i="24" s="1"/>
  <c r="J20" i="24" a="1"/>
  <c r="J20" i="24" s="1"/>
  <c r="J21" i="24" s="1" a="1"/>
  <c r="J21" i="24" s="1"/>
  <c r="F20" i="24" a="1"/>
  <c r="F20" i="24" s="1"/>
  <c r="F21" i="24" s="1" a="1"/>
  <c r="F21" i="24" s="1"/>
  <c r="E20" i="24" a="1"/>
  <c r="E20" i="24" s="1"/>
  <c r="E21" i="24" s="1" a="1"/>
  <c r="E21" i="24" s="1"/>
  <c r="C20" i="24" a="1"/>
  <c r="C20" i="24" s="1"/>
  <c r="A20" i="24"/>
  <c r="A19" i="24"/>
  <c r="L18" i="24" a="1"/>
  <c r="L18" i="24" s="1"/>
  <c r="L19" i="24" s="1" a="1"/>
  <c r="L19" i="24" s="1"/>
  <c r="K18" i="24" a="1"/>
  <c r="K18" i="24" s="1"/>
  <c r="K19" i="24" s="1" a="1"/>
  <c r="K19" i="24" s="1"/>
  <c r="J18" i="24" a="1"/>
  <c r="J18" i="24" s="1"/>
  <c r="J19" i="24" s="1" a="1"/>
  <c r="J19" i="24" s="1"/>
  <c r="F18" i="24" a="1"/>
  <c r="F18" i="24" s="1"/>
  <c r="F19" i="24" s="1" a="1"/>
  <c r="F19" i="24" s="1"/>
  <c r="E18" i="24" a="1"/>
  <c r="E18" i="24" s="1"/>
  <c r="E19" i="24" s="1" a="1"/>
  <c r="E19" i="24" s="1"/>
  <c r="C18" i="24" a="1"/>
  <c r="C18" i="24" s="1"/>
  <c r="A18" i="24"/>
  <c r="A17" i="24"/>
  <c r="L16" i="24" a="1"/>
  <c r="L16" i="24" s="1"/>
  <c r="L17" i="24" s="1" a="1"/>
  <c r="L17" i="24" s="1"/>
  <c r="K16" i="24" a="1"/>
  <c r="K16" i="24" s="1"/>
  <c r="K17" i="24" s="1" a="1"/>
  <c r="K17" i="24" s="1"/>
  <c r="J16" i="24" a="1"/>
  <c r="J16" i="24" s="1"/>
  <c r="J17" i="24" s="1" a="1"/>
  <c r="J17" i="24" s="1"/>
  <c r="F16" i="24" a="1"/>
  <c r="F16" i="24" s="1"/>
  <c r="F17" i="24" s="1" a="1"/>
  <c r="F17" i="24" s="1"/>
  <c r="E16" i="24" a="1"/>
  <c r="E16" i="24" s="1"/>
  <c r="E17" i="24" s="1" a="1"/>
  <c r="E17" i="24" s="1"/>
  <c r="C16" i="24" a="1"/>
  <c r="C16" i="24" s="1"/>
  <c r="A16" i="24"/>
  <c r="A15" i="24"/>
  <c r="L14" i="24" a="1"/>
  <c r="L14" i="24" s="1"/>
  <c r="L15" i="24" s="1" a="1"/>
  <c r="L15" i="24" s="1"/>
  <c r="K14" i="24" a="1"/>
  <c r="K14" i="24" s="1"/>
  <c r="K15" i="24" s="1" a="1"/>
  <c r="K15" i="24" s="1"/>
  <c r="J14" i="24" a="1"/>
  <c r="J14" i="24" s="1"/>
  <c r="J15" i="24" s="1" a="1"/>
  <c r="J15" i="24" s="1"/>
  <c r="F14" i="24" a="1"/>
  <c r="F14" i="24" s="1"/>
  <c r="F15" i="24" s="1" a="1"/>
  <c r="F15" i="24" s="1"/>
  <c r="E14" i="24" a="1"/>
  <c r="E14" i="24" s="1"/>
  <c r="E15" i="24" s="1" a="1"/>
  <c r="E15" i="24" s="1"/>
  <c r="C14" i="24" a="1"/>
  <c r="C14" i="24" s="1"/>
  <c r="A14" i="24"/>
  <c r="A13" i="24"/>
  <c r="L12" i="24" a="1"/>
  <c r="L12" i="24" s="1"/>
  <c r="L13" i="24" s="1" a="1"/>
  <c r="L13" i="24" s="1"/>
  <c r="K12" i="24" a="1"/>
  <c r="K12" i="24" s="1"/>
  <c r="K13" i="24" s="1" a="1"/>
  <c r="K13" i="24" s="1"/>
  <c r="J12" i="24" a="1"/>
  <c r="J12" i="24" s="1"/>
  <c r="J13" i="24" s="1" a="1"/>
  <c r="J13" i="24" s="1"/>
  <c r="F12" i="24" a="1"/>
  <c r="F12" i="24" s="1"/>
  <c r="F13" i="24" s="1" a="1"/>
  <c r="F13" i="24" s="1"/>
  <c r="E12" i="24" a="1"/>
  <c r="E12" i="24" s="1"/>
  <c r="E13" i="24" s="1" a="1"/>
  <c r="E13" i="24" s="1"/>
  <c r="C12" i="24" a="1"/>
  <c r="C12" i="24" s="1"/>
  <c r="A12" i="24"/>
  <c r="A11" i="24"/>
  <c r="L10" i="24" a="1"/>
  <c r="L10" i="24" s="1"/>
  <c r="L11" i="24" s="1" a="1"/>
  <c r="L11" i="24" s="1"/>
  <c r="K10" i="24" a="1"/>
  <c r="K10" i="24" s="1"/>
  <c r="K11" i="24" s="1" a="1"/>
  <c r="K11" i="24" s="1"/>
  <c r="J10" i="24" a="1"/>
  <c r="J10" i="24" s="1"/>
  <c r="J11" i="24" s="1" a="1"/>
  <c r="J11" i="24" s="1"/>
  <c r="F10" i="24" a="1"/>
  <c r="F10" i="24" s="1"/>
  <c r="F11" i="24" s="1" a="1"/>
  <c r="F11" i="24" s="1"/>
  <c r="E10" i="24" a="1"/>
  <c r="E10" i="24" s="1"/>
  <c r="E11" i="24" s="1" a="1"/>
  <c r="E11" i="24" s="1"/>
  <c r="C10" i="24" a="1"/>
  <c r="C10" i="24" s="1"/>
  <c r="A10" i="24"/>
  <c r="A9" i="24"/>
  <c r="L8" i="24" a="1"/>
  <c r="L8" i="24" s="1"/>
  <c r="L9" i="24" s="1" a="1"/>
  <c r="L9" i="24" s="1"/>
  <c r="K8" i="24" a="1"/>
  <c r="K8" i="24" s="1"/>
  <c r="K9" i="24" s="1" a="1"/>
  <c r="K9" i="24" s="1"/>
  <c r="J8" i="24" a="1"/>
  <c r="J8" i="24" s="1"/>
  <c r="J9" i="24" s="1" a="1"/>
  <c r="J9" i="24" s="1"/>
  <c r="F8" i="24" a="1"/>
  <c r="F8" i="24" s="1"/>
  <c r="F9" i="24" s="1" a="1"/>
  <c r="F9" i="24" s="1"/>
  <c r="E8" i="24" a="1"/>
  <c r="E8" i="24" s="1"/>
  <c r="E9" i="24" s="1" a="1"/>
  <c r="E9" i="24" s="1"/>
  <c r="A8" i="24"/>
  <c r="A7" i="24"/>
  <c r="L6" i="24" a="1"/>
  <c r="L6" i="24" s="1"/>
  <c r="L7" i="24" s="1" a="1"/>
  <c r="L7" i="24" s="1"/>
  <c r="K6" i="24" a="1"/>
  <c r="K6" i="24" s="1"/>
  <c r="K7" i="24" s="1" a="1"/>
  <c r="K7" i="24" s="1"/>
  <c r="J6" i="24" a="1"/>
  <c r="J6" i="24" s="1"/>
  <c r="J7" i="24" s="1" a="1"/>
  <c r="J7" i="24" s="1"/>
  <c r="F6" i="24" a="1"/>
  <c r="F6" i="24" s="1"/>
  <c r="F7" i="24" s="1" a="1"/>
  <c r="F7" i="24" s="1"/>
  <c r="E6" i="24" a="1"/>
  <c r="E6" i="24" s="1"/>
  <c r="E7" i="24" s="1" a="1"/>
  <c r="E7" i="24" s="1"/>
  <c r="C6" i="24" a="1"/>
  <c r="C6" i="24" s="1"/>
  <c r="A6" i="24"/>
  <c r="N4" i="24" a="1"/>
  <c r="N4" i="24" s="1"/>
  <c r="M4" i="24" a="1"/>
  <c r="M4" i="24" s="1"/>
  <c r="L4" i="24" a="1"/>
  <c r="L4" i="24" s="1"/>
  <c r="K4" i="24" a="1"/>
  <c r="K4" i="24" s="1"/>
  <c r="J4" i="24" a="1"/>
  <c r="J4" i="24" s="1"/>
  <c r="I4" i="24" a="1"/>
  <c r="I4" i="24" s="1"/>
  <c r="H4" i="24" a="1"/>
  <c r="H4" i="24" s="1"/>
  <c r="G4" i="24" a="1"/>
  <c r="G4" i="24" s="1"/>
  <c r="F4" i="24" a="1"/>
  <c r="F4" i="24" s="1"/>
  <c r="E4" i="24" a="1"/>
  <c r="E4" i="24" s="1"/>
  <c r="K4" i="23" a="1"/>
  <c r="K4" i="23" s="1"/>
  <c r="A37" i="23"/>
  <c r="N37" i="23" a="1"/>
  <c r="N37" i="23" s="1"/>
  <c r="M36" i="23" a="1"/>
  <c r="M36" i="23" s="1"/>
  <c r="M37" i="23" s="1" a="1"/>
  <c r="M37" i="23" s="1"/>
  <c r="L36" i="23" a="1"/>
  <c r="L36" i="23" s="1"/>
  <c r="L37" i="23" s="1" a="1"/>
  <c r="L37" i="23" s="1"/>
  <c r="E36" i="23" a="1"/>
  <c r="E36" i="23" s="1"/>
  <c r="E37" i="23" s="1" a="1"/>
  <c r="E37" i="23" s="1"/>
  <c r="C36" i="23" a="1"/>
  <c r="C36" i="23" s="1"/>
  <c r="A36" i="23"/>
  <c r="A35" i="23"/>
  <c r="N35" i="23" a="1"/>
  <c r="N35" i="23" s="1"/>
  <c r="M34" i="23" a="1"/>
  <c r="M34" i="23" s="1"/>
  <c r="M35" i="23" s="1" a="1"/>
  <c r="M35" i="23" s="1"/>
  <c r="L34" i="23" a="1"/>
  <c r="L34" i="23" s="1"/>
  <c r="L35" i="23" s="1" a="1"/>
  <c r="L35" i="23" s="1"/>
  <c r="E34" i="23" a="1"/>
  <c r="E34" i="23" s="1"/>
  <c r="E35" i="23" s="1" a="1"/>
  <c r="E35" i="23" s="1"/>
  <c r="C34" i="23" a="1"/>
  <c r="C34" i="23" s="1"/>
  <c r="A34" i="23"/>
  <c r="A33" i="23"/>
  <c r="N33" i="23" a="1"/>
  <c r="N33" i="23" s="1"/>
  <c r="M32" i="23" a="1"/>
  <c r="M32" i="23" s="1"/>
  <c r="M33" i="23" s="1" a="1"/>
  <c r="M33" i="23" s="1"/>
  <c r="L32" i="23" a="1"/>
  <c r="L32" i="23" s="1"/>
  <c r="L33" i="23" s="1" a="1"/>
  <c r="L33" i="23" s="1"/>
  <c r="E32" i="23" a="1"/>
  <c r="E32" i="23" s="1"/>
  <c r="E33" i="23" s="1" a="1"/>
  <c r="E33" i="23" s="1"/>
  <c r="C32" i="23" a="1"/>
  <c r="C32" i="23" s="1"/>
  <c r="A32" i="23"/>
  <c r="A31" i="23"/>
  <c r="N31" i="23" a="1"/>
  <c r="N31" i="23" s="1"/>
  <c r="M30" i="23" a="1"/>
  <c r="M30" i="23" s="1"/>
  <c r="M31" i="23" s="1" a="1"/>
  <c r="M31" i="23" s="1"/>
  <c r="L30" i="23" a="1"/>
  <c r="L30" i="23" s="1"/>
  <c r="L31" i="23" s="1" a="1"/>
  <c r="L31" i="23" s="1"/>
  <c r="E30" i="23" a="1"/>
  <c r="E30" i="23" s="1"/>
  <c r="E31" i="23" s="1" a="1"/>
  <c r="E31" i="23" s="1"/>
  <c r="C30" i="23" a="1"/>
  <c r="C30" i="23" s="1"/>
  <c r="A30" i="23"/>
  <c r="A29" i="23"/>
  <c r="N29" i="23" a="1"/>
  <c r="N29" i="23" s="1"/>
  <c r="M28" i="23" a="1"/>
  <c r="M28" i="23" s="1"/>
  <c r="M29" i="23" s="1" a="1"/>
  <c r="M29" i="23" s="1"/>
  <c r="L28" i="23" a="1"/>
  <c r="L28" i="23" s="1"/>
  <c r="L29" i="23" s="1" a="1"/>
  <c r="L29" i="23" s="1"/>
  <c r="E28" i="23" a="1"/>
  <c r="E28" i="23" s="1"/>
  <c r="E29" i="23" s="1" a="1"/>
  <c r="E29" i="23" s="1"/>
  <c r="C28" i="23" a="1"/>
  <c r="C28" i="23" s="1"/>
  <c r="A28" i="23"/>
  <c r="A27" i="23"/>
  <c r="N27" i="23" a="1"/>
  <c r="N27" i="23" s="1"/>
  <c r="M26" i="23" a="1"/>
  <c r="M26" i="23" s="1"/>
  <c r="M27" i="23" s="1" a="1"/>
  <c r="M27" i="23" s="1"/>
  <c r="L26" i="23" a="1"/>
  <c r="L26" i="23" s="1"/>
  <c r="L27" i="23" s="1" a="1"/>
  <c r="L27" i="23" s="1"/>
  <c r="E26" i="23" a="1"/>
  <c r="E26" i="23" s="1"/>
  <c r="E27" i="23" s="1" a="1"/>
  <c r="E27" i="23" s="1"/>
  <c r="C26" i="23" a="1"/>
  <c r="C26" i="23" s="1"/>
  <c r="A26" i="23"/>
  <c r="A25" i="23"/>
  <c r="N24" i="23" a="1"/>
  <c r="N24" i="23" s="1"/>
  <c r="N25" i="23" s="1" a="1"/>
  <c r="N25" i="23" s="1"/>
  <c r="M24" i="23" a="1"/>
  <c r="M24" i="23" s="1"/>
  <c r="M25" i="23" s="1" a="1"/>
  <c r="M25" i="23" s="1"/>
  <c r="L24" i="23" a="1"/>
  <c r="L24" i="23" s="1"/>
  <c r="L25" i="23" s="1" a="1"/>
  <c r="L25" i="23" s="1"/>
  <c r="E24" i="23" a="1"/>
  <c r="E24" i="23" s="1"/>
  <c r="E25" i="23" s="1" a="1"/>
  <c r="E25" i="23" s="1"/>
  <c r="C24" i="23" a="1"/>
  <c r="C24" i="23" s="1"/>
  <c r="A24" i="23"/>
  <c r="A23" i="23"/>
  <c r="N22" i="23" a="1"/>
  <c r="N22" i="23" s="1"/>
  <c r="N23" i="23" s="1" a="1"/>
  <c r="N23" i="23" s="1"/>
  <c r="M22" i="23" a="1"/>
  <c r="M22" i="23" s="1"/>
  <c r="M23" i="23" s="1" a="1"/>
  <c r="M23" i="23" s="1"/>
  <c r="L22" i="23" a="1"/>
  <c r="L22" i="23" s="1"/>
  <c r="L23" i="23" s="1" a="1"/>
  <c r="L23" i="23" s="1"/>
  <c r="E22" i="23" a="1"/>
  <c r="E22" i="23" s="1"/>
  <c r="E23" i="23" s="1" a="1"/>
  <c r="E23" i="23" s="1"/>
  <c r="C22" i="23" a="1"/>
  <c r="C22" i="23" s="1"/>
  <c r="A22" i="23"/>
  <c r="A21" i="23"/>
  <c r="N20" i="23" a="1"/>
  <c r="N20" i="23" s="1"/>
  <c r="N21" i="23" s="1" a="1"/>
  <c r="N21" i="23" s="1"/>
  <c r="M20" i="23" a="1"/>
  <c r="M20" i="23" s="1"/>
  <c r="M21" i="23" s="1" a="1"/>
  <c r="M21" i="23" s="1"/>
  <c r="L20" i="23" a="1"/>
  <c r="L20" i="23" s="1"/>
  <c r="L21" i="23" s="1" a="1"/>
  <c r="L21" i="23" s="1"/>
  <c r="E20" i="23" a="1"/>
  <c r="E20" i="23" s="1"/>
  <c r="E21" i="23" s="1" a="1"/>
  <c r="E21" i="23" s="1"/>
  <c r="C20" i="23" a="1"/>
  <c r="C20" i="23" s="1"/>
  <c r="A20" i="23"/>
  <c r="A19" i="23"/>
  <c r="N18" i="23" a="1"/>
  <c r="N18" i="23" s="1"/>
  <c r="N19" i="23" s="1" a="1"/>
  <c r="N19" i="23" s="1"/>
  <c r="M18" i="23" a="1"/>
  <c r="M18" i="23" s="1"/>
  <c r="M19" i="23" s="1" a="1"/>
  <c r="M19" i="23" s="1"/>
  <c r="L18" i="23" a="1"/>
  <c r="L18" i="23" s="1"/>
  <c r="L19" i="23" s="1" a="1"/>
  <c r="L19" i="23" s="1"/>
  <c r="E18" i="23" a="1"/>
  <c r="E18" i="23" s="1"/>
  <c r="E19" i="23" s="1" a="1"/>
  <c r="E19" i="23" s="1"/>
  <c r="C18" i="23" a="1"/>
  <c r="C18" i="23" s="1"/>
  <c r="A18" i="23"/>
  <c r="A17" i="23"/>
  <c r="N16" i="23" a="1"/>
  <c r="N16" i="23" s="1"/>
  <c r="N17" i="23" s="1" a="1"/>
  <c r="N17" i="23" s="1"/>
  <c r="M16" i="23" a="1"/>
  <c r="M16" i="23" s="1"/>
  <c r="M17" i="23" s="1" a="1"/>
  <c r="M17" i="23" s="1"/>
  <c r="L16" i="23" a="1"/>
  <c r="L16" i="23" s="1"/>
  <c r="L17" i="23" s="1" a="1"/>
  <c r="L17" i="23" s="1"/>
  <c r="E16" i="23" a="1"/>
  <c r="E16" i="23" s="1"/>
  <c r="E17" i="23" s="1" a="1"/>
  <c r="E17" i="23" s="1"/>
  <c r="C16" i="23" a="1"/>
  <c r="C16" i="23" s="1"/>
  <c r="A16" i="23"/>
  <c r="A15" i="23"/>
  <c r="N14" i="23" a="1"/>
  <c r="N14" i="23" s="1"/>
  <c r="N15" i="23" s="1" a="1"/>
  <c r="N15" i="23" s="1"/>
  <c r="M14" i="23" a="1"/>
  <c r="M14" i="23" s="1"/>
  <c r="M15" i="23" s="1" a="1"/>
  <c r="M15" i="23" s="1"/>
  <c r="L14" i="23" a="1"/>
  <c r="L14" i="23" s="1"/>
  <c r="L15" i="23" s="1" a="1"/>
  <c r="L15" i="23" s="1"/>
  <c r="E14" i="23" a="1"/>
  <c r="E14" i="23" s="1"/>
  <c r="E15" i="23" s="1" a="1"/>
  <c r="E15" i="23" s="1"/>
  <c r="C14" i="23" a="1"/>
  <c r="C14" i="23" s="1"/>
  <c r="A14" i="23"/>
  <c r="A13" i="23"/>
  <c r="N12" i="23" a="1"/>
  <c r="N12" i="23" s="1"/>
  <c r="N13" i="23" s="1" a="1"/>
  <c r="N13" i="23" s="1"/>
  <c r="M12" i="23" a="1"/>
  <c r="M12" i="23" s="1"/>
  <c r="M13" i="23" s="1" a="1"/>
  <c r="M13" i="23" s="1"/>
  <c r="L12" i="23" a="1"/>
  <c r="L12" i="23" s="1"/>
  <c r="L13" i="23" s="1" a="1"/>
  <c r="L13" i="23" s="1"/>
  <c r="E12" i="23" a="1"/>
  <c r="E12" i="23" s="1"/>
  <c r="E13" i="23" s="1" a="1"/>
  <c r="E13" i="23" s="1"/>
  <c r="C12" i="23" a="1"/>
  <c r="C12" i="23" s="1"/>
  <c r="A12" i="23"/>
  <c r="A11" i="23"/>
  <c r="N10" i="23" a="1"/>
  <c r="N10" i="23" s="1"/>
  <c r="N11" i="23" s="1" a="1"/>
  <c r="N11" i="23" s="1"/>
  <c r="M10" i="23" a="1"/>
  <c r="M10" i="23" s="1"/>
  <c r="M11" i="23" s="1" a="1"/>
  <c r="M11" i="23" s="1"/>
  <c r="L10" i="23" a="1"/>
  <c r="L10" i="23" s="1"/>
  <c r="L11" i="23" s="1" a="1"/>
  <c r="L11" i="23" s="1"/>
  <c r="E10" i="23" a="1"/>
  <c r="E10" i="23" s="1"/>
  <c r="E11" i="23" s="1" a="1"/>
  <c r="E11" i="23" s="1"/>
  <c r="C10" i="23" a="1"/>
  <c r="C10" i="23" s="1"/>
  <c r="A10" i="23"/>
  <c r="A9" i="23"/>
  <c r="N8" i="23" a="1"/>
  <c r="N8" i="23" s="1"/>
  <c r="N9" i="23" s="1" a="1"/>
  <c r="N9" i="23" s="1"/>
  <c r="M8" i="23" a="1"/>
  <c r="M8" i="23" s="1"/>
  <c r="M9" i="23" s="1" a="1"/>
  <c r="M9" i="23" s="1"/>
  <c r="L8" i="23" a="1"/>
  <c r="L8" i="23" s="1"/>
  <c r="L9" i="23" s="1" a="1"/>
  <c r="L9" i="23" s="1"/>
  <c r="E8" i="23" a="1"/>
  <c r="E8" i="23" s="1"/>
  <c r="E9" i="23" s="1" a="1"/>
  <c r="E9" i="23" s="1"/>
  <c r="A8" i="23"/>
  <c r="A7" i="23"/>
  <c r="N6" i="23" a="1"/>
  <c r="N6" i="23" s="1"/>
  <c r="N7" i="23" s="1" a="1"/>
  <c r="N7" i="23" s="1"/>
  <c r="M6" i="23" a="1"/>
  <c r="M6" i="23" s="1"/>
  <c r="M7" i="23" s="1" a="1"/>
  <c r="M7" i="23" s="1"/>
  <c r="L6" i="23" a="1"/>
  <c r="L6" i="23" s="1"/>
  <c r="L7" i="23" s="1" a="1"/>
  <c r="L7" i="23" s="1"/>
  <c r="E6" i="23" a="1"/>
  <c r="E6" i="23" s="1"/>
  <c r="E7" i="23" s="1" a="1"/>
  <c r="E7" i="23" s="1"/>
  <c r="C6" i="23" a="1"/>
  <c r="C6" i="23" s="1"/>
  <c r="A6" i="23"/>
  <c r="N4" i="23" a="1"/>
  <c r="N4" i="23" s="1"/>
  <c r="M4" i="23" a="1"/>
  <c r="M4" i="23" s="1"/>
  <c r="L4" i="23" a="1"/>
  <c r="L4" i="23" s="1"/>
  <c r="J4" i="23" a="1"/>
  <c r="J4" i="23" s="1"/>
  <c r="I4" i="23" a="1"/>
  <c r="I4" i="23" s="1"/>
  <c r="H4" i="23" a="1"/>
  <c r="H4" i="23" s="1"/>
  <c r="G4" i="23" a="1"/>
  <c r="G4" i="23" s="1"/>
  <c r="F4" i="23" a="1"/>
  <c r="F4" i="23" s="1"/>
  <c r="E4" i="23" a="1"/>
  <c r="E4" i="23" s="1"/>
  <c r="N37" i="21" a="1"/>
  <c r="N37" i="21" s="1"/>
  <c r="M36" i="21" a="1"/>
  <c r="M36" i="21" s="1"/>
  <c r="M37" i="21" s="1" a="1"/>
  <c r="M37" i="21" s="1"/>
  <c r="L36" i="21" a="1"/>
  <c r="L36" i="21" s="1"/>
  <c r="L37" i="21" s="1" a="1"/>
  <c r="L37" i="21" s="1"/>
  <c r="F36" i="21" a="1"/>
  <c r="F36" i="21" s="1"/>
  <c r="F37" i="21" s="1" a="1"/>
  <c r="F37" i="21" s="1"/>
  <c r="E36" i="21" a="1"/>
  <c r="E36" i="21" s="1"/>
  <c r="E37" i="21" s="1" a="1"/>
  <c r="E37" i="21" s="1"/>
  <c r="N35" i="21" a="1"/>
  <c r="N35" i="21" s="1"/>
  <c r="M34" i="21" a="1"/>
  <c r="M34" i="21" s="1"/>
  <c r="M35" i="21" s="1" a="1"/>
  <c r="M35" i="21" s="1"/>
  <c r="L34" i="21" a="1"/>
  <c r="L34" i="21" s="1"/>
  <c r="L35" i="21" s="1" a="1"/>
  <c r="L35" i="21" s="1"/>
  <c r="F34" i="21" a="1"/>
  <c r="F34" i="21" s="1"/>
  <c r="F35" i="21" s="1" a="1"/>
  <c r="F35" i="21" s="1"/>
  <c r="E34" i="21" a="1"/>
  <c r="E34" i="21" s="1"/>
  <c r="E35" i="21" s="1" a="1"/>
  <c r="E35" i="21" s="1"/>
  <c r="N33" i="21" a="1"/>
  <c r="N33" i="21" s="1"/>
  <c r="M32" i="21" a="1"/>
  <c r="M32" i="21" s="1"/>
  <c r="M33" i="21" s="1" a="1"/>
  <c r="M33" i="21" s="1"/>
  <c r="L32" i="21" a="1"/>
  <c r="L32" i="21" s="1"/>
  <c r="L33" i="21" s="1" a="1"/>
  <c r="L33" i="21" s="1"/>
  <c r="F32" i="21" a="1"/>
  <c r="F32" i="21" s="1"/>
  <c r="F33" i="21" s="1" a="1"/>
  <c r="F33" i="21" s="1"/>
  <c r="E32" i="21" a="1"/>
  <c r="E32" i="21" s="1"/>
  <c r="E33" i="21" s="1" a="1"/>
  <c r="E33" i="21" s="1"/>
  <c r="N31" i="21" a="1"/>
  <c r="N31" i="21" s="1"/>
  <c r="M30" i="21" a="1"/>
  <c r="M30" i="21" s="1"/>
  <c r="M31" i="21" s="1" a="1"/>
  <c r="M31" i="21" s="1"/>
  <c r="L30" i="21" a="1"/>
  <c r="L30" i="21" s="1"/>
  <c r="L31" i="21" s="1" a="1"/>
  <c r="L31" i="21" s="1"/>
  <c r="F30" i="21" a="1"/>
  <c r="F30" i="21" s="1"/>
  <c r="F31" i="21" s="1" a="1"/>
  <c r="F31" i="21" s="1"/>
  <c r="E30" i="21" a="1"/>
  <c r="E30" i="21" s="1"/>
  <c r="E31" i="21" s="1" a="1"/>
  <c r="E31" i="21" s="1"/>
  <c r="N29" i="21" a="1"/>
  <c r="N29" i="21" s="1"/>
  <c r="M28" i="21" a="1"/>
  <c r="M28" i="21" s="1"/>
  <c r="M29" i="21" s="1" a="1"/>
  <c r="M29" i="21" s="1"/>
  <c r="L28" i="21" a="1"/>
  <c r="L28" i="21" s="1"/>
  <c r="L29" i="21" s="1" a="1"/>
  <c r="L29" i="21" s="1"/>
  <c r="F28" i="21" a="1"/>
  <c r="F28" i="21" s="1"/>
  <c r="F29" i="21" s="1" a="1"/>
  <c r="F29" i="21" s="1"/>
  <c r="E28" i="21" a="1"/>
  <c r="E28" i="21" s="1"/>
  <c r="E29" i="21" s="1" a="1"/>
  <c r="E29" i="21" s="1"/>
  <c r="N27" i="21" a="1"/>
  <c r="N27" i="21" s="1"/>
  <c r="M26" i="21" a="1"/>
  <c r="M26" i="21" s="1"/>
  <c r="M27" i="21" s="1" a="1"/>
  <c r="M27" i="21" s="1"/>
  <c r="L26" i="21" a="1"/>
  <c r="L26" i="21" s="1"/>
  <c r="L27" i="21" s="1" a="1"/>
  <c r="L27" i="21" s="1"/>
  <c r="F26" i="21" a="1"/>
  <c r="F26" i="21" s="1"/>
  <c r="F27" i="21" s="1" a="1"/>
  <c r="F27" i="21" s="1"/>
  <c r="E26" i="21" a="1"/>
  <c r="E26" i="21" s="1"/>
  <c r="E27" i="21" s="1" a="1"/>
  <c r="E27" i="21" s="1"/>
  <c r="N24" i="21" a="1"/>
  <c r="N24" i="21" s="1"/>
  <c r="N25" i="21" s="1" a="1"/>
  <c r="N25" i="21" s="1"/>
  <c r="M24" i="21" a="1"/>
  <c r="M24" i="21" s="1"/>
  <c r="M25" i="21" s="1" a="1"/>
  <c r="M25" i="21" s="1"/>
  <c r="L24" i="21" a="1"/>
  <c r="L24" i="21" s="1"/>
  <c r="L25" i="21" s="1" a="1"/>
  <c r="L25" i="21" s="1"/>
  <c r="F24" i="21" a="1"/>
  <c r="F24" i="21" s="1"/>
  <c r="F25" i="21" s="1" a="1"/>
  <c r="F25" i="21" s="1"/>
  <c r="E24" i="21" a="1"/>
  <c r="E24" i="21" s="1"/>
  <c r="E25" i="21" s="1" a="1"/>
  <c r="E25" i="21" s="1"/>
  <c r="N22" i="21" a="1"/>
  <c r="N22" i="21" s="1"/>
  <c r="N23" i="21" s="1" a="1"/>
  <c r="N23" i="21" s="1"/>
  <c r="M22" i="21" a="1"/>
  <c r="M22" i="21" s="1"/>
  <c r="M23" i="21" s="1" a="1"/>
  <c r="M23" i="21" s="1"/>
  <c r="L22" i="21" a="1"/>
  <c r="L22" i="21" s="1"/>
  <c r="L23" i="21" s="1" a="1"/>
  <c r="L23" i="21" s="1"/>
  <c r="F22" i="21" a="1"/>
  <c r="F22" i="21" s="1"/>
  <c r="F23" i="21" s="1" a="1"/>
  <c r="F23" i="21" s="1"/>
  <c r="E22" i="21" a="1"/>
  <c r="E22" i="21" s="1"/>
  <c r="E23" i="21" s="1" a="1"/>
  <c r="E23" i="21" s="1"/>
  <c r="N20" i="21" a="1"/>
  <c r="N20" i="21" s="1"/>
  <c r="N21" i="21" s="1" a="1"/>
  <c r="N21" i="21" s="1"/>
  <c r="M20" i="21" a="1"/>
  <c r="M20" i="21" s="1"/>
  <c r="M21" i="21" s="1" a="1"/>
  <c r="M21" i="21" s="1"/>
  <c r="L20" i="21" a="1"/>
  <c r="L20" i="21" s="1"/>
  <c r="L21" i="21" s="1" a="1"/>
  <c r="L21" i="21" s="1"/>
  <c r="F20" i="21" a="1"/>
  <c r="F20" i="21" s="1"/>
  <c r="F21" i="21" s="1" a="1"/>
  <c r="F21" i="21" s="1"/>
  <c r="E20" i="21" a="1"/>
  <c r="E20" i="21" s="1"/>
  <c r="E21" i="21" s="1" a="1"/>
  <c r="E21" i="21" s="1"/>
  <c r="N18" i="21" a="1"/>
  <c r="N18" i="21" s="1"/>
  <c r="N19" i="21" s="1" a="1"/>
  <c r="N19" i="21" s="1"/>
  <c r="M18" i="21" a="1"/>
  <c r="M18" i="21" s="1"/>
  <c r="M19" i="21" s="1" a="1"/>
  <c r="M19" i="21" s="1"/>
  <c r="L18" i="21" a="1"/>
  <c r="L18" i="21" s="1"/>
  <c r="L19" i="21" s="1" a="1"/>
  <c r="L19" i="21" s="1"/>
  <c r="F18" i="21" a="1"/>
  <c r="F18" i="21" s="1"/>
  <c r="F19" i="21" s="1" a="1"/>
  <c r="F19" i="21" s="1"/>
  <c r="E18" i="21" a="1"/>
  <c r="E18" i="21" s="1"/>
  <c r="E19" i="21" s="1" a="1"/>
  <c r="E19" i="21" s="1"/>
  <c r="N16" i="21" a="1"/>
  <c r="N16" i="21" s="1"/>
  <c r="N17" i="21" s="1" a="1"/>
  <c r="N17" i="21" s="1"/>
  <c r="M16" i="21" a="1"/>
  <c r="M16" i="21" s="1"/>
  <c r="M17" i="21" s="1" a="1"/>
  <c r="M17" i="21" s="1"/>
  <c r="L16" i="21" a="1"/>
  <c r="L16" i="21" s="1"/>
  <c r="L17" i="21" s="1" a="1"/>
  <c r="L17" i="21" s="1"/>
  <c r="F16" i="21" a="1"/>
  <c r="F16" i="21" s="1"/>
  <c r="F17" i="21" s="1" a="1"/>
  <c r="F17" i="21" s="1"/>
  <c r="E16" i="21" a="1"/>
  <c r="E16" i="21" s="1"/>
  <c r="E17" i="21" s="1" a="1"/>
  <c r="E17" i="21" s="1"/>
  <c r="N14" i="21" a="1"/>
  <c r="N14" i="21" s="1"/>
  <c r="N15" i="21" s="1" a="1"/>
  <c r="N15" i="21" s="1"/>
  <c r="M14" i="21" a="1"/>
  <c r="M14" i="21" s="1"/>
  <c r="M15" i="21" s="1" a="1"/>
  <c r="M15" i="21" s="1"/>
  <c r="L14" i="21" a="1"/>
  <c r="L14" i="21" s="1"/>
  <c r="L15" i="21" s="1" a="1"/>
  <c r="L15" i="21" s="1"/>
  <c r="F14" i="21" a="1"/>
  <c r="F14" i="21" s="1"/>
  <c r="F15" i="21" s="1" a="1"/>
  <c r="F15" i="21" s="1"/>
  <c r="E14" i="21" a="1"/>
  <c r="E14" i="21" s="1"/>
  <c r="E15" i="21" s="1" a="1"/>
  <c r="E15" i="21" s="1"/>
  <c r="N12" i="21" a="1"/>
  <c r="N12" i="21" s="1"/>
  <c r="N13" i="21" s="1" a="1"/>
  <c r="N13" i="21" s="1"/>
  <c r="M12" i="21" a="1"/>
  <c r="M12" i="21" s="1"/>
  <c r="M13" i="21" s="1" a="1"/>
  <c r="M13" i="21" s="1"/>
  <c r="L12" i="21" a="1"/>
  <c r="L12" i="21" s="1"/>
  <c r="L13" i="21" s="1" a="1"/>
  <c r="L13" i="21" s="1"/>
  <c r="F12" i="21" a="1"/>
  <c r="F12" i="21" s="1"/>
  <c r="F13" i="21" s="1" a="1"/>
  <c r="F13" i="21" s="1"/>
  <c r="E12" i="21" a="1"/>
  <c r="E12" i="21" s="1"/>
  <c r="E13" i="21" s="1" a="1"/>
  <c r="E13" i="21" s="1"/>
  <c r="N10" i="21" a="1"/>
  <c r="N10" i="21" s="1"/>
  <c r="N11" i="21" s="1" a="1"/>
  <c r="N11" i="21" s="1"/>
  <c r="M10" i="21" a="1"/>
  <c r="M10" i="21" s="1"/>
  <c r="M11" i="21" s="1" a="1"/>
  <c r="M11" i="21" s="1"/>
  <c r="L10" i="21" a="1"/>
  <c r="L10" i="21" s="1"/>
  <c r="L11" i="21" s="1" a="1"/>
  <c r="L11" i="21" s="1"/>
  <c r="F10" i="21" a="1"/>
  <c r="F10" i="21" s="1"/>
  <c r="F11" i="21" s="1" a="1"/>
  <c r="F11" i="21" s="1"/>
  <c r="E10" i="21" a="1"/>
  <c r="E10" i="21" s="1"/>
  <c r="E11" i="21" s="1" a="1"/>
  <c r="E11" i="21" s="1"/>
  <c r="N8" i="21" a="1"/>
  <c r="N8" i="21" s="1"/>
  <c r="N9" i="21" s="1" a="1"/>
  <c r="N9" i="21" s="1"/>
  <c r="M8" i="21" a="1"/>
  <c r="M8" i="21" s="1"/>
  <c r="M9" i="21" s="1" a="1"/>
  <c r="M9" i="21" s="1"/>
  <c r="L8" i="21" a="1"/>
  <c r="L8" i="21" s="1"/>
  <c r="L9" i="21" s="1" a="1"/>
  <c r="L9" i="21" s="1"/>
  <c r="F8" i="21" a="1"/>
  <c r="F8" i="21" s="1"/>
  <c r="F9" i="21" s="1" a="1"/>
  <c r="F9" i="21" s="1"/>
  <c r="E8" i="21" a="1"/>
  <c r="E8" i="21" s="1"/>
  <c r="E9" i="21" s="1" a="1"/>
  <c r="E9" i="21" s="1"/>
  <c r="N6" i="21" a="1"/>
  <c r="N6" i="21" s="1"/>
  <c r="N7" i="21" s="1" a="1"/>
  <c r="N7" i="21" s="1"/>
  <c r="M6" i="21" a="1"/>
  <c r="M6" i="21" s="1"/>
  <c r="M7" i="21" s="1" a="1"/>
  <c r="M7" i="21" s="1"/>
  <c r="L6" i="21" a="1"/>
  <c r="L6" i="21" s="1"/>
  <c r="L7" i="21" s="1" a="1"/>
  <c r="L7" i="21" s="1"/>
  <c r="F6" i="21" a="1"/>
  <c r="F6" i="21" s="1"/>
  <c r="F7" i="21" s="1" a="1"/>
  <c r="F7" i="21" s="1"/>
  <c r="E6" i="21" a="1"/>
  <c r="E6" i="21" s="1"/>
  <c r="E7" i="21" s="1" a="1"/>
  <c r="E7" i="21" s="1"/>
  <c r="N15" i="1" a="1"/>
  <c r="N15" i="1" s="1"/>
  <c r="N14" i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 s="1"/>
  <c r="N8" i="1" a="1"/>
  <c r="N8" i="1" s="1"/>
  <c r="N7" i="1" a="1"/>
  <c r="N7" i="1" s="1"/>
  <c r="N6" i="1" a="1"/>
  <c r="N6" i="1" s="1"/>
  <c r="N5" i="1" a="1"/>
  <c r="N5" i="1" s="1"/>
  <c r="N4" i="1" a="1"/>
  <c r="N4" i="1" s="1"/>
  <c r="M15" i="1" a="1"/>
  <c r="M15" i="1" s="1"/>
  <c r="M14" i="1" a="1"/>
  <c r="M14" i="1" s="1"/>
  <c r="M13" i="1" a="1"/>
  <c r="M13" i="1" s="1"/>
  <c r="M12" i="1" a="1"/>
  <c r="M12" i="1" s="1"/>
  <c r="M11" i="1" a="1"/>
  <c r="M11" i="1" s="1"/>
  <c r="M10" i="1" a="1"/>
  <c r="M10" i="1" s="1"/>
  <c r="M9" i="1" a="1"/>
  <c r="M9" i="1" s="1"/>
  <c r="M8" i="1" a="1"/>
  <c r="M8" i="1" s="1"/>
  <c r="M7" i="1" a="1"/>
  <c r="M7" i="1" s="1"/>
  <c r="M6" i="1" a="1"/>
  <c r="M6" i="1" s="1"/>
  <c r="M5" i="1" a="1"/>
  <c r="M5" i="1" s="1"/>
  <c r="M4" i="1" a="1"/>
  <c r="M4" i="1" s="1"/>
  <c r="L19" i="1" a="1"/>
  <c r="L19" i="1" s="1"/>
  <c r="L20" i="1" a="1"/>
  <c r="L20" i="1" s="1"/>
  <c r="L15" i="1" a="1"/>
  <c r="L15" i="1" s="1"/>
  <c r="G12" i="27" s="1" a="1"/>
  <c r="G12" i="27" s="1"/>
  <c r="G13" i="27" s="1" a="1"/>
  <c r="G13" i="27" s="1"/>
  <c r="L14" i="1" a="1"/>
  <c r="L14" i="1" s="1"/>
  <c r="L13" i="1" a="1"/>
  <c r="L13" i="1" s="1"/>
  <c r="L12" i="1" a="1"/>
  <c r="L12" i="1" s="1"/>
  <c r="L11" i="1" a="1"/>
  <c r="L11" i="1" s="1"/>
  <c r="L10" i="1" a="1"/>
  <c r="L10" i="1" s="1"/>
  <c r="L9" i="1" a="1"/>
  <c r="L9" i="1" s="1"/>
  <c r="L8" i="1" a="1"/>
  <c r="L8" i="1" s="1"/>
  <c r="L7" i="1" a="1"/>
  <c r="L7" i="1" s="1"/>
  <c r="L6" i="1" a="1"/>
  <c r="L6" i="1" s="1"/>
  <c r="L5" i="1" a="1"/>
  <c r="L5" i="1" s="1"/>
  <c r="L4" i="1" a="1"/>
  <c r="L4" i="1" s="1"/>
  <c r="K15" i="1" a="1"/>
  <c r="K15" i="1" s="1"/>
  <c r="K14" i="1" a="1"/>
  <c r="K14" i="1" s="1"/>
  <c r="K13" i="1" a="1"/>
  <c r="K13" i="1" s="1"/>
  <c r="K12" i="1" a="1"/>
  <c r="K12" i="1" s="1"/>
  <c r="K11" i="1" a="1"/>
  <c r="K11" i="1" s="1"/>
  <c r="K10" i="1" a="1"/>
  <c r="K10" i="1" s="1"/>
  <c r="K9" i="1" a="1"/>
  <c r="K9" i="1" s="1"/>
  <c r="K8" i="1" a="1"/>
  <c r="K8" i="1" s="1"/>
  <c r="K7" i="1" a="1"/>
  <c r="K7" i="1" s="1"/>
  <c r="K6" i="1" a="1"/>
  <c r="K6" i="1" s="1"/>
  <c r="K5" i="1" a="1"/>
  <c r="K5" i="1" s="1"/>
  <c r="K4" i="1" a="1"/>
  <c r="K4" i="1" s="1"/>
  <c r="K19" i="1" a="1"/>
  <c r="K19" i="1" s="1"/>
  <c r="L26" i="1" a="1"/>
  <c r="L26" i="1" s="1"/>
  <c r="F10" i="23" s="1" a="1"/>
  <c r="F10" i="23" s="1"/>
  <c r="F11" i="23" s="1" a="1"/>
  <c r="F11" i="23" s="1"/>
  <c r="K26" i="1" a="1"/>
  <c r="K26" i="1" s="1"/>
  <c r="A37" i="21"/>
  <c r="C36" i="21" a="1"/>
  <c r="C36" i="21" s="1"/>
  <c r="A36" i="21"/>
  <c r="A35" i="21"/>
  <c r="C34" i="21" a="1"/>
  <c r="C34" i="21" s="1"/>
  <c r="A34" i="21"/>
  <c r="A33" i="21"/>
  <c r="C32" i="21" a="1"/>
  <c r="C32" i="21" s="1"/>
  <c r="A32" i="21"/>
  <c r="A31" i="21"/>
  <c r="C30" i="21" a="1"/>
  <c r="C30" i="21" s="1"/>
  <c r="A30" i="21"/>
  <c r="A29" i="21"/>
  <c r="C28" i="21" a="1"/>
  <c r="C28" i="21" s="1"/>
  <c r="A28" i="21"/>
  <c r="A27" i="21"/>
  <c r="C26" i="21" a="1"/>
  <c r="C26" i="21" s="1"/>
  <c r="A26" i="21"/>
  <c r="A25" i="21"/>
  <c r="C24" i="21" a="1"/>
  <c r="C24" i="21" s="1"/>
  <c r="A24" i="21"/>
  <c r="A23" i="21"/>
  <c r="C22" i="21" a="1"/>
  <c r="C22" i="21" s="1"/>
  <c r="A22" i="21"/>
  <c r="A21" i="21"/>
  <c r="C20" i="21" a="1"/>
  <c r="C20" i="21" s="1"/>
  <c r="A20" i="21"/>
  <c r="A19" i="21"/>
  <c r="C18" i="21" a="1"/>
  <c r="C18" i="21" s="1"/>
  <c r="A18" i="21"/>
  <c r="A17" i="21"/>
  <c r="C16" i="21" a="1"/>
  <c r="C16" i="21" s="1"/>
  <c r="A16" i="21"/>
  <c r="A15" i="21"/>
  <c r="C14" i="21" a="1"/>
  <c r="C14" i="21" s="1"/>
  <c r="A14" i="21"/>
  <c r="A13" i="21"/>
  <c r="C12" i="21" a="1"/>
  <c r="C12" i="21" s="1"/>
  <c r="A12" i="21"/>
  <c r="A11" i="21"/>
  <c r="C10" i="21" a="1"/>
  <c r="C10" i="21" s="1"/>
  <c r="A10" i="21"/>
  <c r="A9" i="21"/>
  <c r="A8" i="21"/>
  <c r="A7" i="21"/>
  <c r="C6" i="21" a="1"/>
  <c r="C6" i="21" s="1"/>
  <c r="A6" i="21"/>
  <c r="P4" i="21" a="1"/>
  <c r="P4" i="21" s="1"/>
  <c r="O4" i="21" a="1"/>
  <c r="O4" i="21" s="1"/>
  <c r="N4" i="21" a="1"/>
  <c r="N4" i="21" s="1"/>
  <c r="M4" i="21" a="1"/>
  <c r="M4" i="21" s="1"/>
  <c r="L4" i="21" a="1"/>
  <c r="L4" i="21" s="1"/>
  <c r="J4" i="21" a="1"/>
  <c r="J4" i="21" s="1"/>
  <c r="I4" i="21" a="1"/>
  <c r="I4" i="21" s="1"/>
  <c r="H4" i="21" a="1"/>
  <c r="H4" i="21" s="1"/>
  <c r="G4" i="21" a="1"/>
  <c r="G4" i="21" s="1"/>
  <c r="E4" i="21" a="1"/>
  <c r="E4" i="21" s="1"/>
  <c r="K20" i="1" a="1"/>
  <c r="K20" i="1" s="1"/>
  <c r="K20" i="14"/>
  <c r="I20" i="14"/>
  <c r="F20" i="14"/>
  <c r="G20" i="14" s="1"/>
  <c r="K19" i="14"/>
  <c r="I19" i="14"/>
  <c r="F19" i="14"/>
  <c r="G19" i="14" s="1"/>
  <c r="K18" i="14"/>
  <c r="I18" i="14"/>
  <c r="F18" i="14"/>
  <c r="G18" i="14" s="1"/>
  <c r="K17" i="14"/>
  <c r="I17" i="14"/>
  <c r="F17" i="14"/>
  <c r="G17" i="14" s="1"/>
  <c r="K16" i="14"/>
  <c r="I16" i="14"/>
  <c r="F16" i="14"/>
  <c r="G16" i="14" s="1"/>
  <c r="K15" i="14"/>
  <c r="I15" i="14"/>
  <c r="F15" i="14"/>
  <c r="G15" i="14" s="1"/>
  <c r="K14" i="14"/>
  <c r="I14" i="14"/>
  <c r="F14" i="14"/>
  <c r="G14" i="14" s="1"/>
  <c r="I5" i="14"/>
  <c r="I6" i="14"/>
  <c r="I7" i="14"/>
  <c r="I8" i="14"/>
  <c r="I9" i="14"/>
  <c r="I10" i="14"/>
  <c r="I4" i="14"/>
  <c r="K8" i="14"/>
  <c r="F8" i="14"/>
  <c r="G8" i="14" s="1"/>
  <c r="K9" i="14"/>
  <c r="K10" i="14"/>
  <c r="F10" i="14"/>
  <c r="G10" i="14" s="1"/>
  <c r="F9" i="14"/>
  <c r="G9" i="14"/>
  <c r="F5" i="14"/>
  <c r="G5" i="14" s="1"/>
  <c r="F6" i="14"/>
  <c r="G6" i="14" s="1"/>
  <c r="F7" i="14"/>
  <c r="G7" i="14" s="1"/>
  <c r="F4" i="14"/>
  <c r="G4" i="14" s="1"/>
  <c r="K5" i="14"/>
  <c r="K6" i="14"/>
  <c r="K7" i="14"/>
  <c r="K4" i="14"/>
  <c r="C31" i="1"/>
  <c r="C53" i="1"/>
  <c r="C52" i="1"/>
  <c r="C47" i="1"/>
  <c r="D3" i="54" l="1" a="1"/>
  <c r="D3" i="52" a="1"/>
  <c r="D3" i="53" a="1"/>
  <c r="D3" i="35" a="1"/>
  <c r="D3" i="31" a="1"/>
  <c r="D3" i="44" a="1"/>
  <c r="D3" i="42" a="1"/>
  <c r="D3" i="46" a="1"/>
  <c r="D3" i="37" a="1"/>
  <c r="D3" i="36" a="1"/>
  <c r="D3" i="38" a="1"/>
  <c r="D3" i="40" a="1"/>
  <c r="D3" i="43" a="1"/>
  <c r="D3" i="39" a="1"/>
  <c r="D3" i="41" a="1"/>
  <c r="D3" i="47" a="1"/>
  <c r="D3" i="45" a="1"/>
  <c r="D3" i="48" a="1"/>
  <c r="D3" i="49" a="1"/>
  <c r="D3" i="50" a="1"/>
  <c r="M32" i="26" a="1"/>
  <c r="M32" i="26" s="1"/>
  <c r="M33" i="26" s="1" a="1"/>
  <c r="M33" i="26" s="1"/>
  <c r="M32" i="24" a="1"/>
  <c r="M32" i="24" s="1"/>
  <c r="M33" i="24" s="1" a="1"/>
  <c r="M33" i="24" s="1"/>
  <c r="M12" i="26" a="1"/>
  <c r="M12" i="26" s="1"/>
  <c r="M13" i="26" s="1" a="1"/>
  <c r="M13" i="26" s="1"/>
  <c r="M36" i="26" a="1"/>
  <c r="M36" i="26" s="1"/>
  <c r="M37" i="26" s="1" a="1"/>
  <c r="M37" i="26" s="1"/>
  <c r="M24" i="24" a="1"/>
  <c r="M24" i="24" s="1"/>
  <c r="M25" i="24" s="1" a="1"/>
  <c r="M25" i="24" s="1"/>
  <c r="M34" i="26" a="1"/>
  <c r="M34" i="26" s="1"/>
  <c r="M35" i="26" s="1" a="1"/>
  <c r="M35" i="26" s="1"/>
  <c r="M18" i="26" a="1"/>
  <c r="M18" i="26" s="1"/>
  <c r="M19" i="26" s="1" a="1"/>
  <c r="M19" i="26" s="1"/>
  <c r="M20" i="26" a="1"/>
  <c r="M20" i="26" s="1"/>
  <c r="M21" i="26" s="1" a="1"/>
  <c r="M21" i="26" s="1"/>
  <c r="M30" i="26" a="1"/>
  <c r="M30" i="26" s="1"/>
  <c r="M31" i="26" s="1" a="1"/>
  <c r="M31" i="26" s="1"/>
  <c r="M30" i="24" a="1"/>
  <c r="M30" i="24" s="1"/>
  <c r="M31" i="24" s="1" a="1"/>
  <c r="M31" i="24" s="1"/>
  <c r="M24" i="26" a="1"/>
  <c r="M24" i="26" s="1"/>
  <c r="M25" i="26" s="1" a="1"/>
  <c r="M25" i="26" s="1"/>
  <c r="M16" i="26" a="1"/>
  <c r="M16" i="26" s="1"/>
  <c r="M17" i="26" s="1" a="1"/>
  <c r="M17" i="26" s="1"/>
  <c r="M8" i="26" a="1"/>
  <c r="M8" i="26" s="1"/>
  <c r="M9" i="26" s="1" a="1"/>
  <c r="M9" i="26" s="1"/>
  <c r="M28" i="24" a="1"/>
  <c r="M28" i="24" s="1"/>
  <c r="M29" i="24" s="1" a="1"/>
  <c r="M29" i="24" s="1"/>
  <c r="M26" i="24" a="1"/>
  <c r="M26" i="24" s="1"/>
  <c r="M27" i="24" s="1" a="1"/>
  <c r="M27" i="24" s="1"/>
  <c r="M18" i="24" a="1"/>
  <c r="M18" i="24" s="1"/>
  <c r="M19" i="24" s="1" a="1"/>
  <c r="M19" i="24" s="1"/>
  <c r="M22" i="24" a="1"/>
  <c r="M22" i="24" s="1"/>
  <c r="M23" i="24" s="1" a="1"/>
  <c r="M23" i="24" s="1"/>
  <c r="M20" i="24" a="1"/>
  <c r="M20" i="24" s="1"/>
  <c r="M21" i="24" s="1" a="1"/>
  <c r="M21" i="24" s="1"/>
  <c r="M10" i="24" a="1"/>
  <c r="M10" i="24" s="1"/>
  <c r="M11" i="24" s="1" a="1"/>
  <c r="M11" i="24" s="1"/>
  <c r="M14" i="24" a="1"/>
  <c r="M14" i="24" s="1"/>
  <c r="M15" i="24" s="1" a="1"/>
  <c r="M15" i="24" s="1"/>
  <c r="M12" i="24" a="1"/>
  <c r="M12" i="24" s="1"/>
  <c r="M13" i="24" s="1" a="1"/>
  <c r="M13" i="24" s="1"/>
  <c r="M6" i="24" a="1"/>
  <c r="M6" i="24" s="1"/>
  <c r="M7" i="24" s="1" a="1"/>
  <c r="M7" i="24" s="1"/>
  <c r="N18" i="26" a="1"/>
  <c r="N18" i="26" s="1"/>
  <c r="N19" i="26" s="1" a="1"/>
  <c r="N19" i="26" s="1"/>
  <c r="N16" i="26" a="1"/>
  <c r="N16" i="26" s="1"/>
  <c r="N17" i="26" s="1" a="1"/>
  <c r="N17" i="26" s="1"/>
  <c r="N12" i="26" a="1"/>
  <c r="N12" i="26" s="1"/>
  <c r="N13" i="26" s="1" a="1"/>
  <c r="N13" i="26" s="1"/>
  <c r="N10" i="24" a="1"/>
  <c r="N10" i="24" s="1"/>
  <c r="N11" i="24" s="1" a="1"/>
  <c r="N11" i="24" s="1"/>
  <c r="N34" i="24" a="1"/>
  <c r="N34" i="24" s="1"/>
  <c r="N35" i="24" s="1" a="1"/>
  <c r="N35" i="24" s="1"/>
  <c r="N32" i="24" a="1"/>
  <c r="N32" i="24" s="1"/>
  <c r="N33" i="24" s="1" a="1"/>
  <c r="N33" i="24" s="1"/>
  <c r="N18" i="24" a="1"/>
  <c r="N18" i="24" s="1"/>
  <c r="N19" i="24" s="1" a="1"/>
  <c r="N19" i="24" s="1"/>
  <c r="N30" i="24" a="1"/>
  <c r="N30" i="24" s="1"/>
  <c r="N31" i="24" s="1" a="1"/>
  <c r="N31" i="24" s="1"/>
  <c r="N36" i="24" a="1"/>
  <c r="N36" i="24" s="1"/>
  <c r="N37" i="24" s="1" a="1"/>
  <c r="N37" i="24" s="1"/>
  <c r="N28" i="24" a="1"/>
  <c r="N28" i="24" s="1"/>
  <c r="N29" i="24" s="1" a="1"/>
  <c r="N29" i="24" s="1"/>
  <c r="P8" i="21" a="1"/>
  <c r="P8" i="21" s="1"/>
  <c r="P9" i="21" s="1" a="1"/>
  <c r="P9" i="21" s="1"/>
  <c r="N26" i="24" a="1"/>
  <c r="N26" i="24" s="1"/>
  <c r="N27" i="24" s="1" a="1"/>
  <c r="N27" i="24" s="1"/>
  <c r="N36" i="26" a="1"/>
  <c r="N36" i="26" s="1"/>
  <c r="N37" i="26" s="1" a="1"/>
  <c r="N37" i="26" s="1"/>
  <c r="N34" i="26" a="1"/>
  <c r="N34" i="26" s="1"/>
  <c r="N35" i="26" s="1" a="1"/>
  <c r="N35" i="26" s="1"/>
  <c r="N16" i="24" a="1"/>
  <c r="N16" i="24" s="1"/>
  <c r="N17" i="24" s="1" a="1"/>
  <c r="N17" i="24" s="1"/>
  <c r="N22" i="24" a="1"/>
  <c r="N22" i="24" s="1"/>
  <c r="N23" i="24" s="1" a="1"/>
  <c r="N23" i="24" s="1"/>
  <c r="N32" i="26" a="1"/>
  <c r="N32" i="26" s="1"/>
  <c r="N33" i="26" s="1" a="1"/>
  <c r="N33" i="26" s="1"/>
  <c r="N20" i="24" a="1"/>
  <c r="N20" i="24" s="1"/>
  <c r="N21" i="24" s="1" a="1"/>
  <c r="N21" i="24" s="1"/>
  <c r="N24" i="26" a="1"/>
  <c r="N24" i="26" s="1"/>
  <c r="N25" i="26" s="1" a="1"/>
  <c r="N25" i="26" s="1"/>
  <c r="P30" i="21" a="1"/>
  <c r="P30" i="21" s="1"/>
  <c r="P31" i="21" s="1" a="1"/>
  <c r="P31" i="21" s="1"/>
  <c r="N14" i="24" a="1"/>
  <c r="N14" i="24" s="1"/>
  <c r="N15" i="24" s="1" a="1"/>
  <c r="N15" i="24" s="1"/>
  <c r="N22" i="26" a="1"/>
  <c r="N22" i="26" s="1"/>
  <c r="N23" i="26" s="1" a="1"/>
  <c r="N23" i="26" s="1"/>
  <c r="N12" i="24" a="1"/>
  <c r="N12" i="24" s="1"/>
  <c r="N13" i="24" s="1" a="1"/>
  <c r="N13" i="24" s="1"/>
  <c r="N20" i="26" a="1"/>
  <c r="N20" i="26" s="1"/>
  <c r="N21" i="26" s="1" a="1"/>
  <c r="N21" i="26" s="1"/>
  <c r="N6" i="24" a="1"/>
  <c r="N6" i="24" s="1"/>
  <c r="N7" i="24" s="1" a="1"/>
  <c r="N7" i="24" s="1"/>
  <c r="N30" i="26" a="1"/>
  <c r="N30" i="26" s="1"/>
  <c r="N31" i="26" s="1" a="1"/>
  <c r="N31" i="26" s="1"/>
  <c r="P18" i="21" a="1"/>
  <c r="P18" i="21" s="1"/>
  <c r="P19" i="21" s="1" a="1"/>
  <c r="P19" i="21" s="1"/>
  <c r="P16" i="21" a="1"/>
  <c r="P16" i="21" s="1"/>
  <c r="P17" i="21" s="1" a="1"/>
  <c r="P17" i="21" s="1"/>
  <c r="P14" i="21" a="1"/>
  <c r="P14" i="21" s="1"/>
  <c r="P15" i="21" s="1" a="1"/>
  <c r="P15" i="21" s="1"/>
  <c r="P20" i="21" a="1"/>
  <c r="P20" i="21" s="1"/>
  <c r="P21" i="21" s="1" a="1"/>
  <c r="P21" i="21" s="1"/>
  <c r="P6" i="21" a="1"/>
  <c r="P6" i="21" s="1"/>
  <c r="P7" i="21" s="1" a="1"/>
  <c r="P7" i="21" s="1"/>
  <c r="P32" i="21" a="1"/>
  <c r="P32" i="21" s="1"/>
  <c r="P33" i="21" s="1" a="1"/>
  <c r="P33" i="21" s="1"/>
  <c r="P36" i="21" a="1"/>
  <c r="P36" i="21" s="1"/>
  <c r="P37" i="21" s="1" a="1"/>
  <c r="P37" i="21" s="1"/>
  <c r="P34" i="21" a="1"/>
  <c r="P34" i="21" s="1"/>
  <c r="P35" i="21" s="1" a="1"/>
  <c r="P35" i="21" s="1"/>
  <c r="P28" i="21" a="1"/>
  <c r="P28" i="21" s="1"/>
  <c r="P29" i="21" s="1" a="1"/>
  <c r="P29" i="21" s="1"/>
  <c r="P26" i="21" a="1"/>
  <c r="P26" i="21" s="1"/>
  <c r="P27" i="21" s="1" a="1"/>
  <c r="P27" i="21" s="1"/>
  <c r="P22" i="21" a="1"/>
  <c r="P22" i="21" s="1"/>
  <c r="P23" i="21" s="1" a="1"/>
  <c r="P23" i="21" s="1"/>
  <c r="P10" i="21" a="1"/>
  <c r="P10" i="21" s="1"/>
  <c r="P11" i="21" s="1" a="1"/>
  <c r="P11" i="21" s="1"/>
  <c r="M28" i="26" a="1"/>
  <c r="M28" i="26" s="1"/>
  <c r="M29" i="26" s="1" a="1"/>
  <c r="M29" i="26" s="1"/>
  <c r="M22" i="26" a="1"/>
  <c r="M22" i="26" s="1"/>
  <c r="M23" i="26" s="1" a="1"/>
  <c r="M23" i="26" s="1"/>
  <c r="M36" i="24" a="1"/>
  <c r="M36" i="24" s="1"/>
  <c r="M37" i="24" s="1" a="1"/>
  <c r="M37" i="24" s="1"/>
  <c r="M34" i="24" a="1"/>
  <c r="M34" i="24" s="1"/>
  <c r="M35" i="24" s="1" a="1"/>
  <c r="M35" i="24" s="1"/>
  <c r="N28" i="26" a="1"/>
  <c r="N28" i="26" s="1"/>
  <c r="N29" i="26" s="1" a="1"/>
  <c r="N29" i="26" s="1"/>
  <c r="N24" i="24" a="1"/>
  <c r="N24" i="24" s="1"/>
  <c r="N25" i="24" s="1" a="1"/>
  <c r="N25" i="24" s="1"/>
  <c r="M26" i="26" a="1"/>
  <c r="M26" i="26" s="1"/>
  <c r="M27" i="26" s="1" a="1"/>
  <c r="M27" i="26" s="1"/>
  <c r="M10" i="26" a="1"/>
  <c r="M10" i="26" s="1"/>
  <c r="M11" i="26" s="1" a="1"/>
  <c r="M11" i="26" s="1"/>
  <c r="N26" i="26" a="1"/>
  <c r="N26" i="26" s="1"/>
  <c r="N27" i="26" s="1" a="1"/>
  <c r="N27" i="26" s="1"/>
  <c r="N10" i="26" a="1"/>
  <c r="N10" i="26" s="1"/>
  <c r="N11" i="26" s="1" a="1"/>
  <c r="N11" i="26" s="1"/>
  <c r="N8" i="26" a="1"/>
  <c r="N8" i="26" s="1"/>
  <c r="N9" i="26" s="1" a="1"/>
  <c r="N9" i="26" s="1"/>
  <c r="P24" i="21" a="1"/>
  <c r="P24" i="21" s="1"/>
  <c r="P25" i="21" s="1" a="1"/>
  <c r="P25" i="21" s="1"/>
  <c r="N8" i="24" a="1"/>
  <c r="N8" i="24" s="1"/>
  <c r="N9" i="24" s="1" a="1"/>
  <c r="N9" i="24" s="1"/>
  <c r="N14" i="26" a="1"/>
  <c r="N14" i="26" s="1"/>
  <c r="N15" i="26" s="1" a="1"/>
  <c r="N15" i="26" s="1"/>
  <c r="M6" i="26" a="1"/>
  <c r="M6" i="26" s="1"/>
  <c r="M7" i="26" s="1" a="1"/>
  <c r="M7" i="26" s="1"/>
  <c r="M14" i="26" a="1"/>
  <c r="M14" i="26" s="1"/>
  <c r="M15" i="26" s="1" a="1"/>
  <c r="M15" i="26" s="1"/>
  <c r="M16" i="24" a="1"/>
  <c r="M16" i="24" s="1"/>
  <c r="M17" i="24" s="1" a="1"/>
  <c r="M17" i="24" s="1"/>
  <c r="M8" i="24" a="1"/>
  <c r="M8" i="24" s="1"/>
  <c r="M9" i="24" s="1" a="1"/>
  <c r="M9" i="24" s="1"/>
  <c r="P12" i="21" a="1"/>
  <c r="P12" i="21" s="1"/>
  <c r="P13" i="21" s="1" a="1"/>
  <c r="P13" i="21" s="1"/>
  <c r="N6" i="26" a="1"/>
  <c r="N6" i="26" s="1"/>
  <c r="N7" i="26" s="1" a="1"/>
  <c r="N7" i="26" s="1"/>
  <c r="H24" i="27" a="1"/>
  <c r="H24" i="27" s="1"/>
  <c r="H25" i="27" s="1" a="1"/>
  <c r="H25" i="27" s="1"/>
  <c r="H26" i="27" a="1"/>
  <c r="H26" i="27" s="1"/>
  <c r="H27" i="27" s="1" a="1"/>
  <c r="H27" i="27" s="1"/>
  <c r="H18" i="23" a="1"/>
  <c r="H18" i="23" s="1"/>
  <c r="H19" i="23" s="1" a="1"/>
  <c r="H19" i="23" s="1"/>
  <c r="I8" i="27" a="1"/>
  <c r="I8" i="27" s="1"/>
  <c r="I9" i="27" s="1" a="1"/>
  <c r="I9" i="27" s="1"/>
  <c r="I26" i="27" a="1"/>
  <c r="I26" i="27" s="1"/>
  <c r="I27" i="27" s="1" a="1"/>
  <c r="I27" i="27" s="1"/>
  <c r="D4" i="27"/>
  <c r="H26" i="24" a="1"/>
  <c r="H26" i="24" s="1"/>
  <c r="H27" i="24" s="1" a="1"/>
  <c r="H27" i="24" s="1"/>
  <c r="H37" i="26" a="1"/>
  <c r="H37" i="26" s="1"/>
  <c r="H8" i="24" a="1"/>
  <c r="H8" i="24" s="1"/>
  <c r="H9" i="24" s="1" a="1"/>
  <c r="H9" i="24" s="1"/>
  <c r="H18" i="26" a="1"/>
  <c r="H18" i="26" s="1"/>
  <c r="H19" i="26" s="1" a="1"/>
  <c r="H19" i="26" s="1"/>
  <c r="H20" i="27" a="1"/>
  <c r="H20" i="27" s="1"/>
  <c r="H21" i="27" s="1" a="1"/>
  <c r="H21" i="27" s="1"/>
  <c r="H30" i="24" a="1"/>
  <c r="H30" i="24" s="1"/>
  <c r="H31" i="24" s="1" a="1"/>
  <c r="H31" i="24" s="1"/>
  <c r="H12" i="24" a="1"/>
  <c r="H12" i="24" s="1"/>
  <c r="H13" i="24" s="1" a="1"/>
  <c r="H13" i="24" s="1"/>
  <c r="H22" i="26" a="1"/>
  <c r="H22" i="26" s="1"/>
  <c r="H23" i="26" s="1" a="1"/>
  <c r="H23" i="26" s="1"/>
  <c r="H16" i="27" a="1"/>
  <c r="H16" i="27" s="1"/>
  <c r="H17" i="27" s="1" a="1"/>
  <c r="H17" i="27" s="1"/>
  <c r="H35" i="24" a="1"/>
  <c r="H35" i="24" s="1"/>
  <c r="H35" i="27" a="1"/>
  <c r="H35" i="27" s="1"/>
  <c r="H16" i="24" a="1"/>
  <c r="H16" i="24" s="1"/>
  <c r="H17" i="24" s="1" a="1"/>
  <c r="H17" i="24" s="1"/>
  <c r="H26" i="26" a="1"/>
  <c r="H26" i="26" s="1"/>
  <c r="H27" i="26" s="1" a="1"/>
  <c r="H27" i="26" s="1"/>
  <c r="H12" i="27" a="1"/>
  <c r="H12" i="27" s="1"/>
  <c r="H13" i="27" s="1" a="1"/>
  <c r="H13" i="27" s="1"/>
  <c r="H8" i="26" a="1"/>
  <c r="H8" i="26" s="1"/>
  <c r="H9" i="26" s="1" a="1"/>
  <c r="H9" i="26" s="1"/>
  <c r="H30" i="27" a="1"/>
  <c r="H30" i="27" s="1"/>
  <c r="H31" i="27" s="1" a="1"/>
  <c r="H31" i="27" s="1"/>
  <c r="H20" i="24" a="1"/>
  <c r="H20" i="24" s="1"/>
  <c r="H21" i="24" s="1" a="1"/>
  <c r="H21" i="24" s="1"/>
  <c r="H30" i="26" a="1"/>
  <c r="H30" i="26" s="1"/>
  <c r="H31" i="26" s="1" a="1"/>
  <c r="H31" i="26" s="1"/>
  <c r="H8" i="27" a="1"/>
  <c r="H8" i="27" s="1"/>
  <c r="H9" i="27" s="1" a="1"/>
  <c r="H9" i="27" s="1"/>
  <c r="H12" i="26" a="1"/>
  <c r="H12" i="26" s="1"/>
  <c r="H13" i="26" s="1" a="1"/>
  <c r="H13" i="26" s="1"/>
  <c r="H24" i="24" a="1"/>
  <c r="H24" i="24" s="1"/>
  <c r="H25" i="24" s="1" a="1"/>
  <c r="H25" i="24" s="1"/>
  <c r="H35" i="26" a="1"/>
  <c r="H35" i="26" s="1"/>
  <c r="H16" i="26" a="1"/>
  <c r="H16" i="26" s="1"/>
  <c r="H17" i="26" s="1" a="1"/>
  <c r="H17" i="26" s="1"/>
  <c r="H22" i="27" a="1"/>
  <c r="H22" i="27" s="1"/>
  <c r="H23" i="27" s="1" a="1"/>
  <c r="H23" i="27" s="1"/>
  <c r="H6" i="24" a="1"/>
  <c r="H6" i="24" s="1"/>
  <c r="H7" i="24" s="1" a="1"/>
  <c r="H7" i="24" s="1"/>
  <c r="H28" i="24" a="1"/>
  <c r="H28" i="24" s="1"/>
  <c r="H29" i="24" s="1" a="1"/>
  <c r="H29" i="24" s="1"/>
  <c r="H10" i="24" a="1"/>
  <c r="H10" i="24" s="1"/>
  <c r="H11" i="24" s="1" a="1"/>
  <c r="H11" i="24" s="1"/>
  <c r="H20" i="26" a="1"/>
  <c r="H20" i="26" s="1"/>
  <c r="H21" i="26" s="1" a="1"/>
  <c r="H21" i="26" s="1"/>
  <c r="H18" i="27" a="1"/>
  <c r="H18" i="27" s="1"/>
  <c r="H19" i="27" s="1" a="1"/>
  <c r="H19" i="27" s="1"/>
  <c r="H33" i="24" a="1"/>
  <c r="H33" i="24" s="1"/>
  <c r="H37" i="27" a="1"/>
  <c r="H37" i="27" s="1"/>
  <c r="H14" i="24" a="1"/>
  <c r="H14" i="24" s="1"/>
  <c r="H15" i="24" s="1" a="1"/>
  <c r="H15" i="24" s="1"/>
  <c r="H24" i="26" a="1"/>
  <c r="H24" i="26" s="1"/>
  <c r="H25" i="26" s="1" a="1"/>
  <c r="H25" i="26" s="1"/>
  <c r="H14" i="27" a="1"/>
  <c r="H14" i="27" s="1"/>
  <c r="H15" i="27" s="1" a="1"/>
  <c r="H15" i="27" s="1"/>
  <c r="H37" i="24" a="1"/>
  <c r="H37" i="24" s="1"/>
  <c r="H33" i="27" a="1"/>
  <c r="H33" i="27" s="1"/>
  <c r="H18" i="24" a="1"/>
  <c r="H18" i="24" s="1"/>
  <c r="H19" i="24" s="1" a="1"/>
  <c r="H19" i="24" s="1"/>
  <c r="H6" i="26" a="1"/>
  <c r="H6" i="26" s="1"/>
  <c r="H7" i="26" s="1" a="1"/>
  <c r="H7" i="26" s="1"/>
  <c r="H28" i="26" a="1"/>
  <c r="H28" i="26" s="1"/>
  <c r="H29" i="26" s="1" a="1"/>
  <c r="H29" i="26" s="1"/>
  <c r="H10" i="27" a="1"/>
  <c r="H10" i="27" s="1"/>
  <c r="H11" i="27" s="1" a="1"/>
  <c r="H11" i="27" s="1"/>
  <c r="H10" i="26" a="1"/>
  <c r="H10" i="26" s="1"/>
  <c r="H11" i="26" s="1" a="1"/>
  <c r="H11" i="26" s="1"/>
  <c r="H28" i="27" a="1"/>
  <c r="H28" i="27" s="1"/>
  <c r="H29" i="27" s="1" a="1"/>
  <c r="H29" i="27" s="1"/>
  <c r="H22" i="24" a="1"/>
  <c r="H22" i="24" s="1"/>
  <c r="H23" i="24" s="1" a="1"/>
  <c r="H23" i="24" s="1"/>
  <c r="H33" i="26" a="1"/>
  <c r="H33" i="26" s="1"/>
  <c r="H14" i="26" a="1"/>
  <c r="H14" i="26" s="1"/>
  <c r="H15" i="26" s="1" a="1"/>
  <c r="H15" i="26" s="1"/>
  <c r="H6" i="27" a="1"/>
  <c r="H6" i="27" s="1"/>
  <c r="H7" i="27" s="1" a="1"/>
  <c r="H7" i="27" s="1"/>
  <c r="G10" i="24" a="1"/>
  <c r="G10" i="24" s="1"/>
  <c r="G11" i="24" s="1" a="1"/>
  <c r="G11" i="24" s="1"/>
  <c r="I22" i="24" a="1"/>
  <c r="I22" i="24" s="1"/>
  <c r="I23" i="24" s="1" a="1"/>
  <c r="I23" i="24" s="1"/>
  <c r="G32" i="26" a="1"/>
  <c r="G32" i="26" s="1"/>
  <c r="G33" i="26" s="1" a="1"/>
  <c r="G33" i="26" s="1"/>
  <c r="I30" i="27" a="1"/>
  <c r="I30" i="27" s="1"/>
  <c r="I31" i="27" s="1" a="1"/>
  <c r="I31" i="27" s="1"/>
  <c r="G34" i="27" a="1"/>
  <c r="G34" i="27" s="1"/>
  <c r="G35" i="27" s="1" a="1"/>
  <c r="G35" i="27" s="1"/>
  <c r="I16" i="24" a="1"/>
  <c r="I16" i="24" s="1"/>
  <c r="I17" i="24" s="1" a="1"/>
  <c r="I17" i="24" s="1"/>
  <c r="G26" i="26" a="1"/>
  <c r="G26" i="26" s="1"/>
  <c r="G27" i="26" s="1" a="1"/>
  <c r="G27" i="26" s="1"/>
  <c r="I12" i="27" a="1"/>
  <c r="I12" i="27" s="1"/>
  <c r="I13" i="27" s="1" a="1"/>
  <c r="I13" i="27" s="1"/>
  <c r="G16" i="27" a="1"/>
  <c r="G16" i="27" s="1"/>
  <c r="G17" i="27" s="1" a="1"/>
  <c r="G17" i="27" s="1"/>
  <c r="I10" i="24" a="1"/>
  <c r="I10" i="24" s="1"/>
  <c r="I11" i="24" s="1" a="1"/>
  <c r="I11" i="24" s="1"/>
  <c r="G20" i="26" a="1"/>
  <c r="G20" i="26" s="1"/>
  <c r="G21" i="26" s="1" a="1"/>
  <c r="G21" i="26" s="1"/>
  <c r="I32" i="26" a="1"/>
  <c r="I32" i="26" s="1"/>
  <c r="I33" i="26" s="1" a="1"/>
  <c r="I33" i="26" s="1"/>
  <c r="I34" i="27" a="1"/>
  <c r="I34" i="27" s="1"/>
  <c r="I35" i="27" s="1" a="1"/>
  <c r="I35" i="27" s="1"/>
  <c r="G32" i="24" a="1"/>
  <c r="G32" i="24" s="1"/>
  <c r="G33" i="24" s="1" a="1"/>
  <c r="G33" i="24" s="1"/>
  <c r="G14" i="26" a="1"/>
  <c r="G14" i="26" s="1"/>
  <c r="G15" i="26" s="1" a="1"/>
  <c r="G15" i="26" s="1"/>
  <c r="I26" i="26" a="1"/>
  <c r="I26" i="26" s="1"/>
  <c r="I27" i="26" s="1" a="1"/>
  <c r="I27" i="26" s="1"/>
  <c r="I16" i="27" a="1"/>
  <c r="I16" i="27" s="1"/>
  <c r="I17" i="27" s="1" a="1"/>
  <c r="I17" i="27" s="1"/>
  <c r="G20" i="27" a="1"/>
  <c r="G20" i="27" s="1"/>
  <c r="G21" i="27" s="1" a="1"/>
  <c r="G21" i="27" s="1"/>
  <c r="G26" i="24" a="1"/>
  <c r="G26" i="24" s="1"/>
  <c r="G27" i="24" s="1" a="1"/>
  <c r="G27" i="24" s="1"/>
  <c r="G8" i="26" a="1"/>
  <c r="G8" i="26" s="1"/>
  <c r="G9" i="26" s="1" a="1"/>
  <c r="G9" i="26" s="1"/>
  <c r="I20" i="26" a="1"/>
  <c r="I20" i="26" s="1"/>
  <c r="I21" i="26" s="1" a="1"/>
  <c r="I21" i="26" s="1"/>
  <c r="G20" i="24" a="1"/>
  <c r="G20" i="24" s="1"/>
  <c r="G21" i="24" s="1" a="1"/>
  <c r="G21" i="24" s="1"/>
  <c r="I32" i="24" a="1"/>
  <c r="I32" i="24" s="1"/>
  <c r="I33" i="24" s="1" a="1"/>
  <c r="I33" i="24" s="1"/>
  <c r="I14" i="26" a="1"/>
  <c r="I14" i="26" s="1"/>
  <c r="I15" i="26" s="1" a="1"/>
  <c r="I15" i="26" s="1"/>
  <c r="I20" i="27" a="1"/>
  <c r="I20" i="27" s="1"/>
  <c r="I21" i="27" s="1" a="1"/>
  <c r="I21" i="27" s="1"/>
  <c r="G24" i="27" a="1"/>
  <c r="G24" i="27" s="1"/>
  <c r="G25" i="27" s="1" a="1"/>
  <c r="G25" i="27" s="1"/>
  <c r="G14" i="24" a="1"/>
  <c r="G14" i="24" s="1"/>
  <c r="G15" i="24" s="1" a="1"/>
  <c r="G15" i="24" s="1"/>
  <c r="I26" i="24" a="1"/>
  <c r="I26" i="24" s="1"/>
  <c r="I27" i="24" s="1" a="1"/>
  <c r="I27" i="24" s="1"/>
  <c r="I8" i="26" a="1"/>
  <c r="I8" i="26" s="1"/>
  <c r="I9" i="26" s="1" a="1"/>
  <c r="I9" i="26" s="1"/>
  <c r="G36" i="26" a="1"/>
  <c r="G36" i="26" s="1"/>
  <c r="G37" i="26" s="1" a="1"/>
  <c r="G37" i="26" s="1"/>
  <c r="G8" i="24" a="1"/>
  <c r="G8" i="24" s="1"/>
  <c r="G9" i="24" s="1" a="1"/>
  <c r="G9" i="24" s="1"/>
  <c r="I20" i="24" a="1"/>
  <c r="I20" i="24" s="1"/>
  <c r="I21" i="24" s="1" a="1"/>
  <c r="I21" i="24" s="1"/>
  <c r="G30" i="26" a="1"/>
  <c r="G30" i="26" s="1"/>
  <c r="G31" i="26" s="1" a="1"/>
  <c r="G31" i="26" s="1"/>
  <c r="G6" i="27" a="1"/>
  <c r="G6" i="27" s="1"/>
  <c r="G7" i="27" s="1" a="1"/>
  <c r="G7" i="27" s="1"/>
  <c r="I24" i="27" a="1"/>
  <c r="I24" i="27" s="1"/>
  <c r="I25" i="27" s="1" a="1"/>
  <c r="I25" i="27" s="1"/>
  <c r="G28" i="27" a="1"/>
  <c r="G28" i="27" s="1"/>
  <c r="G29" i="27" s="1" a="1"/>
  <c r="G29" i="27" s="1"/>
  <c r="I14" i="24" a="1"/>
  <c r="I14" i="24" s="1"/>
  <c r="I15" i="24" s="1" a="1"/>
  <c r="I15" i="24" s="1"/>
  <c r="G24" i="26" a="1"/>
  <c r="G24" i="26" s="1"/>
  <c r="G25" i="26" s="1" a="1"/>
  <c r="G25" i="26" s="1"/>
  <c r="I37" i="26" a="1"/>
  <c r="I37" i="26" s="1"/>
  <c r="G10" i="27" a="1"/>
  <c r="G10" i="27" s="1"/>
  <c r="G11" i="27" s="1" a="1"/>
  <c r="G11" i="27" s="1"/>
  <c r="I8" i="24" a="1"/>
  <c r="I8" i="24" s="1"/>
  <c r="I9" i="24" s="1" a="1"/>
  <c r="I9" i="24" s="1"/>
  <c r="G36" i="24" a="1"/>
  <c r="G36" i="24" s="1"/>
  <c r="G37" i="24" s="1" a="1"/>
  <c r="G37" i="24" s="1"/>
  <c r="G18" i="26" a="1"/>
  <c r="G18" i="26" s="1"/>
  <c r="G19" i="26" s="1" a="1"/>
  <c r="G19" i="26" s="1"/>
  <c r="I30" i="26" a="1"/>
  <c r="I30" i="26" s="1"/>
  <c r="I31" i="26" s="1" a="1"/>
  <c r="I31" i="26" s="1"/>
  <c r="I6" i="27" a="1"/>
  <c r="I6" i="27" s="1"/>
  <c r="I7" i="27" s="1" a="1"/>
  <c r="I7" i="27" s="1"/>
  <c r="I28" i="27" a="1"/>
  <c r="I28" i="27" s="1"/>
  <c r="I29" i="27" s="1" a="1"/>
  <c r="I29" i="27" s="1"/>
  <c r="G32" i="27" a="1"/>
  <c r="G32" i="27" s="1"/>
  <c r="G33" i="27" s="1" a="1"/>
  <c r="G33" i="27" s="1"/>
  <c r="G30" i="24" a="1"/>
  <c r="G30" i="24" s="1"/>
  <c r="G31" i="24" s="1" a="1"/>
  <c r="G31" i="24" s="1"/>
  <c r="G12" i="26" a="1"/>
  <c r="G12" i="26" s="1"/>
  <c r="G13" i="26" s="1" a="1"/>
  <c r="G13" i="26" s="1"/>
  <c r="I24" i="26" a="1"/>
  <c r="I24" i="26" s="1"/>
  <c r="I25" i="26" s="1" a="1"/>
  <c r="I25" i="26" s="1"/>
  <c r="I10" i="27" a="1"/>
  <c r="I10" i="27" s="1"/>
  <c r="I11" i="27" s="1" a="1"/>
  <c r="I11" i="27" s="1"/>
  <c r="G14" i="27" a="1"/>
  <c r="G14" i="27" s="1"/>
  <c r="G15" i="27" s="1" a="1"/>
  <c r="G15" i="27" s="1"/>
  <c r="G24" i="24" a="1"/>
  <c r="G24" i="24" s="1"/>
  <c r="G25" i="24" s="1" a="1"/>
  <c r="G25" i="24" s="1"/>
  <c r="I37" i="24" a="1"/>
  <c r="I37" i="24" s="1"/>
  <c r="I18" i="26" a="1"/>
  <c r="I18" i="26" s="1"/>
  <c r="I19" i="26" s="1" a="1"/>
  <c r="I19" i="26" s="1"/>
  <c r="I32" i="27" a="1"/>
  <c r="I32" i="27" s="1"/>
  <c r="I33" i="27" s="1" a="1"/>
  <c r="I33" i="27" s="1"/>
  <c r="G36" i="27" a="1"/>
  <c r="G36" i="27" s="1"/>
  <c r="G37" i="27" s="1" a="1"/>
  <c r="G37" i="27" s="1"/>
  <c r="G18" i="24" a="1"/>
  <c r="G18" i="24" s="1"/>
  <c r="G19" i="24" s="1" a="1"/>
  <c r="G19" i="24" s="1"/>
  <c r="I30" i="24" a="1"/>
  <c r="I30" i="24" s="1"/>
  <c r="I31" i="24" s="1" a="1"/>
  <c r="I31" i="24" s="1"/>
  <c r="G6" i="26" a="1"/>
  <c r="G6" i="26" s="1"/>
  <c r="G7" i="26" s="1" a="1"/>
  <c r="G7" i="26" s="1"/>
  <c r="I12" i="26" a="1"/>
  <c r="I12" i="26" s="1"/>
  <c r="I13" i="26" s="1" a="1"/>
  <c r="I13" i="26" s="1"/>
  <c r="I14" i="27" a="1"/>
  <c r="I14" i="27" s="1"/>
  <c r="I15" i="27" s="1" a="1"/>
  <c r="I15" i="27" s="1"/>
  <c r="G18" i="27" a="1"/>
  <c r="G18" i="27" s="1"/>
  <c r="G19" i="27" s="1" a="1"/>
  <c r="G19" i="27" s="1"/>
  <c r="G12" i="24" a="1"/>
  <c r="G12" i="24" s="1"/>
  <c r="G13" i="24" s="1" a="1"/>
  <c r="G13" i="24" s="1"/>
  <c r="I24" i="24" a="1"/>
  <c r="I24" i="24" s="1"/>
  <c r="I25" i="24" s="1" a="1"/>
  <c r="I25" i="24" s="1"/>
  <c r="G34" i="26" a="1"/>
  <c r="G34" i="26" s="1"/>
  <c r="G35" i="26" s="1" a="1"/>
  <c r="G35" i="26" s="1"/>
  <c r="I37" i="27" a="1"/>
  <c r="I37" i="27" s="1"/>
  <c r="I18" i="24" a="1"/>
  <c r="I18" i="24" s="1"/>
  <c r="I19" i="24" s="1" a="1"/>
  <c r="I19" i="24" s="1"/>
  <c r="I6" i="26" a="1"/>
  <c r="I6" i="26" s="1"/>
  <c r="I7" i="26" s="1" a="1"/>
  <c r="I7" i="26" s="1"/>
  <c r="G28" i="26" a="1"/>
  <c r="G28" i="26" s="1"/>
  <c r="G29" i="26" s="1" a="1"/>
  <c r="G29" i="26" s="1"/>
  <c r="I18" i="27" a="1"/>
  <c r="I18" i="27" s="1"/>
  <c r="I19" i="27" s="1" a="1"/>
  <c r="I19" i="27" s="1"/>
  <c r="G22" i="27" a="1"/>
  <c r="G22" i="27" s="1"/>
  <c r="G23" i="27" s="1" a="1"/>
  <c r="G23" i="27" s="1"/>
  <c r="G6" i="24" a="1"/>
  <c r="G6" i="24" s="1"/>
  <c r="G7" i="24" s="1" a="1"/>
  <c r="G7" i="24" s="1"/>
  <c r="I12" i="24" a="1"/>
  <c r="I12" i="24" s="1"/>
  <c r="I13" i="24" s="1" a="1"/>
  <c r="I13" i="24" s="1"/>
  <c r="G22" i="26" a="1"/>
  <c r="G22" i="26" s="1"/>
  <c r="G23" i="26" s="1" a="1"/>
  <c r="G23" i="26" s="1"/>
  <c r="I34" i="26" a="1"/>
  <c r="I34" i="26" s="1"/>
  <c r="I35" i="26" s="1" a="1"/>
  <c r="I35" i="26" s="1"/>
  <c r="G34" i="24" a="1"/>
  <c r="G34" i="24" s="1"/>
  <c r="G35" i="24" s="1" a="1"/>
  <c r="G35" i="24" s="1"/>
  <c r="G16" i="26" a="1"/>
  <c r="G16" i="26" s="1"/>
  <c r="G17" i="26" s="1" a="1"/>
  <c r="G17" i="26" s="1"/>
  <c r="I28" i="26" a="1"/>
  <c r="I28" i="26" s="1"/>
  <c r="I29" i="26" s="1" a="1"/>
  <c r="I29" i="26" s="1"/>
  <c r="I22" i="27" a="1"/>
  <c r="I22" i="27" s="1"/>
  <c r="I23" i="27" s="1" a="1"/>
  <c r="I23" i="27" s="1"/>
  <c r="G26" i="27" a="1"/>
  <c r="G26" i="27" s="1"/>
  <c r="G27" i="27" s="1" a="1"/>
  <c r="G27" i="27" s="1"/>
  <c r="I6" i="24" a="1"/>
  <c r="I6" i="24" s="1"/>
  <c r="I7" i="24" s="1" a="1"/>
  <c r="I7" i="24" s="1"/>
  <c r="G28" i="24" a="1"/>
  <c r="G28" i="24" s="1"/>
  <c r="G29" i="24" s="1" a="1"/>
  <c r="G29" i="24" s="1"/>
  <c r="G10" i="26" a="1"/>
  <c r="G10" i="26" s="1"/>
  <c r="G11" i="26" s="1" a="1"/>
  <c r="G11" i="26" s="1"/>
  <c r="I22" i="26" a="1"/>
  <c r="I22" i="26" s="1"/>
  <c r="I23" i="26" s="1" a="1"/>
  <c r="I23" i="26" s="1"/>
  <c r="G8" i="27" a="1"/>
  <c r="G8" i="27" s="1"/>
  <c r="G9" i="27" s="1" a="1"/>
  <c r="G9" i="27" s="1"/>
  <c r="G22" i="24" a="1"/>
  <c r="G22" i="24" s="1"/>
  <c r="G23" i="24" s="1" a="1"/>
  <c r="G23" i="24" s="1"/>
  <c r="I34" i="24" a="1"/>
  <c r="I34" i="24" s="1"/>
  <c r="I35" i="24" s="1" a="1"/>
  <c r="I35" i="24" s="1"/>
  <c r="I16" i="26" a="1"/>
  <c r="I16" i="26" s="1"/>
  <c r="I17" i="26" s="1" a="1"/>
  <c r="I17" i="26" s="1"/>
  <c r="G30" i="27" a="1"/>
  <c r="G30" i="27" s="1"/>
  <c r="G31" i="27" s="1" a="1"/>
  <c r="G31" i="27" s="1"/>
  <c r="G16" i="24" a="1"/>
  <c r="G16" i="24" s="1"/>
  <c r="G17" i="24" s="1" a="1"/>
  <c r="G17" i="24" s="1"/>
  <c r="I28" i="24" a="1"/>
  <c r="I28" i="24" s="1"/>
  <c r="I29" i="24" s="1" a="1"/>
  <c r="I29" i="24" s="1"/>
  <c r="I10" i="26" a="1"/>
  <c r="I10" i="26" s="1"/>
  <c r="I11" i="26" s="1" a="1"/>
  <c r="I11" i="26" s="1"/>
  <c r="D4" i="24"/>
  <c r="I16" i="23" a="1"/>
  <c r="I16" i="23" s="1"/>
  <c r="I17" i="23" s="1" a="1"/>
  <c r="I17" i="23" s="1"/>
  <c r="I12" i="23" a="1"/>
  <c r="I12" i="23" s="1"/>
  <c r="I13" i="23" s="1" a="1"/>
  <c r="I13" i="23" s="1"/>
  <c r="I10" i="23" a="1"/>
  <c r="I10" i="23" s="1"/>
  <c r="I11" i="23" s="1" a="1"/>
  <c r="I11" i="23" s="1"/>
  <c r="I8" i="23" a="1"/>
  <c r="I8" i="23" s="1"/>
  <c r="I9" i="23" s="1" a="1"/>
  <c r="I9" i="23" s="1"/>
  <c r="K8" i="21" a="1"/>
  <c r="K8" i="21" s="1"/>
  <c r="K9" i="21" s="1" a="1"/>
  <c r="K9" i="21" s="1"/>
  <c r="K31" i="21" a="1"/>
  <c r="K31" i="21" s="1"/>
  <c r="K29" i="21" a="1"/>
  <c r="K29" i="21" s="1"/>
  <c r="K33" i="21" a="1"/>
  <c r="K33" i="21" s="1"/>
  <c r="K6" i="21" a="1"/>
  <c r="K6" i="21" s="1"/>
  <c r="K7" i="21" s="1" a="1"/>
  <c r="K7" i="21" s="1"/>
  <c r="K10" i="21" a="1"/>
  <c r="K10" i="21" s="1"/>
  <c r="K11" i="21" s="1" a="1"/>
  <c r="K11" i="21" s="1"/>
  <c r="K18" i="21" a="1"/>
  <c r="K18" i="21" s="1"/>
  <c r="K19" i="21" s="1" a="1"/>
  <c r="K19" i="21" s="1"/>
  <c r="K23" i="21" a="1"/>
  <c r="K23" i="21" s="1"/>
  <c r="K34" i="21" a="1"/>
  <c r="K34" i="21" s="1"/>
  <c r="K35" i="21" s="1" a="1"/>
  <c r="K35" i="21" s="1"/>
  <c r="K25" i="21" a="1"/>
  <c r="K25" i="21" s="1"/>
  <c r="K16" i="21" a="1"/>
  <c r="K16" i="21" s="1"/>
  <c r="K17" i="21" s="1" a="1"/>
  <c r="K17" i="21" s="1"/>
  <c r="K14" i="21" a="1"/>
  <c r="K14" i="21" s="1"/>
  <c r="K15" i="21" s="1" a="1"/>
  <c r="K15" i="21" s="1"/>
  <c r="K36" i="21" a="1"/>
  <c r="K36" i="21" s="1"/>
  <c r="K37" i="21" s="1" a="1"/>
  <c r="K37" i="21" s="1"/>
  <c r="K20" i="21" a="1"/>
  <c r="K20" i="21" s="1"/>
  <c r="K21" i="21" s="1" a="1"/>
  <c r="K21" i="21" s="1"/>
  <c r="K16" i="23" a="1"/>
  <c r="K16" i="23" s="1"/>
  <c r="K17" i="23" s="1" a="1"/>
  <c r="K17" i="23" s="1"/>
  <c r="K10" i="23" a="1"/>
  <c r="K10" i="23" s="1"/>
  <c r="K11" i="23" s="1" a="1"/>
  <c r="K11" i="23" s="1"/>
  <c r="K8" i="23" a="1"/>
  <c r="K8" i="23" s="1"/>
  <c r="K9" i="23" s="1" a="1"/>
  <c r="K9" i="23" s="1"/>
  <c r="K12" i="23" a="1"/>
  <c r="K12" i="23" s="1"/>
  <c r="K13" i="23" s="1" a="1"/>
  <c r="K13" i="23" s="1"/>
  <c r="J30" i="21" a="1"/>
  <c r="J30" i="21" s="1"/>
  <c r="J31" i="21" s="1" a="1"/>
  <c r="J31" i="21" s="1"/>
  <c r="J8" i="21" a="1"/>
  <c r="J8" i="21" s="1"/>
  <c r="J9" i="21" s="1" a="1"/>
  <c r="J9" i="21" s="1"/>
  <c r="J36" i="21" a="1"/>
  <c r="J36" i="21" s="1"/>
  <c r="J37" i="21" s="1" a="1"/>
  <c r="J37" i="21" s="1"/>
  <c r="J14" i="21" a="1"/>
  <c r="J14" i="21" s="1"/>
  <c r="J15" i="21" s="1" a="1"/>
  <c r="J15" i="21" s="1"/>
  <c r="J32" i="21" a="1"/>
  <c r="J32" i="21" s="1"/>
  <c r="J33" i="21" s="1" a="1"/>
  <c r="J33" i="21" s="1"/>
  <c r="J6" i="21" a="1"/>
  <c r="J6" i="21" s="1"/>
  <c r="J7" i="21" s="1" a="1"/>
  <c r="J7" i="21" s="1"/>
  <c r="J12" i="21" a="1"/>
  <c r="J12" i="21" s="1"/>
  <c r="J13" i="21" s="1" a="1"/>
  <c r="J13" i="21" s="1"/>
  <c r="J26" i="21" a="1"/>
  <c r="J26" i="21" s="1"/>
  <c r="J27" i="21" s="1" a="1"/>
  <c r="J27" i="21" s="1"/>
  <c r="J34" i="21" a="1"/>
  <c r="J34" i="21" s="1"/>
  <c r="J35" i="21" s="1" a="1"/>
  <c r="J35" i="21" s="1"/>
  <c r="J16" i="21" a="1"/>
  <c r="J16" i="21" s="1"/>
  <c r="J17" i="21" s="1" a="1"/>
  <c r="J17" i="21" s="1"/>
  <c r="J22" i="21" a="1"/>
  <c r="J22" i="21" s="1"/>
  <c r="J23" i="21" s="1" a="1"/>
  <c r="J23" i="21" s="1"/>
  <c r="J20" i="21" a="1"/>
  <c r="J20" i="21" s="1"/>
  <c r="J21" i="21" s="1" a="1"/>
  <c r="J21" i="21" s="1"/>
  <c r="J24" i="21" a="1"/>
  <c r="J24" i="21" s="1"/>
  <c r="J25" i="21" s="1" a="1"/>
  <c r="J25" i="21" s="1"/>
  <c r="J18" i="21" a="1"/>
  <c r="J18" i="21" s="1"/>
  <c r="J19" i="21" s="1" a="1"/>
  <c r="J19" i="21" s="1"/>
  <c r="J10" i="21" a="1"/>
  <c r="J10" i="21" s="1"/>
  <c r="J11" i="21" s="1" a="1"/>
  <c r="J11" i="21" s="1"/>
  <c r="J28" i="21" a="1"/>
  <c r="J28" i="21" s="1"/>
  <c r="J29" i="21" s="1" a="1"/>
  <c r="J29" i="21" s="1"/>
  <c r="J12" i="23" a="1"/>
  <c r="J12" i="23" s="1"/>
  <c r="J13" i="23" s="1" a="1"/>
  <c r="J13" i="23" s="1"/>
  <c r="J8" i="23" a="1"/>
  <c r="J8" i="23" s="1"/>
  <c r="J9" i="23" s="1" a="1"/>
  <c r="J9" i="23" s="1"/>
  <c r="J16" i="23" a="1"/>
  <c r="J16" i="23" s="1"/>
  <c r="J17" i="23" s="1" a="1"/>
  <c r="J17" i="23" s="1"/>
  <c r="J10" i="23" a="1"/>
  <c r="J10" i="23" s="1"/>
  <c r="J11" i="23" s="1" a="1"/>
  <c r="J11" i="23" s="1"/>
  <c r="G10" i="21" a="1"/>
  <c r="G10" i="21" s="1"/>
  <c r="G11" i="21" s="1" a="1"/>
  <c r="G11" i="21" s="1"/>
  <c r="G12" i="23" a="1"/>
  <c r="G12" i="23" s="1"/>
  <c r="G13" i="23" s="1" a="1"/>
  <c r="G13" i="23" s="1"/>
  <c r="G18" i="21" a="1"/>
  <c r="G18" i="21" s="1"/>
  <c r="G19" i="21" s="1" a="1"/>
  <c r="G19" i="21" s="1"/>
  <c r="G10" i="23" a="1"/>
  <c r="G10" i="23" s="1"/>
  <c r="G11" i="23" s="1" a="1"/>
  <c r="G11" i="23" s="1"/>
  <c r="G8" i="23" a="1"/>
  <c r="G8" i="23" s="1"/>
  <c r="G9" i="23" s="1" a="1"/>
  <c r="G9" i="23" s="1"/>
  <c r="G36" i="21" a="1"/>
  <c r="G36" i="21" s="1"/>
  <c r="G37" i="21" s="1" a="1"/>
  <c r="G37" i="21" s="1"/>
  <c r="G34" i="21" a="1"/>
  <c r="G34" i="21" s="1"/>
  <c r="G35" i="21" s="1" a="1"/>
  <c r="G35" i="21" s="1"/>
  <c r="G32" i="21" a="1"/>
  <c r="G32" i="21" s="1"/>
  <c r="G33" i="21" s="1" a="1"/>
  <c r="G33" i="21" s="1"/>
  <c r="G30" i="21" a="1"/>
  <c r="G30" i="21" s="1"/>
  <c r="G31" i="21" s="1" a="1"/>
  <c r="G31" i="21" s="1"/>
  <c r="G24" i="21" a="1"/>
  <c r="G24" i="21" s="1"/>
  <c r="G25" i="21" s="1" a="1"/>
  <c r="G25" i="21" s="1"/>
  <c r="G28" i="21" a="1"/>
  <c r="G28" i="21" s="1"/>
  <c r="G29" i="21" s="1" a="1"/>
  <c r="G29" i="21" s="1"/>
  <c r="G22" i="21" a="1"/>
  <c r="G22" i="21" s="1"/>
  <c r="G23" i="21" s="1" a="1"/>
  <c r="G23" i="21" s="1"/>
  <c r="G16" i="21" a="1"/>
  <c r="G16" i="21" s="1"/>
  <c r="G17" i="21" s="1" a="1"/>
  <c r="G17" i="21" s="1"/>
  <c r="G14" i="21" a="1"/>
  <c r="G14" i="21" s="1"/>
  <c r="G15" i="21" s="1" a="1"/>
  <c r="G15" i="21" s="1"/>
  <c r="G8" i="21" a="1"/>
  <c r="G8" i="21" s="1"/>
  <c r="G9" i="21" s="1" a="1"/>
  <c r="G9" i="21" s="1"/>
  <c r="I22" i="21" a="1"/>
  <c r="I22" i="21" s="1"/>
  <c r="I23" i="21" s="1" a="1"/>
  <c r="I23" i="21" s="1"/>
  <c r="I18" i="21" a="1"/>
  <c r="I18" i="21" s="1"/>
  <c r="I19" i="21" s="1" a="1"/>
  <c r="I19" i="21" s="1"/>
  <c r="I24" i="21" a="1"/>
  <c r="I24" i="21" s="1"/>
  <c r="I25" i="21" s="1" a="1"/>
  <c r="I25" i="21" s="1"/>
  <c r="I32" i="21" a="1"/>
  <c r="I32" i="21" s="1"/>
  <c r="I33" i="21" s="1" a="1"/>
  <c r="I33" i="21" s="1"/>
  <c r="I30" i="21" a="1"/>
  <c r="I30" i="21" s="1"/>
  <c r="I31" i="21" s="1" a="1"/>
  <c r="I31" i="21" s="1"/>
  <c r="I37" i="21" a="1"/>
  <c r="I37" i="21" s="1"/>
  <c r="I14" i="21" a="1"/>
  <c r="I14" i="21" s="1"/>
  <c r="I15" i="21" s="1" a="1"/>
  <c r="I15" i="21" s="1"/>
  <c r="I28" i="21" a="1"/>
  <c r="I28" i="21" s="1"/>
  <c r="I29" i="21" s="1" a="1"/>
  <c r="I29" i="21" s="1"/>
  <c r="I8" i="21" a="1"/>
  <c r="I8" i="21" s="1"/>
  <c r="I9" i="21" s="1" a="1"/>
  <c r="I9" i="21" s="1"/>
  <c r="I34" i="21" a="1"/>
  <c r="I34" i="21" s="1"/>
  <c r="I35" i="21" s="1" a="1"/>
  <c r="I35" i="21" s="1"/>
  <c r="I20" i="21" a="1"/>
  <c r="I20" i="21" s="1"/>
  <c r="I21" i="21" s="1" a="1"/>
  <c r="I21" i="21" s="1"/>
  <c r="I16" i="21" a="1"/>
  <c r="I16" i="21" s="1"/>
  <c r="I17" i="21" s="1" a="1"/>
  <c r="I17" i="21" s="1"/>
  <c r="I10" i="21" a="1"/>
  <c r="I10" i="21" s="1"/>
  <c r="I11" i="21" s="1" a="1"/>
  <c r="I11" i="21" s="1"/>
  <c r="H22" i="21" a="1"/>
  <c r="H22" i="21" s="1"/>
  <c r="H23" i="21" s="1" a="1"/>
  <c r="H23" i="21" s="1"/>
  <c r="H24" i="21" a="1"/>
  <c r="H24" i="21" s="1"/>
  <c r="H25" i="21" s="1" a="1"/>
  <c r="H25" i="21" s="1"/>
  <c r="H20" i="21" a="1"/>
  <c r="H20" i="21" s="1"/>
  <c r="H21" i="21" s="1" a="1"/>
  <c r="H21" i="21" s="1"/>
  <c r="H35" i="21" a="1"/>
  <c r="H35" i="21" s="1"/>
  <c r="H16" i="21" a="1"/>
  <c r="H16" i="21" s="1"/>
  <c r="H17" i="21" s="1" a="1"/>
  <c r="H17" i="21" s="1"/>
  <c r="H28" i="21" a="1"/>
  <c r="H28" i="21" s="1"/>
  <c r="H29" i="21" s="1" a="1"/>
  <c r="H29" i="21" s="1"/>
  <c r="H37" i="21" a="1"/>
  <c r="H37" i="21" s="1"/>
  <c r="H12" i="23" a="1"/>
  <c r="H12" i="23" s="1"/>
  <c r="H13" i="23" s="1" a="1"/>
  <c r="H13" i="23" s="1"/>
  <c r="H14" i="21" a="1"/>
  <c r="H14" i="21" s="1"/>
  <c r="H15" i="21" s="1" a="1"/>
  <c r="H15" i="21" s="1"/>
  <c r="H8" i="21" a="1"/>
  <c r="H8" i="21" s="1"/>
  <c r="H9" i="21" s="1" a="1"/>
  <c r="H9" i="21" s="1"/>
  <c r="H33" i="21" a="1"/>
  <c r="H33" i="21" s="1"/>
  <c r="H18" i="21" a="1"/>
  <c r="H18" i="21" s="1"/>
  <c r="H19" i="21" s="1" a="1"/>
  <c r="H19" i="21" s="1"/>
  <c r="H10" i="21" a="1"/>
  <c r="H10" i="21" s="1"/>
  <c r="H11" i="21" s="1" a="1"/>
  <c r="H11" i="21" s="1"/>
  <c r="H8" i="23" a="1"/>
  <c r="H8" i="23" s="1"/>
  <c r="H9" i="23" s="1" a="1"/>
  <c r="H9" i="23" s="1"/>
  <c r="H30" i="21" a="1"/>
  <c r="H30" i="21" s="1"/>
  <c r="H31" i="21" s="1" a="1"/>
  <c r="H31" i="21" s="1"/>
  <c r="H10" i="23" a="1"/>
  <c r="H10" i="23" s="1"/>
  <c r="H11" i="23" s="1" a="1"/>
  <c r="H11" i="23" s="1"/>
  <c r="O28" i="21" a="1"/>
  <c r="O28" i="21" s="1"/>
  <c r="O29" i="21" s="1" a="1"/>
  <c r="O29" i="21" s="1"/>
  <c r="O12" i="21" a="1"/>
  <c r="O12" i="21" s="1"/>
  <c r="O13" i="21" s="1" a="1"/>
  <c r="O13" i="21" s="1"/>
  <c r="O22" i="21" a="1"/>
  <c r="O22" i="21" s="1"/>
  <c r="O23" i="21" s="1" a="1"/>
  <c r="O23" i="21" s="1"/>
  <c r="O8" i="21" a="1"/>
  <c r="O8" i="21" s="1"/>
  <c r="O9" i="21" s="1" a="1"/>
  <c r="O9" i="21" s="1"/>
  <c r="O36" i="21" a="1"/>
  <c r="O36" i="21" s="1"/>
  <c r="O37" i="21" s="1" a="1"/>
  <c r="O37" i="21" s="1"/>
  <c r="O34" i="21" a="1"/>
  <c r="O34" i="21" s="1"/>
  <c r="O35" i="21" s="1" a="1"/>
  <c r="O35" i="21" s="1"/>
  <c r="O26" i="21" a="1"/>
  <c r="O26" i="21" s="1"/>
  <c r="O27" i="21" s="1" a="1"/>
  <c r="O27" i="21" s="1"/>
  <c r="O6" i="21" a="1"/>
  <c r="O6" i="21" s="1"/>
  <c r="O7" i="21" s="1" a="1"/>
  <c r="O7" i="21" s="1"/>
  <c r="O14" i="21" a="1"/>
  <c r="O14" i="21" s="1"/>
  <c r="O15" i="21" s="1" a="1"/>
  <c r="O15" i="21" s="1"/>
  <c r="O20" i="21" a="1"/>
  <c r="O20" i="21" s="1"/>
  <c r="O21" i="21" s="1" a="1"/>
  <c r="O21" i="21" s="1"/>
  <c r="O16" i="21" a="1"/>
  <c r="O16" i="21" s="1"/>
  <c r="O17" i="21" s="1" a="1"/>
  <c r="O17" i="21" s="1"/>
  <c r="O10" i="21" a="1"/>
  <c r="O10" i="21" s="1"/>
  <c r="O11" i="21" s="1" a="1"/>
  <c r="O11" i="21" s="1"/>
  <c r="O30" i="21" a="1"/>
  <c r="O30" i="21" s="1"/>
  <c r="O31" i="21" s="1" a="1"/>
  <c r="O31" i="21" s="1"/>
  <c r="I27" i="23" a="1"/>
  <c r="I27" i="23" s="1"/>
  <c r="I29" i="23" a="1"/>
  <c r="I29" i="23" s="1"/>
  <c r="I31" i="23" a="1"/>
  <c r="I31" i="23" s="1"/>
  <c r="I18" i="23" a="1"/>
  <c r="I18" i="23" s="1"/>
  <c r="I19" i="23" s="1" a="1"/>
  <c r="I19" i="23" s="1"/>
  <c r="I24" i="23" a="1"/>
  <c r="I24" i="23" s="1"/>
  <c r="I25" i="23" s="1" a="1"/>
  <c r="I25" i="23" s="1"/>
  <c r="I22" i="23" a="1"/>
  <c r="I22" i="23" s="1"/>
  <c r="I23" i="23" s="1" a="1"/>
  <c r="I23" i="23" s="1"/>
  <c r="I14" i="23" a="1"/>
  <c r="I14" i="23" s="1"/>
  <c r="I15" i="23" s="1" a="1"/>
  <c r="I15" i="23" s="1"/>
  <c r="I37" i="23" a="1"/>
  <c r="I37" i="23" s="1"/>
  <c r="I33" i="23" a="1"/>
  <c r="I33" i="23" s="1"/>
  <c r="I6" i="23" a="1"/>
  <c r="I6" i="23" s="1"/>
  <c r="I7" i="23" s="1" a="1"/>
  <c r="I7" i="23" s="1"/>
  <c r="I35" i="23" a="1"/>
  <c r="I35" i="23" s="1"/>
  <c r="I20" i="23" a="1"/>
  <c r="I20" i="23" s="1"/>
  <c r="I21" i="23" s="1" a="1"/>
  <c r="I21" i="23" s="1"/>
  <c r="K12" i="21" a="1"/>
  <c r="K12" i="21" s="1"/>
  <c r="K13" i="21" s="1" a="1"/>
  <c r="K13" i="21" s="1"/>
  <c r="K26" i="21" a="1"/>
  <c r="K26" i="21" s="1"/>
  <c r="K27" i="21" s="1" a="1"/>
  <c r="K27" i="21" s="1"/>
  <c r="K26" i="23" a="1"/>
  <c r="K26" i="23" s="1"/>
  <c r="K27" i="23" s="1" a="1"/>
  <c r="K27" i="23" s="1"/>
  <c r="K28" i="23" a="1"/>
  <c r="K28" i="23" s="1"/>
  <c r="K29" i="23" s="1" a="1"/>
  <c r="K29" i="23" s="1"/>
  <c r="K14" i="23" a="1"/>
  <c r="K14" i="23" s="1"/>
  <c r="K15" i="23" s="1" a="1"/>
  <c r="K15" i="23" s="1"/>
  <c r="K32" i="23" a="1"/>
  <c r="K32" i="23" s="1"/>
  <c r="K33" i="23" s="1" a="1"/>
  <c r="K33" i="23" s="1"/>
  <c r="K30" i="23" a="1"/>
  <c r="K30" i="23" s="1"/>
  <c r="K31" i="23" s="1" a="1"/>
  <c r="K31" i="23" s="1"/>
  <c r="K34" i="23" a="1"/>
  <c r="K34" i="23" s="1"/>
  <c r="K35" i="23" s="1" a="1"/>
  <c r="K35" i="23" s="1"/>
  <c r="K36" i="23" a="1"/>
  <c r="K36" i="23" s="1"/>
  <c r="K37" i="23" s="1" a="1"/>
  <c r="K37" i="23" s="1"/>
  <c r="K6" i="23" a="1"/>
  <c r="K6" i="23" s="1"/>
  <c r="K7" i="23" s="1" a="1"/>
  <c r="K7" i="23" s="1"/>
  <c r="K18" i="23" a="1"/>
  <c r="K18" i="23" s="1"/>
  <c r="K19" i="23" s="1" a="1"/>
  <c r="K19" i="23" s="1"/>
  <c r="K20" i="23" a="1"/>
  <c r="K20" i="23" s="1"/>
  <c r="K21" i="23" s="1" a="1"/>
  <c r="K21" i="23" s="1"/>
  <c r="K22" i="23" a="1"/>
  <c r="K22" i="23" s="1"/>
  <c r="K23" i="23" s="1" a="1"/>
  <c r="K23" i="23" s="1"/>
  <c r="K24" i="23" a="1"/>
  <c r="K24" i="23" s="1"/>
  <c r="K25" i="23" s="1" a="1"/>
  <c r="K25" i="23" s="1"/>
  <c r="J6" i="23" a="1"/>
  <c r="J6" i="23" s="1"/>
  <c r="J7" i="23" s="1" a="1"/>
  <c r="J7" i="23" s="1"/>
  <c r="J33" i="23" a="1"/>
  <c r="J33" i="23" s="1"/>
  <c r="J37" i="23" a="1"/>
  <c r="J37" i="23" s="1"/>
  <c r="J22" i="23" a="1"/>
  <c r="J22" i="23" s="1"/>
  <c r="J23" i="23" s="1" a="1"/>
  <c r="J23" i="23" s="1"/>
  <c r="J29" i="23" a="1"/>
  <c r="J29" i="23" s="1"/>
  <c r="J27" i="23" a="1"/>
  <c r="J27" i="23" s="1"/>
  <c r="J20" i="23" a="1"/>
  <c r="J20" i="23" s="1"/>
  <c r="J21" i="23" s="1" a="1"/>
  <c r="J21" i="23" s="1"/>
  <c r="J31" i="23" a="1"/>
  <c r="J31" i="23" s="1"/>
  <c r="J35" i="23" a="1"/>
  <c r="J35" i="23" s="1"/>
  <c r="J18" i="23" a="1"/>
  <c r="J18" i="23" s="1"/>
  <c r="J19" i="23" s="1" a="1"/>
  <c r="J19" i="23" s="1"/>
  <c r="J24" i="23" a="1"/>
  <c r="J24" i="23" s="1"/>
  <c r="J25" i="23" s="1" a="1"/>
  <c r="J25" i="23" s="1"/>
  <c r="J14" i="23" a="1"/>
  <c r="J14" i="23" s="1"/>
  <c r="J15" i="23" s="1" a="1"/>
  <c r="J15" i="23" s="1"/>
  <c r="G28" i="23" a="1"/>
  <c r="G28" i="23" s="1"/>
  <c r="G29" i="23" s="1" a="1"/>
  <c r="G29" i="23" s="1"/>
  <c r="G30" i="23" a="1"/>
  <c r="G30" i="23" s="1"/>
  <c r="G31" i="23" s="1" a="1"/>
  <c r="G31" i="23" s="1"/>
  <c r="G22" i="23" a="1"/>
  <c r="G22" i="23" s="1"/>
  <c r="G23" i="23" s="1" a="1"/>
  <c r="G23" i="23" s="1"/>
  <c r="G14" i="23" a="1"/>
  <c r="G14" i="23" s="1"/>
  <c r="G15" i="23" s="1" a="1"/>
  <c r="G15" i="23" s="1"/>
  <c r="G6" i="23" a="1"/>
  <c r="G6" i="23" s="1"/>
  <c r="G7" i="23" s="1" a="1"/>
  <c r="G7" i="23" s="1"/>
  <c r="G20" i="21" a="1"/>
  <c r="G20" i="21" s="1"/>
  <c r="G21" i="21" s="1" a="1"/>
  <c r="G21" i="21" s="1"/>
  <c r="G12" i="21" a="1"/>
  <c r="G12" i="21" s="1"/>
  <c r="G13" i="21" s="1" a="1"/>
  <c r="G13" i="21" s="1"/>
  <c r="G6" i="21" a="1"/>
  <c r="G6" i="21" s="1"/>
  <c r="G7" i="21" s="1" a="1"/>
  <c r="G7" i="21" s="1"/>
  <c r="G26" i="21" a="1"/>
  <c r="G26" i="21" s="1"/>
  <c r="G27" i="21" s="1" a="1"/>
  <c r="G27" i="21" s="1"/>
  <c r="G32" i="23" a="1"/>
  <c r="G32" i="23" s="1"/>
  <c r="G33" i="23" s="1" a="1"/>
  <c r="G33" i="23" s="1"/>
  <c r="G20" i="23" a="1"/>
  <c r="G20" i="23" s="1"/>
  <c r="G21" i="23" s="1" a="1"/>
  <c r="G21" i="23" s="1"/>
  <c r="G18" i="23" a="1"/>
  <c r="G18" i="23" s="1"/>
  <c r="G19" i="23" s="1" a="1"/>
  <c r="G19" i="23" s="1"/>
  <c r="G26" i="23" a="1"/>
  <c r="G26" i="23" s="1"/>
  <c r="G27" i="23" s="1" a="1"/>
  <c r="G27" i="23" s="1"/>
  <c r="G36" i="23" a="1"/>
  <c r="G36" i="23" s="1"/>
  <c r="G37" i="23" s="1" a="1"/>
  <c r="G37" i="23" s="1"/>
  <c r="G16" i="23" a="1"/>
  <c r="G16" i="23" s="1"/>
  <c r="G17" i="23" s="1" a="1"/>
  <c r="G17" i="23" s="1"/>
  <c r="G34" i="23" a="1"/>
  <c r="G34" i="23" s="1"/>
  <c r="G35" i="23" s="1" a="1"/>
  <c r="G35" i="23" s="1"/>
  <c r="G24" i="23" a="1"/>
  <c r="G24" i="23" s="1"/>
  <c r="G25" i="23" s="1" a="1"/>
  <c r="G25" i="23" s="1"/>
  <c r="I26" i="21" a="1"/>
  <c r="I26" i="21" s="1"/>
  <c r="I27" i="21" s="1" a="1"/>
  <c r="I27" i="21" s="1"/>
  <c r="I6" i="21" a="1"/>
  <c r="I6" i="21" s="1"/>
  <c r="I7" i="21" s="1" a="1"/>
  <c r="I7" i="21" s="1"/>
  <c r="I12" i="21" a="1"/>
  <c r="I12" i="21" s="1"/>
  <c r="I13" i="21" s="1" a="1"/>
  <c r="I13" i="21" s="1"/>
  <c r="H12" i="21" a="1"/>
  <c r="H12" i="21" s="1"/>
  <c r="H13" i="21" s="1" a="1"/>
  <c r="H13" i="21" s="1"/>
  <c r="H6" i="21" a="1"/>
  <c r="H6" i="21" s="1"/>
  <c r="H7" i="21" s="1" a="1"/>
  <c r="H7" i="21" s="1"/>
  <c r="H6" i="23" a="1"/>
  <c r="H6" i="23" s="1"/>
  <c r="H7" i="23" s="1" a="1"/>
  <c r="H7" i="23" s="1"/>
  <c r="H37" i="23" a="1"/>
  <c r="H37" i="23" s="1"/>
  <c r="H26" i="21" a="1"/>
  <c r="H26" i="21" s="1"/>
  <c r="H27" i="21" s="1" a="1"/>
  <c r="H27" i="21" s="1"/>
  <c r="H14" i="23" a="1"/>
  <c r="H14" i="23" s="1"/>
  <c r="H15" i="23" s="1" a="1"/>
  <c r="H15" i="23" s="1"/>
  <c r="H22" i="23" a="1"/>
  <c r="H22" i="23" s="1"/>
  <c r="H23" i="23" s="1" a="1"/>
  <c r="H23" i="23" s="1"/>
  <c r="H30" i="23" a="1"/>
  <c r="H30" i="23" s="1"/>
  <c r="H31" i="23" s="1" a="1"/>
  <c r="H31" i="23" s="1"/>
  <c r="H33" i="23" a="1"/>
  <c r="H33" i="23" s="1"/>
  <c r="H16" i="23" a="1"/>
  <c r="H16" i="23" s="1"/>
  <c r="H17" i="23" s="1" a="1"/>
  <c r="H17" i="23" s="1"/>
  <c r="H20" i="23" a="1"/>
  <c r="H20" i="23" s="1"/>
  <c r="H21" i="23" s="1" a="1"/>
  <c r="H21" i="23" s="1"/>
  <c r="H35" i="23" a="1"/>
  <c r="H35" i="23" s="1"/>
  <c r="H26" i="23" a="1"/>
  <c r="H26" i="23" s="1"/>
  <c r="H27" i="23" s="1" a="1"/>
  <c r="H27" i="23" s="1"/>
  <c r="H28" i="23" a="1"/>
  <c r="H28" i="23" s="1"/>
  <c r="H29" i="23" s="1" a="1"/>
  <c r="H29" i="23" s="1"/>
  <c r="H24" i="23" a="1"/>
  <c r="H24" i="23" s="1"/>
  <c r="H25" i="23" s="1" a="1"/>
  <c r="H25" i="23" s="1"/>
  <c r="O24" i="21" a="1"/>
  <c r="O24" i="21" s="1"/>
  <c r="O25" i="21" s="1" a="1"/>
  <c r="O25" i="21" s="1"/>
  <c r="O32" i="21" a="1"/>
  <c r="O32" i="21" s="1"/>
  <c r="O33" i="21" s="1" a="1"/>
  <c r="O33" i="21" s="1"/>
  <c r="O18" i="21" a="1"/>
  <c r="O18" i="21" s="1"/>
  <c r="O19" i="21" s="1" a="1"/>
  <c r="O19" i="21" s="1"/>
  <c r="F37" i="23" a="1"/>
  <c r="F37" i="23" s="1"/>
  <c r="F32" i="23" a="1"/>
  <c r="F32" i="23" s="1"/>
  <c r="F33" i="23" s="1" a="1"/>
  <c r="F33" i="23" s="1"/>
  <c r="F24" i="23" a="1"/>
  <c r="F24" i="23" s="1"/>
  <c r="F25" i="23" s="1" a="1"/>
  <c r="F25" i="23" s="1"/>
  <c r="F20" i="23" a="1"/>
  <c r="F20" i="23" s="1"/>
  <c r="F21" i="23" s="1" a="1"/>
  <c r="F21" i="23" s="1"/>
  <c r="F6" i="23" a="1"/>
  <c r="F6" i="23" s="1"/>
  <c r="F7" i="23" s="1" a="1"/>
  <c r="F7" i="23" s="1"/>
  <c r="F8" i="23" a="1"/>
  <c r="F8" i="23" s="1"/>
  <c r="F9" i="23" s="1" a="1"/>
  <c r="F9" i="23" s="1"/>
  <c r="F12" i="23" a="1"/>
  <c r="F12" i="23" s="1"/>
  <c r="F13" i="23" s="1" a="1"/>
  <c r="F13" i="23" s="1"/>
  <c r="F16" i="23" a="1"/>
  <c r="F16" i="23" s="1"/>
  <c r="F17" i="23" s="1" a="1"/>
  <c r="F17" i="23" s="1"/>
  <c r="F14" i="23" a="1"/>
  <c r="F14" i="23" s="1"/>
  <c r="F15" i="23" s="1" a="1"/>
  <c r="F15" i="23" s="1"/>
  <c r="F30" i="23" a="1"/>
  <c r="F30" i="23" s="1"/>
  <c r="F31" i="23" s="1" a="1"/>
  <c r="F31" i="23" s="1"/>
  <c r="F26" i="23" a="1"/>
  <c r="F26" i="23" s="1"/>
  <c r="F27" i="23" s="1" a="1"/>
  <c r="F27" i="23" s="1"/>
  <c r="F28" i="23" a="1"/>
  <c r="F28" i="23" s="1"/>
  <c r="F29" i="23" s="1" a="1"/>
  <c r="F29" i="23" s="1"/>
  <c r="F22" i="23" a="1"/>
  <c r="F22" i="23" s="1"/>
  <c r="F23" i="23" s="1" a="1"/>
  <c r="F23" i="23" s="1"/>
  <c r="F18" i="23" a="1"/>
  <c r="F18" i="23" s="1"/>
  <c r="F19" i="23" s="1" a="1"/>
  <c r="F19" i="23" s="1"/>
  <c r="D4" i="23"/>
  <c r="D4" i="21"/>
  <c r="C54" i="1"/>
  <c r="C42" i="1"/>
  <c r="C41" i="1"/>
  <c r="C36" i="1"/>
  <c r="C30" i="1"/>
  <c r="C25" i="1"/>
  <c r="C75" i="54" l="1"/>
  <c r="Q75" i="54" s="1" a="1"/>
  <c r="Q75" i="54" s="1"/>
  <c r="C75" i="52"/>
  <c r="Q75" i="52" s="1" a="1"/>
  <c r="Q75" i="52" s="1"/>
  <c r="C75" i="53"/>
  <c r="Q75" i="53" s="1" a="1"/>
  <c r="Q75" i="53" s="1"/>
  <c r="C75" i="35"/>
  <c r="Q75" i="35" a="1"/>
  <c r="Q75" i="35" s="1"/>
  <c r="C75" i="31"/>
  <c r="Q75" i="31" s="1" a="1"/>
  <c r="Q75" i="31" s="1"/>
  <c r="C75" i="44"/>
  <c r="Q75" i="44" a="1"/>
  <c r="Q75" i="44" s="1"/>
  <c r="C75" i="42"/>
  <c r="Q75" i="42" s="1" a="1"/>
  <c r="Q75" i="42" s="1"/>
  <c r="C75" i="46"/>
  <c r="Q75" i="46" s="1" a="1"/>
  <c r="Q75" i="46" s="1"/>
  <c r="C75" i="37"/>
  <c r="Q75" i="37" s="1" a="1"/>
  <c r="Q75" i="37" s="1"/>
  <c r="C75" i="36"/>
  <c r="Q75" i="36" s="1" a="1"/>
  <c r="Q75" i="36" s="1"/>
  <c r="C75" i="38"/>
  <c r="Q75" i="38" s="1" a="1"/>
  <c r="Q75" i="38" s="1"/>
  <c r="C75" i="40"/>
  <c r="Q75" i="40" s="1" a="1"/>
  <c r="Q75" i="40" s="1"/>
  <c r="C75" i="43"/>
  <c r="Q75" i="43" a="1"/>
  <c r="Q75" i="43" s="1"/>
  <c r="C75" i="39"/>
  <c r="Q75" i="39" s="1" a="1"/>
  <c r="Q75" i="39" s="1"/>
  <c r="C75" i="41"/>
  <c r="Q75" i="41" s="1" a="1"/>
  <c r="Q75" i="41" s="1"/>
  <c r="C75" i="47"/>
  <c r="Q75" i="47" s="1" a="1"/>
  <c r="Q75" i="47" s="1"/>
  <c r="C75" i="45"/>
  <c r="Q75" i="45" s="1" a="1"/>
  <c r="Q75" i="45" s="1"/>
  <c r="C75" i="48"/>
  <c r="Q75" i="48" s="1" a="1"/>
  <c r="Q75" i="48" s="1"/>
  <c r="C75" i="49"/>
  <c r="Q75" i="49" s="1" a="1"/>
  <c r="Q75" i="49" s="1"/>
  <c r="C75" i="50"/>
  <c r="Q75" i="50" s="1" a="1"/>
  <c r="Q75" i="50" s="1"/>
  <c r="C74" i="54"/>
  <c r="Q74" i="54" s="1" a="1"/>
  <c r="Q74" i="54" s="1"/>
  <c r="C74" i="52"/>
  <c r="Q74" i="52" s="1" a="1"/>
  <c r="Q74" i="52" s="1"/>
  <c r="C74" i="53"/>
  <c r="Q74" i="53" s="1" a="1"/>
  <c r="Q74" i="53" s="1"/>
  <c r="C73" i="54"/>
  <c r="Q73" i="54" s="1" a="1"/>
  <c r="Q73" i="54" s="1"/>
  <c r="C73" i="52"/>
  <c r="Q73" i="52" s="1" a="1"/>
  <c r="Q73" i="52" s="1"/>
  <c r="C73" i="53"/>
  <c r="Q73" i="53" s="1" a="1"/>
  <c r="Q73" i="53" s="1"/>
  <c r="C24" i="54"/>
  <c r="Q24" i="54" s="1" a="1"/>
  <c r="Q24" i="54" s="1"/>
  <c r="C25" i="54"/>
  <c r="Q25" i="54" s="1" a="1"/>
  <c r="Q25" i="54" s="1"/>
  <c r="C45" i="54"/>
  <c r="Q45" i="54" s="1" a="1"/>
  <c r="Q45" i="54" s="1"/>
  <c r="C65" i="54"/>
  <c r="Q65" i="54" s="1" a="1"/>
  <c r="Q65" i="54" s="1"/>
  <c r="C26" i="54"/>
  <c r="Q26" i="54" s="1" a="1"/>
  <c r="Q26" i="54" s="1"/>
  <c r="C46" i="54"/>
  <c r="Q46" i="54" s="1" a="1"/>
  <c r="Q46" i="54" s="1"/>
  <c r="C66" i="54"/>
  <c r="Q66" i="54" s="1" a="1"/>
  <c r="Q66" i="54" s="1"/>
  <c r="C59" i="54"/>
  <c r="Q59" i="54" s="1" a="1"/>
  <c r="Q59" i="54" s="1"/>
  <c r="C27" i="54"/>
  <c r="Q27" i="54" s="1" a="1"/>
  <c r="Q27" i="54" s="1"/>
  <c r="C47" i="54"/>
  <c r="Q47" i="54" s="1" a="1"/>
  <c r="Q47" i="54" s="1"/>
  <c r="C67" i="54"/>
  <c r="Q67" i="54" s="1" a="1"/>
  <c r="Q67" i="54" s="1"/>
  <c r="C38" i="54"/>
  <c r="Q38" i="54" s="1" a="1"/>
  <c r="Q38" i="54" s="1"/>
  <c r="C60" i="54"/>
  <c r="Q60" i="54" s="1" a="1"/>
  <c r="Q60" i="54" s="1"/>
  <c r="C41" i="54"/>
  <c r="Q41" i="54" s="1" a="1"/>
  <c r="Q41" i="54" s="1"/>
  <c r="C42" i="54"/>
  <c r="Q42" i="54" s="1" a="1"/>
  <c r="Q42" i="54" s="1"/>
  <c r="C43" i="54"/>
  <c r="Q43" i="54" s="1" a="1"/>
  <c r="Q43" i="54" s="1"/>
  <c r="C28" i="54"/>
  <c r="Q28" i="54" s="1" a="1"/>
  <c r="Q28" i="54" s="1"/>
  <c r="C48" i="54"/>
  <c r="Q48" i="54" s="1" a="1"/>
  <c r="Q48" i="54" s="1"/>
  <c r="C68" i="54"/>
  <c r="Q68" i="54" s="1" a="1"/>
  <c r="Q68" i="54" s="1"/>
  <c r="C39" i="54"/>
  <c r="Q39" i="54" s="1" a="1"/>
  <c r="Q39" i="54" s="1"/>
  <c r="C40" i="54"/>
  <c r="Q40" i="54" s="1" a="1"/>
  <c r="Q40" i="54" s="1"/>
  <c r="C29" i="54"/>
  <c r="Q29" i="54" s="1" a="1"/>
  <c r="Q29" i="54" s="1"/>
  <c r="C49" i="54"/>
  <c r="Q49" i="54" s="1" a="1"/>
  <c r="Q49" i="54" s="1"/>
  <c r="C69" i="54"/>
  <c r="Q69" i="54" s="1" a="1"/>
  <c r="Q69" i="54" s="1"/>
  <c r="C30" i="54"/>
  <c r="Q30" i="54" s="1" a="1"/>
  <c r="Q30" i="54" s="1"/>
  <c r="C50" i="54"/>
  <c r="Q50" i="54" s="1" a="1"/>
  <c r="Q50" i="54" s="1"/>
  <c r="C70" i="54"/>
  <c r="Q70" i="54" s="1" a="1"/>
  <c r="Q70" i="54" s="1"/>
  <c r="C54" i="54"/>
  <c r="Q54" i="54" s="1" a="1"/>
  <c r="Q54" i="54" s="1"/>
  <c r="C58" i="54"/>
  <c r="Q58" i="54" s="1" a="1"/>
  <c r="Q58" i="54" s="1"/>
  <c r="C61" i="54"/>
  <c r="Q61" i="54" s="1" a="1"/>
  <c r="Q61" i="54" s="1"/>
  <c r="C62" i="54"/>
  <c r="Q62" i="54" s="1" a="1"/>
  <c r="Q62" i="54" s="1"/>
  <c r="C31" i="54"/>
  <c r="Q31" i="54" s="1" a="1"/>
  <c r="Q31" i="54" s="1"/>
  <c r="C51" i="54"/>
  <c r="Q51" i="54" s="1" a="1"/>
  <c r="Q51" i="54" s="1"/>
  <c r="C71" i="54"/>
  <c r="Q71" i="54" s="1" a="1"/>
  <c r="Q71" i="54" s="1"/>
  <c r="C32" i="54"/>
  <c r="Q32" i="54" s="1" a="1"/>
  <c r="Q32" i="54" s="1"/>
  <c r="C52" i="54"/>
  <c r="Q52" i="54" s="1" a="1"/>
  <c r="Q52" i="54" s="1"/>
  <c r="C72" i="54"/>
  <c r="Q72" i="54" s="1" a="1"/>
  <c r="Q72" i="54" s="1"/>
  <c r="C57" i="54"/>
  <c r="Q57" i="54" s="1" a="1"/>
  <c r="Q57" i="54" s="1"/>
  <c r="C33" i="54"/>
  <c r="Q33" i="54" s="1" a="1"/>
  <c r="Q33" i="54" s="1"/>
  <c r="C53" i="54"/>
  <c r="Q53" i="54" s="1" a="1"/>
  <c r="Q53" i="54" s="1"/>
  <c r="C34" i="54"/>
  <c r="Q34" i="54" s="1" a="1"/>
  <c r="Q34" i="54" s="1"/>
  <c r="C63" i="54"/>
  <c r="Q63" i="54" s="1" a="1"/>
  <c r="Q63" i="54" s="1"/>
  <c r="C35" i="54"/>
  <c r="Q35" i="54" s="1" a="1"/>
  <c r="Q35" i="54" s="1"/>
  <c r="C55" i="54"/>
  <c r="Q55" i="54" s="1" a="1"/>
  <c r="Q55" i="54" s="1"/>
  <c r="C36" i="54"/>
  <c r="Q36" i="54" s="1" a="1"/>
  <c r="Q36" i="54" s="1"/>
  <c r="C56" i="54"/>
  <c r="Q56" i="54" s="1" a="1"/>
  <c r="Q56" i="54" s="1"/>
  <c r="C37" i="54"/>
  <c r="Q37" i="54" s="1" a="1"/>
  <c r="Q37" i="54" s="1"/>
  <c r="C44" i="54"/>
  <c r="Q44" i="54" s="1" a="1"/>
  <c r="Q44" i="54" s="1"/>
  <c r="C64" i="54"/>
  <c r="Q64" i="54" s="1" a="1"/>
  <c r="Q64" i="54" s="1"/>
  <c r="C25" i="53"/>
  <c r="Q25" i="53" s="1" a="1"/>
  <c r="Q25" i="53" s="1"/>
  <c r="C45" i="53"/>
  <c r="Q45" i="53" s="1" a="1"/>
  <c r="Q45" i="53" s="1"/>
  <c r="C65" i="53"/>
  <c r="Q65" i="53" s="1" a="1"/>
  <c r="Q65" i="53" s="1"/>
  <c r="C26" i="53"/>
  <c r="Q26" i="53" s="1" a="1"/>
  <c r="Q26" i="53" s="1"/>
  <c r="C46" i="53"/>
  <c r="Q46" i="53" s="1" a="1"/>
  <c r="Q46" i="53" s="1"/>
  <c r="C66" i="53"/>
  <c r="Q66" i="53" s="1" a="1"/>
  <c r="Q66" i="53" s="1"/>
  <c r="C60" i="53"/>
  <c r="Q60" i="53" s="1" a="1"/>
  <c r="Q60" i="53" s="1"/>
  <c r="C61" i="53"/>
  <c r="Q61" i="53" s="1" a="1"/>
  <c r="Q61" i="53" s="1"/>
  <c r="C62" i="53"/>
  <c r="Q62" i="53" s="1" a="1"/>
  <c r="Q62" i="53" s="1"/>
  <c r="C63" i="53"/>
  <c r="Q63" i="53" s="1" a="1"/>
  <c r="Q63" i="53" s="1"/>
  <c r="C27" i="53"/>
  <c r="Q27" i="53" s="1" a="1"/>
  <c r="Q27" i="53" s="1"/>
  <c r="C47" i="53"/>
  <c r="Q47" i="53" s="1" a="1"/>
  <c r="Q47" i="53" s="1"/>
  <c r="C67" i="53"/>
  <c r="Q67" i="53" s="1" a="1"/>
  <c r="Q67" i="53" s="1"/>
  <c r="C32" i="53"/>
  <c r="Q32" i="53" s="1" a="1"/>
  <c r="Q32" i="53" s="1"/>
  <c r="C28" i="53"/>
  <c r="Q28" i="53" s="1" a="1"/>
  <c r="Q28" i="53" s="1"/>
  <c r="C48" i="53"/>
  <c r="Q48" i="53" s="1" a="1"/>
  <c r="Q48" i="53" s="1"/>
  <c r="C68" i="53"/>
  <c r="Q68" i="53" s="1" a="1"/>
  <c r="Q68" i="53" s="1"/>
  <c r="C29" i="53"/>
  <c r="Q29" i="53" s="1" a="1"/>
  <c r="Q29" i="53" s="1"/>
  <c r="C49" i="53"/>
  <c r="Q49" i="53" s="1" a="1"/>
  <c r="Q49" i="53" s="1"/>
  <c r="C69" i="53"/>
  <c r="Q69" i="53" s="1" a="1"/>
  <c r="Q69" i="53" s="1"/>
  <c r="C30" i="53"/>
  <c r="Q30" i="53" s="1" a="1"/>
  <c r="Q30" i="53" s="1"/>
  <c r="C50" i="53"/>
  <c r="Q50" i="53" s="1" a="1"/>
  <c r="Q50" i="53" s="1"/>
  <c r="C70" i="53"/>
  <c r="Q70" i="53" s="1" a="1"/>
  <c r="Q70" i="53" s="1"/>
  <c r="C52" i="53"/>
  <c r="Q52" i="53" s="1" a="1"/>
  <c r="Q52" i="53" s="1"/>
  <c r="C31" i="53"/>
  <c r="Q31" i="53" s="1" a="1"/>
  <c r="Q31" i="53" s="1"/>
  <c r="C51" i="53"/>
  <c r="Q51" i="53" s="1" a="1"/>
  <c r="Q51" i="53" s="1"/>
  <c r="C71" i="53"/>
  <c r="Q71" i="53" s="1" a="1"/>
  <c r="Q71" i="53" s="1"/>
  <c r="C72" i="53"/>
  <c r="Q72" i="53" s="1" a="1"/>
  <c r="Q72" i="53" s="1"/>
  <c r="C59" i="53"/>
  <c r="Q59" i="53" s="1" a="1"/>
  <c r="Q59" i="53" s="1"/>
  <c r="C33" i="53"/>
  <c r="Q33" i="53" s="1" a="1"/>
  <c r="Q33" i="53" s="1"/>
  <c r="C53" i="53"/>
  <c r="Q53" i="53" s="1" a="1"/>
  <c r="Q53" i="53" s="1"/>
  <c r="C34" i="53"/>
  <c r="Q34" i="53" s="1" a="1"/>
  <c r="Q34" i="53" s="1"/>
  <c r="C54" i="53"/>
  <c r="Q54" i="53" s="1" a="1"/>
  <c r="Q54" i="53" s="1"/>
  <c r="C35" i="53"/>
  <c r="Q35" i="53" s="1" a="1"/>
  <c r="Q35" i="53" s="1"/>
  <c r="C55" i="53"/>
  <c r="Q55" i="53" s="1" a="1"/>
  <c r="Q55" i="53" s="1"/>
  <c r="C57" i="53"/>
  <c r="Q57" i="53" s="1" a="1"/>
  <c r="Q57" i="53" s="1"/>
  <c r="C58" i="53"/>
  <c r="Q58" i="53" s="1" a="1"/>
  <c r="Q58" i="53" s="1"/>
  <c r="C36" i="53"/>
  <c r="Q36" i="53" s="1" a="1"/>
  <c r="Q36" i="53" s="1"/>
  <c r="C56" i="53"/>
  <c r="Q56" i="53" s="1" a="1"/>
  <c r="Q56" i="53" s="1"/>
  <c r="C37" i="53"/>
  <c r="Q37" i="53" s="1" a="1"/>
  <c r="Q37" i="53" s="1"/>
  <c r="C38" i="53"/>
  <c r="Q38" i="53" s="1" a="1"/>
  <c r="Q38" i="53" s="1"/>
  <c r="C39" i="53"/>
  <c r="Q39" i="53" s="1" a="1"/>
  <c r="Q39" i="53" s="1"/>
  <c r="C40" i="53"/>
  <c r="Q40" i="53" s="1" a="1"/>
  <c r="Q40" i="53" s="1"/>
  <c r="C41" i="53"/>
  <c r="Q41" i="53" s="1" a="1"/>
  <c r="Q41" i="53" s="1"/>
  <c r="C42" i="53"/>
  <c r="Q42" i="53" s="1" a="1"/>
  <c r="Q42" i="53" s="1"/>
  <c r="C43" i="53"/>
  <c r="Q43" i="53" s="1" a="1"/>
  <c r="Q43" i="53" s="1"/>
  <c r="C44" i="53"/>
  <c r="Q44" i="53" s="1" a="1"/>
  <c r="Q44" i="53" s="1"/>
  <c r="C64" i="53"/>
  <c r="Q64" i="53" s="1" a="1"/>
  <c r="Q64" i="53" s="1"/>
  <c r="C13" i="52"/>
  <c r="Q13" i="52" s="1" a="1"/>
  <c r="Q13" i="52" s="1"/>
  <c r="C25" i="52"/>
  <c r="Q25" i="52" s="1" a="1"/>
  <c r="Q25" i="52" s="1"/>
  <c r="C45" i="52"/>
  <c r="Q45" i="52" s="1" a="1"/>
  <c r="Q45" i="52" s="1"/>
  <c r="C65" i="52"/>
  <c r="Q65" i="52" s="1" a="1"/>
  <c r="Q65" i="52" s="1"/>
  <c r="C43" i="52"/>
  <c r="Q43" i="52" s="1" a="1"/>
  <c r="Q43" i="52" s="1"/>
  <c r="C26" i="52"/>
  <c r="Q26" i="52" s="1" a="1"/>
  <c r="Q26" i="52" s="1"/>
  <c r="C46" i="52"/>
  <c r="Q46" i="52" s="1" a="1"/>
  <c r="Q46" i="52" s="1"/>
  <c r="C66" i="52"/>
  <c r="Q66" i="52" s="1" a="1"/>
  <c r="Q66" i="52" s="1"/>
  <c r="C27" i="52"/>
  <c r="Q27" i="52" s="1" a="1"/>
  <c r="Q27" i="52" s="1"/>
  <c r="C47" i="52"/>
  <c r="Q47" i="52" s="1" a="1"/>
  <c r="Q47" i="52" s="1"/>
  <c r="C67" i="52"/>
  <c r="Q67" i="52" s="1" a="1"/>
  <c r="Q67" i="52" s="1"/>
  <c r="C28" i="52"/>
  <c r="Q28" i="52" s="1" a="1"/>
  <c r="Q28" i="52" s="1"/>
  <c r="C48" i="52"/>
  <c r="Q48" i="52" s="1" a="1"/>
  <c r="Q48" i="52" s="1"/>
  <c r="C68" i="52"/>
  <c r="Q68" i="52" s="1" a="1"/>
  <c r="Q68" i="52" s="1"/>
  <c r="C29" i="52"/>
  <c r="Q29" i="52" s="1" a="1"/>
  <c r="Q29" i="52" s="1"/>
  <c r="C49" i="52"/>
  <c r="Q49" i="52" s="1" a="1"/>
  <c r="Q49" i="52" s="1"/>
  <c r="C69" i="52"/>
  <c r="Q69" i="52" s="1" a="1"/>
  <c r="Q69" i="52" s="1"/>
  <c r="C30" i="52"/>
  <c r="Q30" i="52" s="1" a="1"/>
  <c r="Q30" i="52" s="1"/>
  <c r="C50" i="52"/>
  <c r="Q50" i="52" s="1" a="1"/>
  <c r="Q50" i="52" s="1"/>
  <c r="C70" i="52"/>
  <c r="Q70" i="52" s="1" a="1"/>
  <c r="Q70" i="52" s="1"/>
  <c r="C31" i="52"/>
  <c r="Q31" i="52" s="1" a="1"/>
  <c r="Q31" i="52" s="1"/>
  <c r="C51" i="52"/>
  <c r="Q51" i="52" s="1" a="1"/>
  <c r="Q51" i="52" s="1"/>
  <c r="C71" i="52"/>
  <c r="Q71" i="52" s="1" a="1"/>
  <c r="Q71" i="52" s="1"/>
  <c r="C63" i="52"/>
  <c r="Q63" i="52" s="1" a="1"/>
  <c r="Q63" i="52" s="1"/>
  <c r="C32" i="52"/>
  <c r="Q32" i="52" s="1" a="1"/>
  <c r="Q32" i="52" s="1"/>
  <c r="C52" i="52"/>
  <c r="Q52" i="52" s="1" a="1"/>
  <c r="Q52" i="52" s="1"/>
  <c r="C72" i="52"/>
  <c r="Q72" i="52" s="1" a="1"/>
  <c r="Q72" i="52" s="1"/>
  <c r="C33" i="52"/>
  <c r="Q33" i="52" s="1" a="1"/>
  <c r="Q33" i="52" s="1"/>
  <c r="C53" i="52"/>
  <c r="Q53" i="52" s="1" a="1"/>
  <c r="Q53" i="52" s="1"/>
  <c r="C34" i="52"/>
  <c r="Q34" i="52" s="1" a="1"/>
  <c r="Q34" i="52" s="1"/>
  <c r="C54" i="52"/>
  <c r="Q54" i="52" s="1" a="1"/>
  <c r="Q54" i="52" s="1"/>
  <c r="C35" i="52"/>
  <c r="Q35" i="52" s="1" a="1"/>
  <c r="Q35" i="52" s="1"/>
  <c r="C55" i="52"/>
  <c r="Q55" i="52" s="1" a="1"/>
  <c r="Q55" i="52" s="1"/>
  <c r="C36" i="52"/>
  <c r="Q36" i="52" s="1" a="1"/>
  <c r="Q36" i="52" s="1"/>
  <c r="C56" i="52"/>
  <c r="Q56" i="52" s="1" a="1"/>
  <c r="Q56" i="52" s="1"/>
  <c r="C37" i="52"/>
  <c r="Q37" i="52" s="1" a="1"/>
  <c r="Q37" i="52" s="1"/>
  <c r="C57" i="52"/>
  <c r="Q57" i="52" s="1" a="1"/>
  <c r="Q57" i="52" s="1"/>
  <c r="C39" i="52"/>
  <c r="Q39" i="52" s="1" a="1"/>
  <c r="Q39" i="52" s="1"/>
  <c r="C38" i="52"/>
  <c r="Q38" i="52" s="1" a="1"/>
  <c r="Q38" i="52" s="1"/>
  <c r="C58" i="52"/>
  <c r="Q58" i="52" s="1" a="1"/>
  <c r="Q58" i="52" s="1"/>
  <c r="C59" i="52"/>
  <c r="Q59" i="52" s="1" a="1"/>
  <c r="Q59" i="52" s="1"/>
  <c r="C40" i="52"/>
  <c r="Q40" i="52" s="1" a="1"/>
  <c r="Q40" i="52" s="1"/>
  <c r="C60" i="52"/>
  <c r="Q60" i="52" s="1" a="1"/>
  <c r="Q60" i="52" s="1"/>
  <c r="C42" i="52"/>
  <c r="Q42" i="52" s="1" a="1"/>
  <c r="Q42" i="52" s="1"/>
  <c r="C41" i="52"/>
  <c r="Q41" i="52" s="1" a="1"/>
  <c r="Q41" i="52" s="1"/>
  <c r="C61" i="52"/>
  <c r="Q61" i="52" s="1" a="1"/>
  <c r="Q61" i="52" s="1"/>
  <c r="C62" i="52"/>
  <c r="Q62" i="52" s="1" a="1"/>
  <c r="Q62" i="52" s="1"/>
  <c r="C44" i="52"/>
  <c r="Q44" i="52" s="1" a="1"/>
  <c r="Q44" i="52" s="1"/>
  <c r="C64" i="52"/>
  <c r="Q64" i="52" s="1" a="1"/>
  <c r="Q64" i="52" s="1"/>
  <c r="C4" i="54"/>
  <c r="Q4" i="54" s="1" a="1"/>
  <c r="Q4" i="54" s="1"/>
  <c r="C15" i="54"/>
  <c r="Q15" i="54" s="1" a="1"/>
  <c r="Q15" i="54" s="1"/>
  <c r="C13" i="54"/>
  <c r="Q13" i="54" s="1" a="1"/>
  <c r="Q13" i="54" s="1"/>
  <c r="C12" i="54"/>
  <c r="Q12" i="54" s="1" a="1"/>
  <c r="Q12" i="54" s="1"/>
  <c r="C23" i="54"/>
  <c r="Q23" i="54" s="1" a="1"/>
  <c r="Q23" i="54" s="1"/>
  <c r="C22" i="54"/>
  <c r="Q22" i="54" s="1" a="1"/>
  <c r="Q22" i="54" s="1"/>
  <c r="C21" i="54"/>
  <c r="Q21" i="54" s="1" a="1"/>
  <c r="Q21" i="54" s="1"/>
  <c r="C20" i="54"/>
  <c r="Q20" i="54" s="1" a="1"/>
  <c r="Q20" i="54" s="1"/>
  <c r="C19" i="54"/>
  <c r="Q19" i="54" s="1" a="1"/>
  <c r="Q19" i="54" s="1"/>
  <c r="C18" i="54"/>
  <c r="Q18" i="54" s="1" a="1"/>
  <c r="Q18" i="54" s="1"/>
  <c r="C17" i="54"/>
  <c r="Q17" i="54" s="1" a="1"/>
  <c r="Q17" i="54" s="1"/>
  <c r="C16" i="54"/>
  <c r="Q16" i="54" s="1" a="1"/>
  <c r="Q16" i="54" s="1"/>
  <c r="C11" i="54"/>
  <c r="Q11" i="54" s="1" a="1"/>
  <c r="Q11" i="54" s="1"/>
  <c r="C9" i="54"/>
  <c r="Q9" i="54" s="1" a="1"/>
  <c r="Q9" i="54" s="1"/>
  <c r="C8" i="54"/>
  <c r="Q8" i="54" s="1" a="1"/>
  <c r="Q8" i="54" s="1"/>
  <c r="C7" i="54"/>
  <c r="Q7" i="54" s="1" a="1"/>
  <c r="Q7" i="54" s="1"/>
  <c r="C14" i="54"/>
  <c r="Q14" i="54" s="1" a="1"/>
  <c r="Q14" i="54" s="1"/>
  <c r="C10" i="54"/>
  <c r="Q10" i="54" s="1" a="1"/>
  <c r="Q10" i="54" s="1"/>
  <c r="C6" i="54"/>
  <c r="Q6" i="54" s="1" a="1"/>
  <c r="Q6" i="54" s="1"/>
  <c r="C5" i="54"/>
  <c r="Q5" i="54" s="1" a="1"/>
  <c r="Q5" i="54" s="1"/>
  <c r="D3" i="54"/>
  <c r="C3" i="54" s="1"/>
  <c r="Q3" i="54" s="1" a="1"/>
  <c r="Q3" i="54" s="1"/>
  <c r="C4" i="53"/>
  <c r="Q4" i="53" s="1" a="1"/>
  <c r="Q4" i="53" s="1"/>
  <c r="C24" i="53"/>
  <c r="Q24" i="53" s="1" a="1"/>
  <c r="Q24" i="53" s="1"/>
  <c r="C5" i="53"/>
  <c r="Q5" i="53" s="1" a="1"/>
  <c r="Q5" i="53" s="1"/>
  <c r="C6" i="53"/>
  <c r="Q6" i="53" s="1" a="1"/>
  <c r="Q6" i="53" s="1"/>
  <c r="C7" i="53"/>
  <c r="Q7" i="53" s="1" a="1"/>
  <c r="Q7" i="53" s="1"/>
  <c r="C8" i="53"/>
  <c r="Q8" i="53" s="1" a="1"/>
  <c r="Q8" i="53" s="1"/>
  <c r="C9" i="53"/>
  <c r="Q9" i="53" s="1" a="1"/>
  <c r="Q9" i="53" s="1"/>
  <c r="C10" i="53"/>
  <c r="Q10" i="53" s="1" a="1"/>
  <c r="Q10" i="53" s="1"/>
  <c r="C11" i="53"/>
  <c r="Q11" i="53" s="1" a="1"/>
  <c r="Q11" i="53" s="1"/>
  <c r="C12" i="53"/>
  <c r="Q12" i="53" s="1" a="1"/>
  <c r="Q12" i="53" s="1"/>
  <c r="C13" i="53"/>
  <c r="Q13" i="53" s="1" a="1"/>
  <c r="Q13" i="53" s="1"/>
  <c r="C14" i="53"/>
  <c r="Q14" i="53" s="1" a="1"/>
  <c r="Q14" i="53" s="1"/>
  <c r="C15" i="53"/>
  <c r="Q15" i="53" s="1" a="1"/>
  <c r="Q15" i="53" s="1"/>
  <c r="C16" i="53"/>
  <c r="Q16" i="53" s="1" a="1"/>
  <c r="Q16" i="53" s="1"/>
  <c r="C17" i="53"/>
  <c r="Q17" i="53" s="1" a="1"/>
  <c r="Q17" i="53" s="1"/>
  <c r="C18" i="53"/>
  <c r="Q18" i="53" s="1" a="1"/>
  <c r="Q18" i="53" s="1"/>
  <c r="C19" i="53"/>
  <c r="Q19" i="53" s="1" a="1"/>
  <c r="Q19" i="53" s="1"/>
  <c r="C20" i="53"/>
  <c r="Q20" i="53" s="1" a="1"/>
  <c r="Q20" i="53" s="1"/>
  <c r="C21" i="53"/>
  <c r="Q21" i="53" s="1" a="1"/>
  <c r="Q21" i="53" s="1"/>
  <c r="C22" i="53"/>
  <c r="Q22" i="53" s="1" a="1"/>
  <c r="Q22" i="53" s="1"/>
  <c r="C23" i="53"/>
  <c r="Q23" i="53" s="1" a="1"/>
  <c r="Q23" i="53" s="1"/>
  <c r="C23" i="52"/>
  <c r="Q23" i="52" s="1" a="1"/>
  <c r="Q23" i="52" s="1"/>
  <c r="C22" i="52"/>
  <c r="Q22" i="52" s="1" a="1"/>
  <c r="Q22" i="52" s="1"/>
  <c r="C19" i="52"/>
  <c r="Q19" i="52" s="1" a="1"/>
  <c r="Q19" i="52" s="1"/>
  <c r="C17" i="52"/>
  <c r="Q17" i="52" s="1" a="1"/>
  <c r="Q17" i="52" s="1"/>
  <c r="C15" i="52"/>
  <c r="Q15" i="52" s="1" a="1"/>
  <c r="Q15" i="52" s="1"/>
  <c r="D3" i="53"/>
  <c r="C3" i="53" s="1"/>
  <c r="Q3" i="53" s="1" a="1"/>
  <c r="Q3" i="53" s="1"/>
  <c r="C21" i="52"/>
  <c r="Q21" i="52" s="1" a="1"/>
  <c r="Q21" i="52" s="1"/>
  <c r="C8" i="52"/>
  <c r="Q8" i="52" s="1" a="1"/>
  <c r="Q8" i="52" s="1"/>
  <c r="C11" i="52"/>
  <c r="Q11" i="52" s="1" a="1"/>
  <c r="Q11" i="52" s="1"/>
  <c r="C10" i="52"/>
  <c r="Q10" i="52" s="1" a="1"/>
  <c r="Q10" i="52" s="1"/>
  <c r="C9" i="52"/>
  <c r="Q9" i="52" s="1" a="1"/>
  <c r="Q9" i="52" s="1"/>
  <c r="C18" i="52"/>
  <c r="Q18" i="52" s="1" a="1"/>
  <c r="Q18" i="52" s="1"/>
  <c r="C16" i="52"/>
  <c r="Q16" i="52" s="1" a="1"/>
  <c r="Q16" i="52" s="1"/>
  <c r="C5" i="52"/>
  <c r="Q5" i="52" s="1" a="1"/>
  <c r="Q5" i="52" s="1"/>
  <c r="C24" i="52"/>
  <c r="Q24" i="52" s="1" a="1"/>
  <c r="Q24" i="52" s="1"/>
  <c r="C14" i="52"/>
  <c r="Q14" i="52" s="1" a="1"/>
  <c r="Q14" i="52" s="1"/>
  <c r="C20" i="52"/>
  <c r="Q20" i="52" s="1" a="1"/>
  <c r="Q20" i="52" s="1"/>
  <c r="D3" i="52"/>
  <c r="C3" i="52" s="1"/>
  <c r="Q3" i="52" s="1" a="1"/>
  <c r="Q3" i="52" s="1"/>
  <c r="C12" i="52"/>
  <c r="Q12" i="52" s="1" a="1"/>
  <c r="Q12" i="52" s="1"/>
  <c r="C6" i="52"/>
  <c r="Q6" i="52" s="1" a="1"/>
  <c r="Q6" i="52" s="1"/>
  <c r="C7" i="52"/>
  <c r="Q7" i="52" s="1" a="1"/>
  <c r="Q7" i="52" s="1"/>
  <c r="C4" i="52"/>
  <c r="Q4" i="52" s="1" a="1"/>
  <c r="Q4" i="52" s="1"/>
  <c r="C74" i="37"/>
  <c r="Q74" i="37" s="1" a="1"/>
  <c r="Q74" i="37" s="1"/>
  <c r="C73" i="37"/>
  <c r="Q73" i="37" s="1" a="1"/>
  <c r="Q73" i="37" s="1"/>
  <c r="C72" i="37"/>
  <c r="Q72" i="37" s="1" a="1"/>
  <c r="Q72" i="37" s="1"/>
  <c r="C74" i="39"/>
  <c r="Q74" i="39" s="1" a="1"/>
  <c r="Q74" i="39" s="1"/>
  <c r="C73" i="39"/>
  <c r="Q73" i="39" s="1" a="1"/>
  <c r="Q73" i="39" s="1"/>
  <c r="C72" i="39"/>
  <c r="Q72" i="39" s="1" a="1"/>
  <c r="Q72" i="39" s="1"/>
  <c r="C74" i="43"/>
  <c r="Q74" i="43" s="1" a="1"/>
  <c r="Q74" i="43" s="1"/>
  <c r="C72" i="43"/>
  <c r="Q72" i="43" s="1" a="1"/>
  <c r="Q72" i="43" s="1"/>
  <c r="C73" i="43"/>
  <c r="Q73" i="43" s="1" a="1"/>
  <c r="Q73" i="43" s="1"/>
  <c r="C73" i="40"/>
  <c r="Q73" i="40" s="1" a="1"/>
  <c r="Q73" i="40" s="1"/>
  <c r="C72" i="40"/>
  <c r="Q72" i="40" s="1" a="1"/>
  <c r="Q72" i="40" s="1"/>
  <c r="C74" i="40"/>
  <c r="Q74" i="40" s="1" a="1"/>
  <c r="Q74" i="40" s="1"/>
  <c r="C74" i="49"/>
  <c r="Q74" i="49" s="1" a="1"/>
  <c r="Q74" i="49" s="1"/>
  <c r="C73" i="49"/>
  <c r="Q73" i="49" s="1" a="1"/>
  <c r="Q73" i="49" s="1"/>
  <c r="C72" i="49"/>
  <c r="Q72" i="49" s="1" a="1"/>
  <c r="Q72" i="49" s="1"/>
  <c r="C72" i="38"/>
  <c r="Q72" i="38" s="1" a="1"/>
  <c r="Q72" i="38" s="1"/>
  <c r="C74" i="38"/>
  <c r="Q74" i="38" s="1" a="1"/>
  <c r="Q74" i="38" s="1"/>
  <c r="C73" i="38"/>
  <c r="Q73" i="38" s="1" a="1"/>
  <c r="Q73" i="38" s="1"/>
  <c r="C73" i="36"/>
  <c r="Q73" i="36" s="1" a="1"/>
  <c r="Q73" i="36" s="1"/>
  <c r="C74" i="36"/>
  <c r="Q74" i="36" s="1" a="1"/>
  <c r="Q74" i="36" s="1"/>
  <c r="C72" i="36"/>
  <c r="Q72" i="36" s="1" a="1"/>
  <c r="Q72" i="36" s="1"/>
  <c r="C72" i="41"/>
  <c r="Q72" i="41" s="1" a="1"/>
  <c r="Q72" i="41" s="1"/>
  <c r="C74" i="41"/>
  <c r="Q74" i="41" s="1" a="1"/>
  <c r="Q74" i="41" s="1"/>
  <c r="C73" i="41"/>
  <c r="Q73" i="41" s="1" a="1"/>
  <c r="Q73" i="41" s="1"/>
  <c r="C72" i="45"/>
  <c r="Q72" i="45" s="1" a="1"/>
  <c r="Q72" i="45" s="1"/>
  <c r="C73" i="45"/>
  <c r="Q73" i="45" s="1" a="1"/>
  <c r="Q73" i="45" s="1"/>
  <c r="C74" i="45"/>
  <c r="Q74" i="45" s="1" a="1"/>
  <c r="Q74" i="45" s="1"/>
  <c r="C74" i="46"/>
  <c r="Q74" i="46" s="1" a="1"/>
  <c r="Q74" i="46" s="1"/>
  <c r="C73" i="46"/>
  <c r="Q73" i="46" s="1" a="1"/>
  <c r="Q73" i="46" s="1"/>
  <c r="C72" i="46"/>
  <c r="Q72" i="46" s="1" a="1"/>
  <c r="Q72" i="46" s="1"/>
  <c r="C72" i="50"/>
  <c r="Q72" i="50" s="1" a="1"/>
  <c r="Q72" i="50" s="1"/>
  <c r="C73" i="50"/>
  <c r="Q73" i="50" s="1" a="1"/>
  <c r="Q73" i="50" s="1"/>
  <c r="C74" i="50"/>
  <c r="Q74" i="50" s="1" a="1"/>
  <c r="Q74" i="50" s="1"/>
  <c r="C73" i="42"/>
  <c r="Q73" i="42" s="1" a="1"/>
  <c r="Q73" i="42" s="1"/>
  <c r="C72" i="42"/>
  <c r="Q72" i="42" s="1" a="1"/>
  <c r="Q72" i="42" s="1"/>
  <c r="C74" i="42"/>
  <c r="Q74" i="42" s="1" a="1"/>
  <c r="Q74" i="42" s="1"/>
  <c r="C73" i="48"/>
  <c r="Q73" i="48" s="1" a="1"/>
  <c r="Q73" i="48" s="1"/>
  <c r="C74" i="48"/>
  <c r="Q74" i="48" s="1" a="1"/>
  <c r="Q74" i="48" s="1"/>
  <c r="C72" i="48"/>
  <c r="Q72" i="48" s="1" a="1"/>
  <c r="Q72" i="48" s="1"/>
  <c r="C74" i="44"/>
  <c r="Q74" i="44" s="1" a="1"/>
  <c r="Q74" i="44" s="1"/>
  <c r="C73" i="44"/>
  <c r="Q73" i="44" s="1" a="1"/>
  <c r="Q73" i="44" s="1"/>
  <c r="C72" i="44"/>
  <c r="Q72" i="44" s="1" a="1"/>
  <c r="Q72" i="44" s="1"/>
  <c r="C74" i="47"/>
  <c r="Q74" i="47" s="1" a="1"/>
  <c r="Q74" i="47" s="1"/>
  <c r="C73" i="47"/>
  <c r="Q73" i="47" s="1" a="1"/>
  <c r="Q73" i="47" s="1"/>
  <c r="C72" i="47"/>
  <c r="Q72" i="47" s="1" a="1"/>
  <c r="Q72" i="47" s="1"/>
  <c r="C72" i="31"/>
  <c r="Q72" i="31" s="1" a="1"/>
  <c r="Q72" i="31" s="1"/>
  <c r="C74" i="31"/>
  <c r="Q74" i="31" s="1" a="1"/>
  <c r="Q74" i="31" s="1"/>
  <c r="C73" i="31"/>
  <c r="Q73" i="31" s="1" a="1"/>
  <c r="Q73" i="31" s="1"/>
  <c r="C72" i="35"/>
  <c r="Q72" i="35" s="1" a="1"/>
  <c r="Q72" i="35" s="1"/>
  <c r="C73" i="35"/>
  <c r="Q73" i="35" s="1" a="1"/>
  <c r="Q73" i="35" s="1"/>
  <c r="C74" i="35"/>
  <c r="Q74" i="35" s="1" a="1"/>
  <c r="Q74" i="35" s="1"/>
  <c r="C66" i="39"/>
  <c r="Q66" i="39" s="1" a="1"/>
  <c r="Q66" i="39" s="1"/>
  <c r="C70" i="39"/>
  <c r="Q70" i="39" s="1" a="1"/>
  <c r="Q70" i="39" s="1"/>
  <c r="C69" i="39"/>
  <c r="Q69" i="39" s="1" a="1"/>
  <c r="Q69" i="39" s="1"/>
  <c r="C71" i="39"/>
  <c r="Q71" i="39" s="1" a="1"/>
  <c r="Q71" i="39" s="1"/>
  <c r="C68" i="43"/>
  <c r="Q68" i="43" s="1" a="1"/>
  <c r="Q68" i="43" s="1"/>
  <c r="C70" i="43"/>
  <c r="Q70" i="43" s="1" a="1"/>
  <c r="Q70" i="43" s="1"/>
  <c r="C69" i="43"/>
  <c r="Q69" i="43" s="1" a="1"/>
  <c r="Q69" i="43" s="1"/>
  <c r="C71" i="43"/>
  <c r="Q71" i="43" s="1" a="1"/>
  <c r="Q71" i="43" s="1"/>
  <c r="C66" i="40"/>
  <c r="Q66" i="40" s="1" a="1"/>
  <c r="Q66" i="40" s="1"/>
  <c r="C70" i="40"/>
  <c r="Q70" i="40" s="1" a="1"/>
  <c r="Q70" i="40" s="1"/>
  <c r="C69" i="40"/>
  <c r="Q69" i="40" s="1" a="1"/>
  <c r="Q69" i="40" s="1"/>
  <c r="C71" i="40"/>
  <c r="Q71" i="40" s="1" a="1"/>
  <c r="Q71" i="40" s="1"/>
  <c r="C68" i="45"/>
  <c r="Q68" i="45" s="1" a="1"/>
  <c r="Q68" i="45" s="1"/>
  <c r="C70" i="45"/>
  <c r="Q70" i="45" s="1" a="1"/>
  <c r="Q70" i="45" s="1"/>
  <c r="C69" i="45"/>
  <c r="Q69" i="45" s="1" a="1"/>
  <c r="Q69" i="45" s="1"/>
  <c r="C71" i="45"/>
  <c r="Q71" i="45" s="1" a="1"/>
  <c r="Q71" i="45" s="1"/>
  <c r="C67" i="38"/>
  <c r="Q67" i="38" s="1" a="1"/>
  <c r="Q67" i="38" s="1"/>
  <c r="C70" i="38"/>
  <c r="Q70" i="38" s="1" a="1"/>
  <c r="Q70" i="38" s="1"/>
  <c r="C69" i="38"/>
  <c r="Q69" i="38" s="1" a="1"/>
  <c r="Q69" i="38" s="1"/>
  <c r="C71" i="38"/>
  <c r="Q71" i="38" s="1" a="1"/>
  <c r="Q71" i="38" s="1"/>
  <c r="C42" i="36"/>
  <c r="Q42" i="36" s="1" a="1"/>
  <c r="Q42" i="36" s="1"/>
  <c r="C70" i="36"/>
  <c r="Q70" i="36" s="1" a="1"/>
  <c r="Q70" i="36" s="1"/>
  <c r="C69" i="36"/>
  <c r="Q69" i="36" s="1" a="1"/>
  <c r="Q69" i="36" s="1"/>
  <c r="C71" i="36"/>
  <c r="Q71" i="36" s="1" a="1"/>
  <c r="Q71" i="36" s="1"/>
  <c r="C51" i="48"/>
  <c r="Q51" i="48" s="1" a="1"/>
  <c r="Q51" i="48" s="1"/>
  <c r="C71" i="48"/>
  <c r="Q71" i="48" s="1" a="1"/>
  <c r="Q71" i="48" s="1"/>
  <c r="C70" i="48"/>
  <c r="Q70" i="48" s="1" a="1"/>
  <c r="Q70" i="48" s="1"/>
  <c r="C69" i="48"/>
  <c r="Q69" i="48" s="1" a="1"/>
  <c r="Q69" i="48" s="1"/>
  <c r="C10" i="37"/>
  <c r="Q10" i="37" s="1" a="1"/>
  <c r="Q10" i="37" s="1"/>
  <c r="C70" i="37"/>
  <c r="Q70" i="37" s="1" a="1"/>
  <c r="Q70" i="37" s="1"/>
  <c r="C69" i="37"/>
  <c r="Q69" i="37" s="1" a="1"/>
  <c r="Q69" i="37" s="1"/>
  <c r="C71" i="37"/>
  <c r="Q71" i="37" s="1" a="1"/>
  <c r="Q71" i="37" s="1"/>
  <c r="C12" i="50"/>
  <c r="Q12" i="50" s="1" a="1"/>
  <c r="Q12" i="50" s="1"/>
  <c r="C71" i="50"/>
  <c r="Q71" i="50" s="1" a="1"/>
  <c r="Q71" i="50" s="1"/>
  <c r="C70" i="50"/>
  <c r="Q70" i="50" s="1" a="1"/>
  <c r="Q70" i="50" s="1"/>
  <c r="C69" i="50"/>
  <c r="Q69" i="50" s="1" a="1"/>
  <c r="Q69" i="50" s="1"/>
  <c r="C66" i="46"/>
  <c r="Q66" i="46" s="1" a="1"/>
  <c r="Q66" i="46" s="1"/>
  <c r="C70" i="46"/>
  <c r="Q70" i="46" s="1" a="1"/>
  <c r="Q70" i="46" s="1"/>
  <c r="C69" i="46"/>
  <c r="Q69" i="46" s="1" a="1"/>
  <c r="Q69" i="46" s="1"/>
  <c r="C71" i="46"/>
  <c r="Q71" i="46" s="1" a="1"/>
  <c r="Q71" i="46" s="1"/>
  <c r="C6" i="42"/>
  <c r="Q6" i="42" s="1" a="1"/>
  <c r="Q6" i="42" s="1"/>
  <c r="C70" i="42"/>
  <c r="Q70" i="42" s="1" a="1"/>
  <c r="Q70" i="42" s="1"/>
  <c r="C69" i="42"/>
  <c r="Q69" i="42" s="1" a="1"/>
  <c r="Q69" i="42" s="1"/>
  <c r="C71" i="42"/>
  <c r="Q71" i="42" s="1" a="1"/>
  <c r="Q71" i="42" s="1"/>
  <c r="C15" i="49"/>
  <c r="Q15" i="49" s="1" a="1"/>
  <c r="Q15" i="49" s="1"/>
  <c r="C71" i="49"/>
  <c r="Q71" i="49" s="1" a="1"/>
  <c r="Q71" i="49" s="1"/>
  <c r="C70" i="49"/>
  <c r="Q70" i="49" s="1" a="1"/>
  <c r="Q70" i="49" s="1"/>
  <c r="C69" i="49"/>
  <c r="Q69" i="49" s="1" a="1"/>
  <c r="Q69" i="49" s="1"/>
  <c r="C26" i="44"/>
  <c r="Q26" i="44" s="1" a="1"/>
  <c r="Q26" i="44" s="1"/>
  <c r="C70" i="44"/>
  <c r="Q70" i="44" s="1" a="1"/>
  <c r="Q70" i="44" s="1"/>
  <c r="C69" i="44"/>
  <c r="Q69" i="44" s="1" a="1"/>
  <c r="Q69" i="44" s="1"/>
  <c r="C71" i="44"/>
  <c r="Q71" i="44" s="1" a="1"/>
  <c r="Q71" i="44" s="1"/>
  <c r="C67" i="41"/>
  <c r="Q67" i="41" s="1" a="1"/>
  <c r="Q67" i="41" s="1"/>
  <c r="C70" i="41"/>
  <c r="Q70" i="41" s="1" a="1"/>
  <c r="Q70" i="41" s="1"/>
  <c r="C69" i="41"/>
  <c r="Q69" i="41" s="1" a="1"/>
  <c r="Q69" i="41" s="1"/>
  <c r="C71" i="41"/>
  <c r="Q71" i="41" s="1" a="1"/>
  <c r="Q71" i="41" s="1"/>
  <c r="C68" i="31"/>
  <c r="Q68" i="31" s="1" a="1"/>
  <c r="Q68" i="31" s="1"/>
  <c r="C69" i="31"/>
  <c r="Q69" i="31" s="1" a="1"/>
  <c r="Q69" i="31" s="1"/>
  <c r="C70" i="31"/>
  <c r="Q70" i="31" s="1" a="1"/>
  <c r="Q70" i="31" s="1"/>
  <c r="C71" i="31"/>
  <c r="Q71" i="31" s="1" a="1"/>
  <c r="Q71" i="31" s="1"/>
  <c r="C50" i="47"/>
  <c r="Q50" i="47" s="1" a="1"/>
  <c r="Q50" i="47" s="1"/>
  <c r="C71" i="47"/>
  <c r="Q71" i="47" s="1" a="1"/>
  <c r="Q71" i="47" s="1"/>
  <c r="C70" i="47"/>
  <c r="Q70" i="47" s="1" a="1"/>
  <c r="Q70" i="47" s="1"/>
  <c r="C69" i="47"/>
  <c r="Q69" i="47" s="1" a="1"/>
  <c r="Q69" i="47" s="1"/>
  <c r="C68" i="35"/>
  <c r="Q68" i="35" s="1" a="1"/>
  <c r="Q68" i="35" s="1"/>
  <c r="C70" i="35"/>
  <c r="Q70" i="35" s="1" a="1"/>
  <c r="Q70" i="35" s="1"/>
  <c r="C69" i="35"/>
  <c r="Q69" i="35" s="1" a="1"/>
  <c r="Q69" i="35" s="1"/>
  <c r="C71" i="35"/>
  <c r="Q71" i="35" s="1" a="1"/>
  <c r="Q71" i="35" s="1"/>
  <c r="C61" i="35"/>
  <c r="Q61" i="35" s="1" a="1"/>
  <c r="Q61" i="35" s="1"/>
  <c r="C39" i="35"/>
  <c r="Q39" i="35" s="1" a="1"/>
  <c r="Q39" i="35" s="1"/>
  <c r="C37" i="35"/>
  <c r="Q37" i="35" s="1" a="1"/>
  <c r="Q37" i="35" s="1"/>
  <c r="C19" i="35"/>
  <c r="Q19" i="35" s="1" a="1"/>
  <c r="Q19" i="35" s="1"/>
  <c r="C62" i="35"/>
  <c r="Q62" i="35" s="1" a="1"/>
  <c r="Q62" i="35" s="1"/>
  <c r="C33" i="35"/>
  <c r="Q33" i="35" s="1" a="1"/>
  <c r="Q33" i="35" s="1"/>
  <c r="C12" i="35"/>
  <c r="Q12" i="35" s="1" a="1"/>
  <c r="Q12" i="35" s="1"/>
  <c r="C11" i="35"/>
  <c r="Q11" i="35" s="1" a="1"/>
  <c r="Q11" i="35" s="1"/>
  <c r="C8" i="35"/>
  <c r="Q8" i="35" s="1" a="1"/>
  <c r="Q8" i="35" s="1"/>
  <c r="C58" i="35"/>
  <c r="Q58" i="35" s="1" a="1"/>
  <c r="Q58" i="35" s="1"/>
  <c r="C54" i="35"/>
  <c r="Q54" i="35" s="1" a="1"/>
  <c r="Q54" i="35" s="1"/>
  <c r="C50" i="35"/>
  <c r="Q50" i="35" s="1" a="1"/>
  <c r="Q50" i="35" s="1"/>
  <c r="C20" i="31"/>
  <c r="Q20" i="31" s="1" a="1"/>
  <c r="Q20" i="31" s="1"/>
  <c r="C63" i="35"/>
  <c r="Q63" i="35" s="1" a="1"/>
  <c r="Q63" i="35" s="1"/>
  <c r="C34" i="35"/>
  <c r="Q34" i="35" s="1" a="1"/>
  <c r="Q34" i="35" s="1"/>
  <c r="C17" i="31"/>
  <c r="Q17" i="31" s="1" a="1"/>
  <c r="Q17" i="31" s="1"/>
  <c r="C60" i="35"/>
  <c r="Q60" i="35" s="1" a="1"/>
  <c r="Q60" i="35" s="1"/>
  <c r="C18" i="35"/>
  <c r="Q18" i="35" s="1" a="1"/>
  <c r="Q18" i="35" s="1"/>
  <c r="C12" i="31"/>
  <c r="Q12" i="31" s="1" a="1"/>
  <c r="Q12" i="31" s="1"/>
  <c r="C53" i="35"/>
  <c r="Q53" i="35" s="1" a="1"/>
  <c r="Q53" i="35" s="1"/>
  <c r="C64" i="31"/>
  <c r="Q64" i="31" s="1" a="1"/>
  <c r="Q64" i="31" s="1"/>
  <c r="C15" i="31"/>
  <c r="Q15" i="31" s="1" a="1"/>
  <c r="Q15" i="31" s="1"/>
  <c r="C59" i="35"/>
  <c r="Q59" i="35" s="1" a="1"/>
  <c r="Q59" i="35" s="1"/>
  <c r="C5" i="35"/>
  <c r="Q5" i="35" s="1" a="1"/>
  <c r="Q5" i="35" s="1"/>
  <c r="C13" i="31"/>
  <c r="Q13" i="31" s="1" a="1"/>
  <c r="Q13" i="31" s="1"/>
  <c r="C55" i="35"/>
  <c r="Q55" i="35" s="1" a="1"/>
  <c r="Q55" i="35" s="1"/>
  <c r="C47" i="35"/>
  <c r="Q47" i="35" s="1" a="1"/>
  <c r="Q47" i="35" s="1"/>
  <c r="C9" i="31"/>
  <c r="Q9" i="31" s="1" a="1"/>
  <c r="Q9" i="31" s="1"/>
  <c r="C36" i="35"/>
  <c r="Q36" i="35" s="1" a="1"/>
  <c r="Q36" i="35" s="1"/>
  <c r="C50" i="31"/>
  <c r="Q50" i="31" s="1" a="1"/>
  <c r="Q50" i="31" s="1"/>
  <c r="C16" i="35"/>
  <c r="Q16" i="35" s="1" a="1"/>
  <c r="Q16" i="35" s="1"/>
  <c r="C38" i="35"/>
  <c r="Q38" i="35" s="1" a="1"/>
  <c r="Q38" i="35" s="1"/>
  <c r="C18" i="31"/>
  <c r="Q18" i="31" s="1" a="1"/>
  <c r="Q18" i="31" s="1"/>
  <c r="C27" i="35"/>
  <c r="Q27" i="35" s="1" a="1"/>
  <c r="Q27" i="35" s="1"/>
  <c r="C5" i="31"/>
  <c r="Q5" i="31" s="1" a="1"/>
  <c r="Q5" i="31" s="1"/>
  <c r="C25" i="35"/>
  <c r="Q25" i="35" s="1" a="1"/>
  <c r="Q25" i="35" s="1"/>
  <c r="C19" i="31"/>
  <c r="Q19" i="31" s="1" a="1"/>
  <c r="Q19" i="31" s="1"/>
  <c r="C21" i="35"/>
  <c r="Q21" i="35" s="1" a="1"/>
  <c r="Q21" i="35" s="1"/>
  <c r="C16" i="31"/>
  <c r="Q16" i="31" s="1" a="1"/>
  <c r="Q16" i="31" s="1"/>
  <c r="C48" i="35"/>
  <c r="Q48" i="35" s="1" a="1"/>
  <c r="Q48" i="35" s="1"/>
  <c r="C14" i="31"/>
  <c r="Q14" i="31" s="1" a="1"/>
  <c r="Q14" i="31" s="1"/>
  <c r="C26" i="35"/>
  <c r="Q26" i="35" s="1" a="1"/>
  <c r="Q26" i="35" s="1"/>
  <c r="C10" i="31"/>
  <c r="Q10" i="31" s="1" a="1"/>
  <c r="Q10" i="31" s="1"/>
  <c r="C23" i="35"/>
  <c r="Q23" i="35" s="1" a="1"/>
  <c r="Q23" i="35" s="1"/>
  <c r="C64" i="35"/>
  <c r="Q64" i="35" s="1" a="1"/>
  <c r="Q64" i="35" s="1"/>
  <c r="C22" i="35"/>
  <c r="Q22" i="35" s="1" a="1"/>
  <c r="Q22" i="35" s="1"/>
  <c r="C23" i="31"/>
  <c r="Q23" i="31" s="1" a="1"/>
  <c r="Q23" i="31" s="1"/>
  <c r="C44" i="35"/>
  <c r="Q44" i="35" s="1" a="1"/>
  <c r="Q44" i="35" s="1"/>
  <c r="C10" i="35"/>
  <c r="Q10" i="35" s="1" a="1"/>
  <c r="Q10" i="35" s="1"/>
  <c r="C62" i="31"/>
  <c r="Q62" i="31" s="1" a="1"/>
  <c r="Q62" i="31" s="1"/>
  <c r="C22" i="31"/>
  <c r="Q22" i="31" s="1" a="1"/>
  <c r="Q22" i="31" s="1"/>
  <c r="C41" i="35"/>
  <c r="Q41" i="35" s="1" a="1"/>
  <c r="Q41" i="35" s="1"/>
  <c r="D3" i="35"/>
  <c r="C3" i="35" s="1"/>
  <c r="Q3" i="35" s="1" a="1"/>
  <c r="Q3" i="35" s="1"/>
  <c r="C45" i="31"/>
  <c r="Q45" i="31" s="1" a="1"/>
  <c r="Q45" i="31" s="1"/>
  <c r="C7" i="31"/>
  <c r="Q7" i="31" s="1" a="1"/>
  <c r="Q7" i="31" s="1"/>
  <c r="C26" i="31"/>
  <c r="Q26" i="31" s="1" a="1"/>
  <c r="Q26" i="31" s="1"/>
  <c r="C56" i="35"/>
  <c r="Q56" i="35" s="1" a="1"/>
  <c r="Q56" i="35" s="1"/>
  <c r="C15" i="35"/>
  <c r="Q15" i="35" s="1" a="1"/>
  <c r="Q15" i="35" s="1"/>
  <c r="C45" i="35"/>
  <c r="Q45" i="35" s="1" a="1"/>
  <c r="Q45" i="35" s="1"/>
  <c r="C29" i="31"/>
  <c r="Q29" i="31" s="1" a="1"/>
  <c r="Q29" i="31" s="1"/>
  <c r="C51" i="35"/>
  <c r="Q51" i="35" s="1" a="1"/>
  <c r="Q51" i="35" s="1"/>
  <c r="C57" i="35"/>
  <c r="Q57" i="35" s="1" a="1"/>
  <c r="Q57" i="35" s="1"/>
  <c r="C42" i="35"/>
  <c r="Q42" i="35" s="1" a="1"/>
  <c r="Q42" i="35" s="1"/>
  <c r="C27" i="31"/>
  <c r="Q27" i="31" s="1" a="1"/>
  <c r="Q27" i="31" s="1"/>
  <c r="C49" i="35"/>
  <c r="Q49" i="35" s="1" a="1"/>
  <c r="Q49" i="35" s="1"/>
  <c r="C40" i="35"/>
  <c r="Q40" i="35" s="1" a="1"/>
  <c r="Q40" i="35" s="1"/>
  <c r="C31" i="35"/>
  <c r="Q31" i="35" s="1" a="1"/>
  <c r="Q31" i="35" s="1"/>
  <c r="C38" i="31"/>
  <c r="Q38" i="31" s="1" a="1"/>
  <c r="Q38" i="31" s="1"/>
  <c r="C61" i="31"/>
  <c r="Q61" i="31" s="1" a="1"/>
  <c r="Q61" i="31" s="1"/>
  <c r="C49" i="31"/>
  <c r="Q49" i="31" s="1" a="1"/>
  <c r="Q49" i="31" s="1"/>
  <c r="C41" i="31"/>
  <c r="Q41" i="31" s="1" a="1"/>
  <c r="Q41" i="31" s="1"/>
  <c r="C31" i="31"/>
  <c r="Q31" i="31" s="1" a="1"/>
  <c r="Q31" i="31" s="1"/>
  <c r="C60" i="31"/>
  <c r="Q60" i="31" s="1" a="1"/>
  <c r="Q60" i="31" s="1"/>
  <c r="C32" i="31"/>
  <c r="Q32" i="31" s="1" a="1"/>
  <c r="Q32" i="31" s="1"/>
  <c r="C65" i="31"/>
  <c r="Q65" i="31" s="1" a="1"/>
  <c r="Q65" i="31" s="1"/>
  <c r="C43" i="31"/>
  <c r="Q43" i="31" s="1" a="1"/>
  <c r="Q43" i="31" s="1"/>
  <c r="C57" i="31"/>
  <c r="Q57" i="31" s="1" a="1"/>
  <c r="Q57" i="31" s="1"/>
  <c r="C58" i="31"/>
  <c r="Q58" i="31" s="1" a="1"/>
  <c r="Q58" i="31" s="1"/>
  <c r="C11" i="31"/>
  <c r="Q11" i="31" s="1" a="1"/>
  <c r="Q11" i="31" s="1"/>
  <c r="C28" i="35"/>
  <c r="Q28" i="35" s="1" a="1"/>
  <c r="Q28" i="35" s="1"/>
  <c r="C4" i="35"/>
  <c r="Q4" i="35" s="1" a="1"/>
  <c r="Q4" i="35" s="1"/>
  <c r="C43" i="35"/>
  <c r="Q43" i="35" s="1" a="1"/>
  <c r="Q43" i="35" s="1"/>
  <c r="C56" i="31"/>
  <c r="Q56" i="31" s="1" a="1"/>
  <c r="Q56" i="31" s="1"/>
  <c r="C51" i="31"/>
  <c r="Q51" i="31" s="1" a="1"/>
  <c r="Q51" i="31" s="1"/>
  <c r="C4" i="31"/>
  <c r="Q4" i="31" s="1" a="1"/>
  <c r="Q4" i="31" s="1"/>
  <c r="C13" i="35"/>
  <c r="Q13" i="35" s="1" a="1"/>
  <c r="Q13" i="35" s="1"/>
  <c r="C52" i="35"/>
  <c r="Q52" i="35" s="1" a="1"/>
  <c r="Q52" i="35" s="1"/>
  <c r="C32" i="35"/>
  <c r="Q32" i="35" s="1" a="1"/>
  <c r="Q32" i="35" s="1"/>
  <c r="C44" i="31"/>
  <c r="Q44" i="31" s="1" a="1"/>
  <c r="Q44" i="31" s="1"/>
  <c r="C39" i="31"/>
  <c r="Q39" i="31" s="1" a="1"/>
  <c r="Q39" i="31" s="1"/>
  <c r="C25" i="31"/>
  <c r="Q25" i="31" s="1" a="1"/>
  <c r="Q25" i="31" s="1"/>
  <c r="C65" i="35"/>
  <c r="Q65" i="35" s="1" a="1"/>
  <c r="Q65" i="35" s="1"/>
  <c r="C29" i="35"/>
  <c r="Q29" i="35" s="1" a="1"/>
  <c r="Q29" i="35" s="1"/>
  <c r="C14" i="35"/>
  <c r="Q14" i="35" s="1" a="1"/>
  <c r="Q14" i="35" s="1"/>
  <c r="C40" i="31"/>
  <c r="Q40" i="31" s="1" a="1"/>
  <c r="Q40" i="31" s="1"/>
  <c r="C36" i="31"/>
  <c r="Q36" i="31" s="1" a="1"/>
  <c r="Q36" i="31" s="1"/>
  <c r="C47" i="31"/>
  <c r="Q47" i="31" s="1" a="1"/>
  <c r="Q47" i="31" s="1"/>
  <c r="C37" i="31"/>
  <c r="Q37" i="31" s="1" a="1"/>
  <c r="Q37" i="31" s="1"/>
  <c r="C35" i="31"/>
  <c r="Q35" i="31" s="1" a="1"/>
  <c r="Q35" i="31" s="1"/>
  <c r="C30" i="31"/>
  <c r="Q30" i="31" s="1" a="1"/>
  <c r="Q30" i="31" s="1"/>
  <c r="C24" i="35"/>
  <c r="Q24" i="35" s="1" a="1"/>
  <c r="Q24" i="35" s="1"/>
  <c r="C46" i="35"/>
  <c r="Q46" i="35" s="1" a="1"/>
  <c r="Q46" i="35" s="1"/>
  <c r="C35" i="35"/>
  <c r="Q35" i="35" s="1" a="1"/>
  <c r="Q35" i="35" s="1"/>
  <c r="C53" i="31"/>
  <c r="Q53" i="31" s="1" a="1"/>
  <c r="Q53" i="31" s="1"/>
  <c r="D3" i="31"/>
  <c r="C3" i="31" s="1"/>
  <c r="Q3" i="31" s="1" a="1"/>
  <c r="Q3" i="31" s="1"/>
  <c r="C28" i="31"/>
  <c r="Q28" i="31" s="1" a="1"/>
  <c r="Q28" i="31" s="1"/>
  <c r="C17" i="35"/>
  <c r="Q17" i="35" s="1" a="1"/>
  <c r="Q17" i="35" s="1"/>
  <c r="C20" i="35"/>
  <c r="Q20" i="35" s="1" a="1"/>
  <c r="Q20" i="35" s="1"/>
  <c r="C30" i="35"/>
  <c r="Q30" i="35" s="1" a="1"/>
  <c r="Q30" i="35" s="1"/>
  <c r="C46" i="31"/>
  <c r="Q46" i="31" s="1" a="1"/>
  <c r="Q46" i="31" s="1"/>
  <c r="C66" i="35"/>
  <c r="Q66" i="35" s="1" a="1"/>
  <c r="Q66" i="35" s="1"/>
  <c r="C59" i="31"/>
  <c r="Q59" i="31" s="1" a="1"/>
  <c r="Q59" i="31" s="1"/>
  <c r="C8" i="31"/>
  <c r="Q8" i="31" s="1" a="1"/>
  <c r="Q8" i="31" s="1"/>
  <c r="C24" i="31"/>
  <c r="Q24" i="31" s="1" a="1"/>
  <c r="Q24" i="31" s="1"/>
  <c r="C67" i="35"/>
  <c r="Q67" i="35" s="1" a="1"/>
  <c r="Q67" i="35" s="1"/>
  <c r="C6" i="31"/>
  <c r="Q6" i="31" s="1" a="1"/>
  <c r="Q6" i="31" s="1"/>
  <c r="C21" i="31"/>
  <c r="Q21" i="31" s="1" a="1"/>
  <c r="Q21" i="31" s="1"/>
  <c r="C9" i="35"/>
  <c r="Q9" i="35" s="1" a="1"/>
  <c r="Q9" i="35" s="1"/>
  <c r="C7" i="35"/>
  <c r="Q7" i="35" s="1" a="1"/>
  <c r="Q7" i="35" s="1"/>
  <c r="C6" i="35"/>
  <c r="Q6" i="35" s="1" a="1"/>
  <c r="Q6" i="35" s="1"/>
  <c r="C48" i="31"/>
  <c r="Q48" i="31" s="1" a="1"/>
  <c r="Q48" i="31" s="1"/>
  <c r="C63" i="31"/>
  <c r="Q63" i="31" s="1" a="1"/>
  <c r="Q63" i="31" s="1"/>
  <c r="C54" i="31"/>
  <c r="Q54" i="31" s="1" a="1"/>
  <c r="Q54" i="31" s="1"/>
  <c r="C34" i="31"/>
  <c r="Q34" i="31" s="1" a="1"/>
  <c r="Q34" i="31" s="1"/>
  <c r="C66" i="31"/>
  <c r="Q66" i="31" s="1" a="1"/>
  <c r="Q66" i="31" s="1"/>
  <c r="C33" i="31"/>
  <c r="Q33" i="31" s="1" a="1"/>
  <c r="Q33" i="31" s="1"/>
  <c r="C55" i="31"/>
  <c r="Q55" i="31" s="1" a="1"/>
  <c r="Q55" i="31" s="1"/>
  <c r="C42" i="31"/>
  <c r="Q42" i="31" s="1" a="1"/>
  <c r="Q42" i="31" s="1"/>
  <c r="C67" i="31"/>
  <c r="Q67" i="31" s="1" a="1"/>
  <c r="Q67" i="31" s="1"/>
  <c r="C52" i="31"/>
  <c r="Q52" i="31" s="1" a="1"/>
  <c r="Q52" i="31" s="1"/>
  <c r="C53" i="44"/>
  <c r="Q53" i="44" s="1" a="1"/>
  <c r="Q53" i="44" s="1"/>
  <c r="C65" i="44"/>
  <c r="Q65" i="44" s="1" a="1"/>
  <c r="Q65" i="44" s="1"/>
  <c r="C39" i="44"/>
  <c r="Q39" i="44" s="1" a="1"/>
  <c r="Q39" i="44" s="1"/>
  <c r="C56" i="44"/>
  <c r="Q56" i="44" s="1" a="1"/>
  <c r="Q56" i="44" s="1"/>
  <c r="C54" i="44"/>
  <c r="Q54" i="44" s="1" a="1"/>
  <c r="Q54" i="44" s="1"/>
  <c r="C19" i="42"/>
  <c r="Q19" i="42" s="1" a="1"/>
  <c r="Q19" i="42" s="1"/>
  <c r="C60" i="44"/>
  <c r="Q60" i="44" s="1" a="1"/>
  <c r="Q60" i="44" s="1"/>
  <c r="C63" i="44"/>
  <c r="Q63" i="44" s="1" a="1"/>
  <c r="Q63" i="44" s="1"/>
  <c r="C18" i="42"/>
  <c r="Q18" i="42" s="1" a="1"/>
  <c r="Q18" i="42" s="1"/>
  <c r="C31" i="44"/>
  <c r="Q31" i="44" s="1" a="1"/>
  <c r="Q31" i="44" s="1"/>
  <c r="C11" i="44"/>
  <c r="Q11" i="44" s="1" a="1"/>
  <c r="Q11" i="44" s="1"/>
  <c r="C21" i="44"/>
  <c r="Q21" i="44" s="1" a="1"/>
  <c r="Q21" i="44" s="1"/>
  <c r="C44" i="42"/>
  <c r="Q44" i="42" s="1" a="1"/>
  <c r="Q44" i="42" s="1"/>
  <c r="C41" i="44"/>
  <c r="Q41" i="44" s="1" a="1"/>
  <c r="Q41" i="44" s="1"/>
  <c r="C20" i="44"/>
  <c r="Q20" i="44" s="1" a="1"/>
  <c r="Q20" i="44" s="1"/>
  <c r="C13" i="44"/>
  <c r="Q13" i="44" s="1" a="1"/>
  <c r="Q13" i="44" s="1"/>
  <c r="C59" i="44"/>
  <c r="Q59" i="44" s="1" a="1"/>
  <c r="Q59" i="44" s="1"/>
  <c r="C32" i="44"/>
  <c r="Q32" i="44" s="1" a="1"/>
  <c r="Q32" i="44" s="1"/>
  <c r="C57" i="44"/>
  <c r="Q57" i="44" s="1" a="1"/>
  <c r="Q57" i="44" s="1"/>
  <c r="C33" i="44"/>
  <c r="Q33" i="44" s="1" a="1"/>
  <c r="Q33" i="44" s="1"/>
  <c r="C22" i="44"/>
  <c r="Q22" i="44" s="1" a="1"/>
  <c r="Q22" i="44" s="1"/>
  <c r="C6" i="44"/>
  <c r="Q6" i="44" s="1" a="1"/>
  <c r="Q6" i="44" s="1"/>
  <c r="C38" i="42"/>
  <c r="Q38" i="42" s="1" a="1"/>
  <c r="Q38" i="42" s="1"/>
  <c r="C57" i="42"/>
  <c r="Q57" i="42" s="1" a="1"/>
  <c r="Q57" i="42" s="1"/>
  <c r="C33" i="42"/>
  <c r="Q33" i="42" s="1" a="1"/>
  <c r="Q33" i="42" s="1"/>
  <c r="C24" i="42"/>
  <c r="Q24" i="42" s="1" a="1"/>
  <c r="Q24" i="42" s="1"/>
  <c r="C48" i="44"/>
  <c r="Q48" i="44" s="1" a="1"/>
  <c r="Q48" i="44" s="1"/>
  <c r="C15" i="42"/>
  <c r="Q15" i="42" s="1" a="1"/>
  <c r="Q15" i="42" s="1"/>
  <c r="C49" i="44"/>
  <c r="Q49" i="44" s="1" a="1"/>
  <c r="Q49" i="44" s="1"/>
  <c r="C4" i="42"/>
  <c r="Q4" i="42" s="1" a="1"/>
  <c r="Q4" i="42" s="1"/>
  <c r="C54" i="42"/>
  <c r="Q54" i="42" s="1" a="1"/>
  <c r="Q54" i="42" s="1"/>
  <c r="C55" i="42"/>
  <c r="Q55" i="42" s="1" a="1"/>
  <c r="Q55" i="42" s="1"/>
  <c r="C45" i="44"/>
  <c r="Q45" i="44" s="1" a="1"/>
  <c r="Q45" i="44" s="1"/>
  <c r="C10" i="44"/>
  <c r="Q10" i="44" s="1" a="1"/>
  <c r="Q10" i="44" s="1"/>
  <c r="C56" i="46"/>
  <c r="Q56" i="46" s="1" a="1"/>
  <c r="Q56" i="46" s="1"/>
  <c r="C12" i="42"/>
  <c r="Q12" i="42" s="1" a="1"/>
  <c r="Q12" i="42" s="1"/>
  <c r="C35" i="42"/>
  <c r="Q35" i="42" s="1" a="1"/>
  <c r="Q35" i="42" s="1"/>
  <c r="C7" i="42"/>
  <c r="Q7" i="42" s="1" a="1"/>
  <c r="Q7" i="42" s="1"/>
  <c r="C48" i="42"/>
  <c r="Q48" i="42" s="1" a="1"/>
  <c r="Q48" i="42" s="1"/>
  <c r="C42" i="42"/>
  <c r="Q42" i="42" s="1" a="1"/>
  <c r="Q42" i="42" s="1"/>
  <c r="C47" i="44"/>
  <c r="Q47" i="44" s="1" a="1"/>
  <c r="Q47" i="44" s="1"/>
  <c r="C50" i="44"/>
  <c r="Q50" i="44" s="1" a="1"/>
  <c r="Q50" i="44" s="1"/>
  <c r="C8" i="42"/>
  <c r="Q8" i="42" s="1" a="1"/>
  <c r="Q8" i="42" s="1"/>
  <c r="C61" i="42"/>
  <c r="Q61" i="42" s="1" a="1"/>
  <c r="Q61" i="42" s="1"/>
  <c r="C49" i="42"/>
  <c r="Q49" i="42" s="1" a="1"/>
  <c r="Q49" i="42" s="1"/>
  <c r="C20" i="42"/>
  <c r="Q20" i="42" s="1" a="1"/>
  <c r="Q20" i="42" s="1"/>
  <c r="D3" i="44"/>
  <c r="C3" i="44" s="1"/>
  <c r="Q3" i="44" s="1" a="1"/>
  <c r="Q3" i="44" s="1"/>
  <c r="C14" i="44"/>
  <c r="Q14" i="44" s="1" a="1"/>
  <c r="Q14" i="44" s="1"/>
  <c r="C46" i="42"/>
  <c r="Q46" i="42" s="1" a="1"/>
  <c r="Q46" i="42" s="1"/>
  <c r="C58" i="42"/>
  <c r="Q58" i="42" s="1" a="1"/>
  <c r="Q58" i="42" s="1"/>
  <c r="C19" i="44"/>
  <c r="Q19" i="44" s="1" a="1"/>
  <c r="Q19" i="44" s="1"/>
  <c r="C52" i="42"/>
  <c r="Q52" i="42" s="1" a="1"/>
  <c r="Q52" i="42" s="1"/>
  <c r="C23" i="42"/>
  <c r="Q23" i="42" s="1" a="1"/>
  <c r="Q23" i="42" s="1"/>
  <c r="C61" i="44"/>
  <c r="Q61" i="44" s="1" a="1"/>
  <c r="Q61" i="44" s="1"/>
  <c r="C68" i="44"/>
  <c r="Q68" i="44" s="1" a="1"/>
  <c r="Q68" i="44" s="1"/>
  <c r="C57" i="37"/>
  <c r="Q57" i="37" s="1" a="1"/>
  <c r="Q57" i="37" s="1"/>
  <c r="C48" i="37"/>
  <c r="Q48" i="37" s="1" a="1"/>
  <c r="Q48" i="37" s="1"/>
  <c r="C25" i="42"/>
  <c r="Q25" i="42" s="1" a="1"/>
  <c r="Q25" i="42" s="1"/>
  <c r="C40" i="44"/>
  <c r="Q40" i="44" s="1" a="1"/>
  <c r="Q40" i="44" s="1"/>
  <c r="C64" i="42"/>
  <c r="Q64" i="42" s="1" a="1"/>
  <c r="Q64" i="42" s="1"/>
  <c r="C26" i="42"/>
  <c r="Q26" i="42" s="1" a="1"/>
  <c r="Q26" i="42" s="1"/>
  <c r="C40" i="42"/>
  <c r="Q40" i="42" s="1" a="1"/>
  <c r="Q40" i="42" s="1"/>
  <c r="C39" i="37"/>
  <c r="Q39" i="37" s="1" a="1"/>
  <c r="Q39" i="37" s="1"/>
  <c r="C22" i="37"/>
  <c r="Q22" i="37" s="1" a="1"/>
  <c r="Q22" i="37" s="1"/>
  <c r="C49" i="37"/>
  <c r="Q49" i="37" s="1" a="1"/>
  <c r="Q49" i="37" s="1"/>
  <c r="C53" i="37"/>
  <c r="Q53" i="37" s="1" a="1"/>
  <c r="Q53" i="37" s="1"/>
  <c r="C8" i="37"/>
  <c r="Q8" i="37" s="1" a="1"/>
  <c r="Q8" i="37" s="1"/>
  <c r="C7" i="37"/>
  <c r="Q7" i="37" s="1" a="1"/>
  <c r="Q7" i="37" s="1"/>
  <c r="C21" i="37"/>
  <c r="Q21" i="37" s="1" a="1"/>
  <c r="Q21" i="37" s="1"/>
  <c r="C35" i="46"/>
  <c r="Q35" i="46" s="1" a="1"/>
  <c r="Q35" i="46" s="1"/>
  <c r="C28" i="46"/>
  <c r="Q28" i="46" s="1" a="1"/>
  <c r="Q28" i="46" s="1"/>
  <c r="C33" i="37"/>
  <c r="Q33" i="37" s="1" a="1"/>
  <c r="Q33" i="37" s="1"/>
  <c r="C29" i="37"/>
  <c r="Q29" i="37" s="1" a="1"/>
  <c r="Q29" i="37" s="1"/>
  <c r="C28" i="37"/>
  <c r="Q28" i="37" s="1" a="1"/>
  <c r="Q28" i="37" s="1"/>
  <c r="C27" i="37"/>
  <c r="Q27" i="37" s="1" a="1"/>
  <c r="Q27" i="37" s="1"/>
  <c r="C60" i="42"/>
  <c r="Q60" i="42" s="1" a="1"/>
  <c r="Q60" i="42" s="1"/>
  <c r="C14" i="42"/>
  <c r="Q14" i="42" s="1" a="1"/>
  <c r="Q14" i="42" s="1"/>
  <c r="C5" i="44"/>
  <c r="Q5" i="44" s="1" a="1"/>
  <c r="Q5" i="44" s="1"/>
  <c r="C12" i="44"/>
  <c r="Q12" i="44" s="1" a="1"/>
  <c r="Q12" i="44" s="1"/>
  <c r="C43" i="42"/>
  <c r="Q43" i="42" s="1" a="1"/>
  <c r="Q43" i="42" s="1"/>
  <c r="C46" i="44"/>
  <c r="Q46" i="44" s="1" a="1"/>
  <c r="Q46" i="44" s="1"/>
  <c r="C64" i="44"/>
  <c r="Q64" i="44" s="1" a="1"/>
  <c r="Q64" i="44" s="1"/>
  <c r="C51" i="44"/>
  <c r="Q51" i="44" s="1" a="1"/>
  <c r="Q51" i="44" s="1"/>
  <c r="C32" i="42"/>
  <c r="Q32" i="42" s="1" a="1"/>
  <c r="Q32" i="42" s="1"/>
  <c r="C34" i="44"/>
  <c r="Q34" i="44" s="1" a="1"/>
  <c r="Q34" i="44" s="1"/>
  <c r="C30" i="44"/>
  <c r="Q30" i="44" s="1" a="1"/>
  <c r="Q30" i="44" s="1"/>
  <c r="C57" i="46"/>
  <c r="Q57" i="46" s="1" a="1"/>
  <c r="Q57" i="46" s="1"/>
  <c r="C36" i="42"/>
  <c r="Q36" i="42" s="1" a="1"/>
  <c r="Q36" i="42" s="1"/>
  <c r="C16" i="42"/>
  <c r="Q16" i="42" s="1" a="1"/>
  <c r="Q16" i="42" s="1"/>
  <c r="C37" i="44"/>
  <c r="Q37" i="44" s="1" a="1"/>
  <c r="Q37" i="44" s="1"/>
  <c r="C18" i="44"/>
  <c r="Q18" i="44" s="1" a="1"/>
  <c r="Q18" i="44" s="1"/>
  <c r="C45" i="46"/>
  <c r="Q45" i="46" s="1" a="1"/>
  <c r="Q45" i="46" s="1"/>
  <c r="C29" i="42"/>
  <c r="Q29" i="42" s="1" a="1"/>
  <c r="Q29" i="42" s="1"/>
  <c r="C9" i="42"/>
  <c r="Q9" i="42" s="1" a="1"/>
  <c r="Q9" i="42" s="1"/>
  <c r="C36" i="44"/>
  <c r="Q36" i="44" s="1" a="1"/>
  <c r="Q36" i="44" s="1"/>
  <c r="C23" i="44"/>
  <c r="Q23" i="44" s="1" a="1"/>
  <c r="Q23" i="44" s="1"/>
  <c r="C50" i="46"/>
  <c r="Q50" i="46" s="1" a="1"/>
  <c r="Q50" i="46" s="1"/>
  <c r="C18" i="36"/>
  <c r="Q18" i="36" s="1" a="1"/>
  <c r="Q18" i="36" s="1"/>
  <c r="C19" i="37"/>
  <c r="Q19" i="37" s="1" a="1"/>
  <c r="Q19" i="37" s="1"/>
  <c r="C56" i="37"/>
  <c r="Q56" i="37" s="1" a="1"/>
  <c r="Q56" i="37" s="1"/>
  <c r="C58" i="37"/>
  <c r="Q58" i="37" s="1" a="1"/>
  <c r="Q58" i="37" s="1"/>
  <c r="C42" i="37"/>
  <c r="Q42" i="37" s="1" a="1"/>
  <c r="Q42" i="37" s="1"/>
  <c r="C63" i="37"/>
  <c r="Q63" i="37" s="1" a="1"/>
  <c r="Q63" i="37" s="1"/>
  <c r="C30" i="36"/>
  <c r="Q30" i="36" s="1" a="1"/>
  <c r="Q30" i="36" s="1"/>
  <c r="C60" i="36"/>
  <c r="Q60" i="36" s="1" a="1"/>
  <c r="Q60" i="36" s="1"/>
  <c r="C59" i="36"/>
  <c r="Q59" i="36" s="1" a="1"/>
  <c r="Q59" i="36" s="1"/>
  <c r="C19" i="39"/>
  <c r="Q19" i="39" s="1" a="1"/>
  <c r="Q19" i="39" s="1"/>
  <c r="C14" i="43"/>
  <c r="Q14" i="43" s="1" a="1"/>
  <c r="Q14" i="43" s="1"/>
  <c r="C43" i="37"/>
  <c r="Q43" i="37" s="1" a="1"/>
  <c r="Q43" i="37" s="1"/>
  <c r="C31" i="36"/>
  <c r="Q31" i="36" s="1" a="1"/>
  <c r="Q31" i="36" s="1"/>
  <c r="C62" i="42"/>
  <c r="Q62" i="42" s="1" a="1"/>
  <c r="Q62" i="42" s="1"/>
  <c r="C17" i="42"/>
  <c r="Q17" i="42" s="1" a="1"/>
  <c r="Q17" i="42" s="1"/>
  <c r="C42" i="44"/>
  <c r="Q42" i="44" s="1" a="1"/>
  <c r="Q42" i="44" s="1"/>
  <c r="C7" i="44"/>
  <c r="Q7" i="44" s="1" a="1"/>
  <c r="Q7" i="44" s="1"/>
  <c r="C66" i="42"/>
  <c r="Q66" i="42" s="1" a="1"/>
  <c r="Q66" i="42" s="1"/>
  <c r="C54" i="43"/>
  <c r="Q54" i="43" s="1" a="1"/>
  <c r="Q54" i="43" s="1"/>
  <c r="C40" i="43"/>
  <c r="Q40" i="43" s="1" a="1"/>
  <c r="Q40" i="43" s="1"/>
  <c r="C21" i="43"/>
  <c r="Q21" i="43" s="1" a="1"/>
  <c r="Q21" i="43" s="1"/>
  <c r="C9" i="37"/>
  <c r="Q9" i="37" s="1" a="1"/>
  <c r="Q9" i="37" s="1"/>
  <c r="C21" i="42"/>
  <c r="Q21" i="42" s="1" a="1"/>
  <c r="Q21" i="42" s="1"/>
  <c r="C11" i="42"/>
  <c r="Q11" i="42" s="1" a="1"/>
  <c r="Q11" i="42" s="1"/>
  <c r="C38" i="44"/>
  <c r="Q38" i="44" s="1" a="1"/>
  <c r="Q38" i="44" s="1"/>
  <c r="C27" i="44"/>
  <c r="Q27" i="44" s="1" a="1"/>
  <c r="Q27" i="44" s="1"/>
  <c r="C4" i="44"/>
  <c r="Q4" i="44" s="1" a="1"/>
  <c r="Q4" i="44" s="1"/>
  <c r="C67" i="42"/>
  <c r="Q67" i="42" s="1" a="1"/>
  <c r="Q67" i="42" s="1"/>
  <c r="C47" i="46"/>
  <c r="Q47" i="46" s="1" a="1"/>
  <c r="Q47" i="46" s="1"/>
  <c r="C65" i="46"/>
  <c r="Q65" i="46" s="1" a="1"/>
  <c r="Q65" i="46" s="1"/>
  <c r="C29" i="43"/>
  <c r="Q29" i="43" s="1" a="1"/>
  <c r="Q29" i="43" s="1"/>
  <c r="C60" i="46"/>
  <c r="Q60" i="46" s="1" a="1"/>
  <c r="Q60" i="46" s="1"/>
  <c r="C20" i="46"/>
  <c r="Q20" i="46" s="1" a="1"/>
  <c r="Q20" i="46" s="1"/>
  <c r="C26" i="43"/>
  <c r="Q26" i="43" s="1" a="1"/>
  <c r="Q26" i="43" s="1"/>
  <c r="C4" i="46"/>
  <c r="Q4" i="46" s="1" a="1"/>
  <c r="Q4" i="46" s="1"/>
  <c r="C53" i="43"/>
  <c r="Q53" i="43" s="1" a="1"/>
  <c r="Q53" i="43" s="1"/>
  <c r="C60" i="43"/>
  <c r="Q60" i="43" s="1" a="1"/>
  <c r="Q60" i="43" s="1"/>
  <c r="C31" i="43"/>
  <c r="Q31" i="43" s="1" a="1"/>
  <c r="Q31" i="43" s="1"/>
  <c r="C57" i="36"/>
  <c r="Q57" i="36" s="1" a="1"/>
  <c r="Q57" i="36" s="1"/>
  <c r="C30" i="43"/>
  <c r="Q30" i="43" s="1" a="1"/>
  <c r="Q30" i="43" s="1"/>
  <c r="C34" i="36"/>
  <c r="Q34" i="36" s="1" a="1"/>
  <c r="Q34" i="36" s="1"/>
  <c r="C64" i="43"/>
  <c r="Q64" i="43" s="1" a="1"/>
  <c r="Q64" i="43" s="1"/>
  <c r="C19" i="36"/>
  <c r="Q19" i="36" s="1" a="1"/>
  <c r="Q19" i="36" s="1"/>
  <c r="C10" i="43"/>
  <c r="Q10" i="43" s="1" a="1"/>
  <c r="Q10" i="43" s="1"/>
  <c r="C62" i="36"/>
  <c r="Q62" i="36" s="1" a="1"/>
  <c r="Q62" i="36" s="1"/>
  <c r="C8" i="43"/>
  <c r="Q8" i="43" s="1" a="1"/>
  <c r="Q8" i="43" s="1"/>
  <c r="C44" i="43"/>
  <c r="Q44" i="43" s="1" a="1"/>
  <c r="Q44" i="43" s="1"/>
  <c r="C9" i="43"/>
  <c r="Q9" i="43" s="1" a="1"/>
  <c r="Q9" i="43" s="1"/>
  <c r="C17" i="36"/>
  <c r="Q17" i="36" s="1" a="1"/>
  <c r="Q17" i="36" s="1"/>
  <c r="C5" i="43"/>
  <c r="Q5" i="43" s="1" a="1"/>
  <c r="Q5" i="43" s="1"/>
  <c r="C11" i="43"/>
  <c r="Q11" i="43" s="1" a="1"/>
  <c r="Q11" i="43" s="1"/>
  <c r="C63" i="39"/>
  <c r="Q63" i="39" s="1" a="1"/>
  <c r="Q63" i="39" s="1"/>
  <c r="D3" i="43"/>
  <c r="C3" i="43" s="1"/>
  <c r="Q3" i="43" s="1" a="1"/>
  <c r="Q3" i="43" s="1"/>
  <c r="C34" i="39"/>
  <c r="Q34" i="39" s="1" a="1"/>
  <c r="Q34" i="39" s="1"/>
  <c r="C44" i="46"/>
  <c r="Q44" i="46" s="1" a="1"/>
  <c r="Q44" i="46" s="1"/>
  <c r="C11" i="36"/>
  <c r="Q11" i="36" s="1" a="1"/>
  <c r="Q11" i="36" s="1"/>
  <c r="C21" i="46"/>
  <c r="Q21" i="46" s="1" a="1"/>
  <c r="Q21" i="46" s="1"/>
  <c r="C14" i="46"/>
  <c r="Q14" i="46" s="1" a="1"/>
  <c r="Q14" i="46" s="1"/>
  <c r="C14" i="36"/>
  <c r="Q14" i="36" s="1" a="1"/>
  <c r="Q14" i="36" s="1"/>
  <c r="C12" i="46"/>
  <c r="Q12" i="46" s="1" a="1"/>
  <c r="Q12" i="46" s="1"/>
  <c r="C52" i="46"/>
  <c r="Q52" i="46" s="1" a="1"/>
  <c r="Q52" i="46" s="1"/>
  <c r="C38" i="36"/>
  <c r="Q38" i="36" s="1" a="1"/>
  <c r="Q38" i="36" s="1"/>
  <c r="C25" i="36"/>
  <c r="Q25" i="36" s="1" a="1"/>
  <c r="Q25" i="36" s="1"/>
  <c r="C61" i="37"/>
  <c r="Q61" i="37" s="1" a="1"/>
  <c r="Q61" i="37" s="1"/>
  <c r="C20" i="37"/>
  <c r="Q20" i="37" s="1" a="1"/>
  <c r="Q20" i="37" s="1"/>
  <c r="C26" i="36"/>
  <c r="Q26" i="36" s="1" a="1"/>
  <c r="Q26" i="36" s="1"/>
  <c r="C20" i="36"/>
  <c r="Q20" i="36" s="1" a="1"/>
  <c r="Q20" i="36" s="1"/>
  <c r="C44" i="37"/>
  <c r="Q44" i="37" s="1" a="1"/>
  <c r="Q44" i="37" s="1"/>
  <c r="C16" i="37"/>
  <c r="Q16" i="37" s="1" a="1"/>
  <c r="Q16" i="37" s="1"/>
  <c r="C43" i="36"/>
  <c r="Q43" i="36" s="1" a="1"/>
  <c r="Q43" i="36" s="1"/>
  <c r="C16" i="36"/>
  <c r="Q16" i="36" s="1" a="1"/>
  <c r="Q16" i="36" s="1"/>
  <c r="C42" i="46"/>
  <c r="Q42" i="46" s="1" a="1"/>
  <c r="Q42" i="46" s="1"/>
  <c r="C40" i="37"/>
  <c r="Q40" i="37" s="1" a="1"/>
  <c r="Q40" i="37" s="1"/>
  <c r="C13" i="37"/>
  <c r="Q13" i="37" s="1" a="1"/>
  <c r="Q13" i="37" s="1"/>
  <c r="C63" i="36"/>
  <c r="Q63" i="36" s="1" a="1"/>
  <c r="Q63" i="36" s="1"/>
  <c r="C15" i="36"/>
  <c r="Q15" i="36" s="1" a="1"/>
  <c r="Q15" i="36" s="1"/>
  <c r="C39" i="42"/>
  <c r="Q39" i="42" s="1" a="1"/>
  <c r="Q39" i="42" s="1"/>
  <c r="D3" i="42"/>
  <c r="C3" i="42" s="1"/>
  <c r="Q3" i="42" s="1" a="1"/>
  <c r="Q3" i="42" s="1"/>
  <c r="C23" i="46"/>
  <c r="Q23" i="46" s="1" a="1"/>
  <c r="Q23" i="46" s="1"/>
  <c r="C28" i="40"/>
  <c r="Q28" i="40" s="1" a="1"/>
  <c r="Q28" i="40" s="1"/>
  <c r="C44" i="36"/>
  <c r="Q44" i="36" s="1" a="1"/>
  <c r="Q44" i="36" s="1"/>
  <c r="C6" i="36"/>
  <c r="Q6" i="36" s="1" a="1"/>
  <c r="Q6" i="36" s="1"/>
  <c r="C24" i="36"/>
  <c r="Q24" i="36" s="1" a="1"/>
  <c r="Q24" i="36" s="1"/>
  <c r="C49" i="36"/>
  <c r="Q49" i="36" s="1" a="1"/>
  <c r="Q49" i="36" s="1"/>
  <c r="C51" i="37"/>
  <c r="Q51" i="37" s="1" a="1"/>
  <c r="Q51" i="37" s="1"/>
  <c r="C6" i="37"/>
  <c r="Q6" i="37" s="1" a="1"/>
  <c r="Q6" i="37" s="1"/>
  <c r="D3" i="36"/>
  <c r="C3" i="36" s="1"/>
  <c r="Q3" i="36" s="1" a="1"/>
  <c r="Q3" i="36" s="1"/>
  <c r="C36" i="37"/>
  <c r="Q36" i="37" s="1" a="1"/>
  <c r="Q36" i="37" s="1"/>
  <c r="C5" i="37"/>
  <c r="Q5" i="37" s="1" a="1"/>
  <c r="Q5" i="37" s="1"/>
  <c r="C47" i="36"/>
  <c r="Q47" i="36" s="1" a="1"/>
  <c r="Q47" i="36" s="1"/>
  <c r="C61" i="46"/>
  <c r="Q61" i="46" s="1" a="1"/>
  <c r="Q61" i="46" s="1"/>
  <c r="C9" i="46"/>
  <c r="Q9" i="46" s="1" a="1"/>
  <c r="Q9" i="46" s="1"/>
  <c r="C37" i="37"/>
  <c r="Q37" i="37" s="1" a="1"/>
  <c r="Q37" i="37" s="1"/>
  <c r="C35" i="37"/>
  <c r="Q35" i="37" s="1" a="1"/>
  <c r="Q35" i="37" s="1"/>
  <c r="C4" i="37"/>
  <c r="Q4" i="37" s="1" a="1"/>
  <c r="Q4" i="37" s="1"/>
  <c r="C27" i="36"/>
  <c r="Q27" i="36" s="1" a="1"/>
  <c r="Q27" i="36" s="1"/>
  <c r="C56" i="42"/>
  <c r="Q56" i="42" s="1" a="1"/>
  <c r="Q56" i="42" s="1"/>
  <c r="C31" i="42"/>
  <c r="Q31" i="42" s="1" a="1"/>
  <c r="Q31" i="42" s="1"/>
  <c r="C54" i="46"/>
  <c r="Q54" i="46" s="1" a="1"/>
  <c r="Q54" i="46" s="1"/>
  <c r="C8" i="46"/>
  <c r="Q8" i="46" s="1" a="1"/>
  <c r="Q8" i="46" s="1"/>
  <c r="C64" i="37"/>
  <c r="Q64" i="37" s="1" a="1"/>
  <c r="Q64" i="37" s="1"/>
  <c r="C34" i="37"/>
  <c r="Q34" i="37" s="1" a="1"/>
  <c r="Q34" i="37" s="1"/>
  <c r="D3" i="37"/>
  <c r="C3" i="37" s="1"/>
  <c r="Q3" i="37" s="1" a="1"/>
  <c r="Q3" i="37" s="1"/>
  <c r="C23" i="36"/>
  <c r="Q23" i="36" s="1" a="1"/>
  <c r="Q23" i="36" s="1"/>
  <c r="C8" i="39"/>
  <c r="Q8" i="39" s="1" a="1"/>
  <c r="Q8" i="39" s="1"/>
  <c r="C65" i="42"/>
  <c r="Q65" i="42" s="1" a="1"/>
  <c r="Q65" i="42" s="1"/>
  <c r="C47" i="42"/>
  <c r="Q47" i="42" s="1" a="1"/>
  <c r="Q47" i="42" s="1"/>
  <c r="C27" i="42"/>
  <c r="Q27" i="42" s="1" a="1"/>
  <c r="Q27" i="42" s="1"/>
  <c r="C44" i="44"/>
  <c r="Q44" i="44" s="1" a="1"/>
  <c r="Q44" i="44" s="1"/>
  <c r="C25" i="44"/>
  <c r="Q25" i="44" s="1" a="1"/>
  <c r="Q25" i="44" s="1"/>
  <c r="C40" i="46"/>
  <c r="Q40" i="46" s="1" a="1"/>
  <c r="Q40" i="46" s="1"/>
  <c r="C5" i="46"/>
  <c r="Q5" i="46" s="1" a="1"/>
  <c r="Q5" i="46" s="1"/>
  <c r="C61" i="36"/>
  <c r="Q61" i="36" s="1" a="1"/>
  <c r="Q61" i="36" s="1"/>
  <c r="C10" i="36"/>
  <c r="Q10" i="36" s="1" a="1"/>
  <c r="Q10" i="36" s="1"/>
  <c r="C59" i="37"/>
  <c r="Q59" i="37" s="1" a="1"/>
  <c r="Q59" i="37" s="1"/>
  <c r="C26" i="37"/>
  <c r="Q26" i="37" s="1" a="1"/>
  <c r="Q26" i="37" s="1"/>
  <c r="C39" i="36"/>
  <c r="Q39" i="36" s="1" a="1"/>
  <c r="Q39" i="36" s="1"/>
  <c r="C9" i="36"/>
  <c r="Q9" i="36" s="1" a="1"/>
  <c r="Q9" i="36" s="1"/>
  <c r="C45" i="37"/>
  <c r="Q45" i="37" s="1" a="1"/>
  <c r="Q45" i="37" s="1"/>
  <c r="C25" i="37"/>
  <c r="Q25" i="37" s="1" a="1"/>
  <c r="Q25" i="37" s="1"/>
  <c r="C41" i="36"/>
  <c r="Q41" i="36" s="1" a="1"/>
  <c r="Q41" i="36" s="1"/>
  <c r="C8" i="36"/>
  <c r="Q8" i="36" s="1" a="1"/>
  <c r="Q8" i="36" s="1"/>
  <c r="C39" i="46"/>
  <c r="Q39" i="46" s="1" a="1"/>
  <c r="Q39" i="46" s="1"/>
  <c r="C65" i="37"/>
  <c r="Q65" i="37" s="1" a="1"/>
  <c r="Q65" i="37" s="1"/>
  <c r="C23" i="37"/>
  <c r="Q23" i="37" s="1" a="1"/>
  <c r="Q23" i="37" s="1"/>
  <c r="C54" i="36"/>
  <c r="Q54" i="36" s="1" a="1"/>
  <c r="Q54" i="36" s="1"/>
  <c r="C7" i="36"/>
  <c r="Q7" i="36" s="1" a="1"/>
  <c r="Q7" i="36" s="1"/>
  <c r="C59" i="42"/>
  <c r="Q59" i="42" s="1" a="1"/>
  <c r="Q59" i="42" s="1"/>
  <c r="C28" i="42"/>
  <c r="Q28" i="42" s="1" a="1"/>
  <c r="Q28" i="42" s="1"/>
  <c r="C13" i="42"/>
  <c r="Q13" i="42" s="1" a="1"/>
  <c r="Q13" i="42" s="1"/>
  <c r="C6" i="46"/>
  <c r="Q6" i="46" s="1" a="1"/>
  <c r="Q6" i="46" s="1"/>
  <c r="C33" i="46"/>
  <c r="Q33" i="46" s="1" a="1"/>
  <c r="Q33" i="46" s="1"/>
  <c r="C66" i="36"/>
  <c r="Q66" i="36" s="1" a="1"/>
  <c r="Q66" i="36" s="1"/>
  <c r="C49" i="49"/>
  <c r="Q49" i="49" s="1" a="1"/>
  <c r="Q49" i="49" s="1"/>
  <c r="C37" i="49"/>
  <c r="Q37" i="49" s="1" a="1"/>
  <c r="Q37" i="49" s="1"/>
  <c r="C19" i="50"/>
  <c r="Q19" i="50" s="1" a="1"/>
  <c r="Q19" i="50" s="1"/>
  <c r="C13" i="39"/>
  <c r="Q13" i="39" s="1" a="1"/>
  <c r="Q13" i="39" s="1"/>
  <c r="C28" i="43"/>
  <c r="Q28" i="43" s="1" a="1"/>
  <c r="Q28" i="43" s="1"/>
  <c r="C10" i="39"/>
  <c r="Q10" i="39" s="1" a="1"/>
  <c r="Q10" i="39" s="1"/>
  <c r="C22" i="43"/>
  <c r="Q22" i="43" s="1" a="1"/>
  <c r="Q22" i="43" s="1"/>
  <c r="C19" i="43"/>
  <c r="Q19" i="43" s="1" a="1"/>
  <c r="Q19" i="43" s="1"/>
  <c r="C39" i="43"/>
  <c r="Q39" i="43" s="1" a="1"/>
  <c r="Q39" i="43" s="1"/>
  <c r="C15" i="43"/>
  <c r="Q15" i="43" s="1" a="1"/>
  <c r="Q15" i="43" s="1"/>
  <c r="C52" i="43"/>
  <c r="Q52" i="43" s="1" a="1"/>
  <c r="Q52" i="43" s="1"/>
  <c r="C56" i="43"/>
  <c r="Q56" i="43" s="1" a="1"/>
  <c r="Q56" i="43" s="1"/>
  <c r="C33" i="43"/>
  <c r="Q33" i="43" s="1" a="1"/>
  <c r="Q33" i="43" s="1"/>
  <c r="C32" i="43"/>
  <c r="Q32" i="43" s="1" a="1"/>
  <c r="Q32" i="43" s="1"/>
  <c r="C41" i="43"/>
  <c r="Q41" i="43" s="1" a="1"/>
  <c r="Q41" i="43" s="1"/>
  <c r="C49" i="43"/>
  <c r="Q49" i="43" s="1" a="1"/>
  <c r="Q49" i="43" s="1"/>
  <c r="C25" i="43"/>
  <c r="Q25" i="43" s="1" a="1"/>
  <c r="Q25" i="43" s="1"/>
  <c r="C48" i="43"/>
  <c r="Q48" i="43" s="1" a="1"/>
  <c r="Q48" i="43" s="1"/>
  <c r="C23" i="43"/>
  <c r="Q23" i="43" s="1" a="1"/>
  <c r="Q23" i="43" s="1"/>
  <c r="C47" i="43"/>
  <c r="Q47" i="43" s="1" a="1"/>
  <c r="Q47" i="43" s="1"/>
  <c r="C17" i="43"/>
  <c r="Q17" i="43" s="1" a="1"/>
  <c r="Q17" i="43" s="1"/>
  <c r="C45" i="43"/>
  <c r="Q45" i="43" s="1" a="1"/>
  <c r="Q45" i="43" s="1"/>
  <c r="C12" i="43"/>
  <c r="Q12" i="43" s="1" a="1"/>
  <c r="Q12" i="43" s="1"/>
  <c r="C68" i="36"/>
  <c r="Q68" i="36" s="1" a="1"/>
  <c r="Q68" i="36" s="1"/>
  <c r="C52" i="37"/>
  <c r="Q52" i="37" s="1" a="1"/>
  <c r="Q52" i="37" s="1"/>
  <c r="C18" i="37"/>
  <c r="Q18" i="37" s="1" a="1"/>
  <c r="Q18" i="37" s="1"/>
  <c r="C28" i="36"/>
  <c r="Q28" i="36" s="1" a="1"/>
  <c r="Q28" i="36" s="1"/>
  <c r="C46" i="36"/>
  <c r="Q46" i="36" s="1" a="1"/>
  <c r="Q46" i="36" s="1"/>
  <c r="C57" i="43"/>
  <c r="Q57" i="43" s="1" a="1"/>
  <c r="Q57" i="43" s="1"/>
  <c r="C50" i="43"/>
  <c r="Q50" i="43" s="1" a="1"/>
  <c r="Q50" i="43" s="1"/>
  <c r="C45" i="42"/>
  <c r="Q45" i="42" s="1" a="1"/>
  <c r="Q45" i="42" s="1"/>
  <c r="C63" i="42"/>
  <c r="Q63" i="42" s="1" a="1"/>
  <c r="Q63" i="42" s="1"/>
  <c r="C41" i="42"/>
  <c r="Q41" i="42" s="1" a="1"/>
  <c r="Q41" i="42" s="1"/>
  <c r="C55" i="44"/>
  <c r="Q55" i="44" s="1" a="1"/>
  <c r="Q55" i="44" s="1"/>
  <c r="C28" i="44"/>
  <c r="Q28" i="44" s="1" a="1"/>
  <c r="Q28" i="44" s="1"/>
  <c r="C43" i="44"/>
  <c r="Q43" i="44" s="1" a="1"/>
  <c r="Q43" i="44" s="1"/>
  <c r="C37" i="46"/>
  <c r="Q37" i="46" s="1" a="1"/>
  <c r="Q37" i="46" s="1"/>
  <c r="C58" i="46"/>
  <c r="Q58" i="46" s="1" a="1"/>
  <c r="Q58" i="46" s="1"/>
  <c r="C68" i="42"/>
  <c r="Q68" i="42" s="1" a="1"/>
  <c r="Q68" i="42" s="1"/>
  <c r="C46" i="37"/>
  <c r="Q46" i="37" s="1" a="1"/>
  <c r="Q46" i="37" s="1"/>
  <c r="C15" i="37"/>
  <c r="Q15" i="37" s="1" a="1"/>
  <c r="Q15" i="37" s="1"/>
  <c r="C45" i="36"/>
  <c r="Q45" i="36" s="1" a="1"/>
  <c r="Q45" i="36" s="1"/>
  <c r="C50" i="36"/>
  <c r="Q50" i="36" s="1" a="1"/>
  <c r="Q50" i="36" s="1"/>
  <c r="C34" i="43"/>
  <c r="Q34" i="43" s="1" a="1"/>
  <c r="Q34" i="43" s="1"/>
  <c r="C62" i="43"/>
  <c r="Q62" i="43" s="1" a="1"/>
  <c r="Q62" i="43" s="1"/>
  <c r="C34" i="42"/>
  <c r="Q34" i="42" s="1" a="1"/>
  <c r="Q34" i="42" s="1"/>
  <c r="C50" i="42"/>
  <c r="Q50" i="42" s="1" a="1"/>
  <c r="Q50" i="42" s="1"/>
  <c r="C37" i="42"/>
  <c r="Q37" i="42" s="1" a="1"/>
  <c r="Q37" i="42" s="1"/>
  <c r="C16" i="44"/>
  <c r="Q16" i="44" s="1" a="1"/>
  <c r="Q16" i="44" s="1"/>
  <c r="C58" i="44"/>
  <c r="Q58" i="44" s="1" a="1"/>
  <c r="Q58" i="44" s="1"/>
  <c r="C8" i="44"/>
  <c r="Q8" i="44" s="1" a="1"/>
  <c r="Q8" i="44" s="1"/>
  <c r="D3" i="46"/>
  <c r="C3" i="46" s="1"/>
  <c r="Q3" i="46" s="1" a="1"/>
  <c r="Q3" i="46" s="1"/>
  <c r="C59" i="46"/>
  <c r="Q59" i="46" s="1" a="1"/>
  <c r="Q59" i="46" s="1"/>
  <c r="C68" i="46"/>
  <c r="Q68" i="46" s="1" a="1"/>
  <c r="Q68" i="46" s="1"/>
  <c r="C22" i="48"/>
  <c r="Q22" i="48" s="1" a="1"/>
  <c r="Q22" i="48" s="1"/>
  <c r="C66" i="37"/>
  <c r="Q66" i="37" s="1" a="1"/>
  <c r="Q66" i="37" s="1"/>
  <c r="C18" i="39"/>
  <c r="Q18" i="39" s="1" a="1"/>
  <c r="Q18" i="39" s="1"/>
  <c r="C16" i="46"/>
  <c r="Q16" i="46" s="1" a="1"/>
  <c r="Q16" i="46" s="1"/>
  <c r="C11" i="46"/>
  <c r="Q11" i="46" s="1" a="1"/>
  <c r="Q11" i="46" s="1"/>
  <c r="C68" i="37"/>
  <c r="Q68" i="37" s="1" a="1"/>
  <c r="Q68" i="37" s="1"/>
  <c r="C7" i="46"/>
  <c r="Q7" i="46" s="1" a="1"/>
  <c r="Q7" i="46" s="1"/>
  <c r="C10" i="46"/>
  <c r="Q10" i="46" s="1" a="1"/>
  <c r="Q10" i="46" s="1"/>
  <c r="C67" i="37"/>
  <c r="Q67" i="37" s="1" a="1"/>
  <c r="Q67" i="37" s="1"/>
  <c r="C30" i="50"/>
  <c r="Q30" i="50" s="1" a="1"/>
  <c r="Q30" i="50" s="1"/>
  <c r="C17" i="39"/>
  <c r="Q17" i="39" s="1" a="1"/>
  <c r="Q17" i="39" s="1"/>
  <c r="C6" i="39"/>
  <c r="Q6" i="39" s="1" a="1"/>
  <c r="Q6" i="39" s="1"/>
  <c r="C60" i="41"/>
  <c r="Q60" i="41" s="1" a="1"/>
  <c r="Q60" i="41" s="1"/>
  <c r="C49" i="40"/>
  <c r="Q49" i="40" s="1" a="1"/>
  <c r="Q49" i="40" s="1"/>
  <c r="C11" i="40"/>
  <c r="Q11" i="40" s="1" a="1"/>
  <c r="Q11" i="40" s="1"/>
  <c r="C29" i="40"/>
  <c r="Q29" i="40" s="1" a="1"/>
  <c r="Q29" i="40" s="1"/>
  <c r="C6" i="40"/>
  <c r="Q6" i="40" s="1" a="1"/>
  <c r="Q6" i="40" s="1"/>
  <c r="C31" i="39"/>
  <c r="Q31" i="39" s="1" a="1"/>
  <c r="Q31" i="39" s="1"/>
  <c r="C13" i="41"/>
  <c r="Q13" i="41" s="1" a="1"/>
  <c r="Q13" i="41" s="1"/>
  <c r="C47" i="39"/>
  <c r="Q47" i="39" s="1" a="1"/>
  <c r="Q47" i="39" s="1"/>
  <c r="C35" i="40"/>
  <c r="Q35" i="40" s="1" a="1"/>
  <c r="Q35" i="40" s="1"/>
  <c r="C60" i="37"/>
  <c r="Q60" i="37" s="1" a="1"/>
  <c r="Q60" i="37" s="1"/>
  <c r="C62" i="37"/>
  <c r="Q62" i="37" s="1" a="1"/>
  <c r="Q62" i="37" s="1"/>
  <c r="C14" i="37"/>
  <c r="Q14" i="37" s="1" a="1"/>
  <c r="Q14" i="37" s="1"/>
  <c r="C21" i="36"/>
  <c r="Q21" i="36" s="1" a="1"/>
  <c r="Q21" i="36" s="1"/>
  <c r="C36" i="36"/>
  <c r="Q36" i="36" s="1" a="1"/>
  <c r="Q36" i="36" s="1"/>
  <c r="C22" i="39"/>
  <c r="Q22" i="39" s="1" a="1"/>
  <c r="Q22" i="39" s="1"/>
  <c r="C17" i="40"/>
  <c r="Q17" i="40" s="1" a="1"/>
  <c r="Q17" i="40" s="1"/>
  <c r="C16" i="43"/>
  <c r="Q16" i="43" s="1" a="1"/>
  <c r="Q16" i="43" s="1"/>
  <c r="C13" i="43"/>
  <c r="Q13" i="43" s="1" a="1"/>
  <c r="Q13" i="43" s="1"/>
  <c r="C51" i="42"/>
  <c r="Q51" i="42" s="1" a="1"/>
  <c r="Q51" i="42" s="1"/>
  <c r="C30" i="42"/>
  <c r="Q30" i="42" s="1" a="1"/>
  <c r="Q30" i="42" s="1"/>
  <c r="C22" i="42"/>
  <c r="Q22" i="42" s="1" a="1"/>
  <c r="Q22" i="42" s="1"/>
  <c r="C35" i="44"/>
  <c r="Q35" i="44" s="1" a="1"/>
  <c r="Q35" i="44" s="1"/>
  <c r="C15" i="44"/>
  <c r="Q15" i="44" s="1" a="1"/>
  <c r="Q15" i="44" s="1"/>
  <c r="C9" i="44"/>
  <c r="Q9" i="44" s="1" a="1"/>
  <c r="Q9" i="44" s="1"/>
  <c r="C55" i="46"/>
  <c r="Q55" i="46" s="1" a="1"/>
  <c r="Q55" i="46" s="1"/>
  <c r="C62" i="46"/>
  <c r="Q62" i="46" s="1" a="1"/>
  <c r="Q62" i="46" s="1"/>
  <c r="C66" i="44"/>
  <c r="Q66" i="44" s="1" a="1"/>
  <c r="Q66" i="44" s="1"/>
  <c r="C33" i="41"/>
  <c r="Q33" i="41" s="1" a="1"/>
  <c r="Q33" i="41" s="1"/>
  <c r="C32" i="41"/>
  <c r="Q32" i="41" s="1" a="1"/>
  <c r="Q32" i="41" s="1"/>
  <c r="C61" i="39"/>
  <c r="Q61" i="39" s="1" a="1"/>
  <c r="Q61" i="39" s="1"/>
  <c r="C21" i="41"/>
  <c r="Q21" i="41" s="1" a="1"/>
  <c r="Q21" i="41" s="1"/>
  <c r="C58" i="39"/>
  <c r="Q58" i="39" s="1" a="1"/>
  <c r="Q58" i="39" s="1"/>
  <c r="C12" i="41"/>
  <c r="Q12" i="41" s="1" a="1"/>
  <c r="Q12" i="41" s="1"/>
  <c r="C16" i="41"/>
  <c r="Q16" i="41" s="1" a="1"/>
  <c r="Q16" i="41" s="1"/>
  <c r="C26" i="39"/>
  <c r="Q26" i="39" s="1" a="1"/>
  <c r="Q26" i="39" s="1"/>
  <c r="C40" i="40"/>
  <c r="Q40" i="40" s="1" a="1"/>
  <c r="Q40" i="40" s="1"/>
  <c r="C64" i="46"/>
  <c r="Q64" i="46" s="1" a="1"/>
  <c r="Q64" i="46" s="1"/>
  <c r="C67" i="36"/>
  <c r="Q67" i="36" s="1" a="1"/>
  <c r="Q67" i="36" s="1"/>
  <c r="C64" i="39"/>
  <c r="Q64" i="39" s="1" a="1"/>
  <c r="Q64" i="39" s="1"/>
  <c r="C48" i="40"/>
  <c r="Q48" i="40" s="1" a="1"/>
  <c r="Q48" i="40" s="1"/>
  <c r="C29" i="41"/>
  <c r="Q29" i="41" s="1" a="1"/>
  <c r="Q29" i="41" s="1"/>
  <c r="C55" i="39"/>
  <c r="Q55" i="39" s="1" a="1"/>
  <c r="Q55" i="39" s="1"/>
  <c r="C19" i="40"/>
  <c r="Q19" i="40" s="1" a="1"/>
  <c r="Q19" i="40" s="1"/>
  <c r="C46" i="40"/>
  <c r="Q46" i="40" s="1" a="1"/>
  <c r="Q46" i="40" s="1"/>
  <c r="C40" i="45"/>
  <c r="Q40" i="45" s="1" a="1"/>
  <c r="Q40" i="45" s="1"/>
  <c r="C65" i="45"/>
  <c r="Q65" i="45" s="1" a="1"/>
  <c r="Q65" i="45" s="1"/>
  <c r="C9" i="40"/>
  <c r="Q9" i="40" s="1" a="1"/>
  <c r="Q9" i="40" s="1"/>
  <c r="C62" i="45"/>
  <c r="Q62" i="45" s="1" a="1"/>
  <c r="Q62" i="45" s="1"/>
  <c r="C39" i="40"/>
  <c r="Q39" i="40" s="1" a="1"/>
  <c r="Q39" i="40" s="1"/>
  <c r="C55" i="40"/>
  <c r="Q55" i="40" s="1" a="1"/>
  <c r="Q55" i="40" s="1"/>
  <c r="C61" i="45"/>
  <c r="Q61" i="45" s="1" a="1"/>
  <c r="Q61" i="45" s="1"/>
  <c r="C63" i="46"/>
  <c r="Q63" i="46" s="1" a="1"/>
  <c r="Q63" i="46" s="1"/>
  <c r="C38" i="40"/>
  <c r="Q38" i="40" s="1" a="1"/>
  <c r="Q38" i="40" s="1"/>
  <c r="C34" i="46"/>
  <c r="Q34" i="46" s="1" a="1"/>
  <c r="Q34" i="46" s="1"/>
  <c r="C41" i="46"/>
  <c r="Q41" i="46" s="1" a="1"/>
  <c r="Q41" i="46" s="1"/>
  <c r="C43" i="46"/>
  <c r="Q43" i="46" s="1" a="1"/>
  <c r="Q43" i="46" s="1"/>
  <c r="C14" i="40"/>
  <c r="Q14" i="40" s="1" a="1"/>
  <c r="Q14" i="40" s="1"/>
  <c r="C31" i="46"/>
  <c r="Q31" i="46" s="1" a="1"/>
  <c r="Q31" i="46" s="1"/>
  <c r="C36" i="46"/>
  <c r="Q36" i="46" s="1" a="1"/>
  <c r="Q36" i="46" s="1"/>
  <c r="C27" i="46"/>
  <c r="Q27" i="46" s="1" a="1"/>
  <c r="Q27" i="46" s="1"/>
  <c r="C55" i="45"/>
  <c r="Q55" i="45" s="1" a="1"/>
  <c r="Q55" i="45" s="1"/>
  <c r="C4" i="40"/>
  <c r="Q4" i="40" s="1" a="1"/>
  <c r="Q4" i="40" s="1"/>
  <c r="C42" i="40"/>
  <c r="Q42" i="40" s="1" a="1"/>
  <c r="Q42" i="40" s="1"/>
  <c r="C65" i="41"/>
  <c r="Q65" i="41" s="1" a="1"/>
  <c r="Q65" i="41" s="1"/>
  <c r="C10" i="40"/>
  <c r="Q10" i="40" s="1" a="1"/>
  <c r="Q10" i="40" s="1"/>
  <c r="C22" i="46"/>
  <c r="Q22" i="46" s="1" a="1"/>
  <c r="Q22" i="46" s="1"/>
  <c r="C32" i="46"/>
  <c r="Q32" i="46" s="1" a="1"/>
  <c r="Q32" i="46" s="1"/>
  <c r="C53" i="46"/>
  <c r="Q53" i="46" s="1" a="1"/>
  <c r="Q53" i="46" s="1"/>
  <c r="C62" i="41"/>
  <c r="Q62" i="41" s="1" a="1"/>
  <c r="Q62" i="41" s="1"/>
  <c r="C32" i="40"/>
  <c r="Q32" i="40" s="1" a="1"/>
  <c r="Q32" i="40" s="1"/>
  <c r="C17" i="46"/>
  <c r="Q17" i="46" s="1" a="1"/>
  <c r="Q17" i="46" s="1"/>
  <c r="C24" i="46"/>
  <c r="Q24" i="46" s="1" a="1"/>
  <c r="Q24" i="46" s="1"/>
  <c r="C51" i="46"/>
  <c r="Q51" i="46" s="1" a="1"/>
  <c r="Q51" i="46" s="1"/>
  <c r="C50" i="37"/>
  <c r="Q50" i="37" s="1" a="1"/>
  <c r="Q50" i="37" s="1"/>
  <c r="C24" i="37"/>
  <c r="Q24" i="37" s="1" a="1"/>
  <c r="Q24" i="37" s="1"/>
  <c r="C56" i="36"/>
  <c r="Q56" i="36" s="1" a="1"/>
  <c r="Q56" i="36" s="1"/>
  <c r="C29" i="36"/>
  <c r="Q29" i="36" s="1" a="1"/>
  <c r="Q29" i="36" s="1"/>
  <c r="C12" i="36"/>
  <c r="Q12" i="36" s="1" a="1"/>
  <c r="Q12" i="36" s="1"/>
  <c r="C35" i="38"/>
  <c r="Q35" i="38" s="1" a="1"/>
  <c r="Q35" i="38" s="1"/>
  <c r="C31" i="40"/>
  <c r="Q31" i="40" s="1" a="1"/>
  <c r="Q31" i="40" s="1"/>
  <c r="C27" i="43"/>
  <c r="Q27" i="43" s="1" a="1"/>
  <c r="Q27" i="43" s="1"/>
  <c r="C43" i="43"/>
  <c r="Q43" i="43" s="1" a="1"/>
  <c r="Q43" i="43" s="1"/>
  <c r="C53" i="42"/>
  <c r="Q53" i="42" s="1" a="1"/>
  <c r="Q53" i="42" s="1"/>
  <c r="C10" i="42"/>
  <c r="Q10" i="42" s="1" a="1"/>
  <c r="Q10" i="42" s="1"/>
  <c r="C5" i="42"/>
  <c r="Q5" i="42" s="1" a="1"/>
  <c r="Q5" i="42" s="1"/>
  <c r="C24" i="44"/>
  <c r="Q24" i="44" s="1" a="1"/>
  <c r="Q24" i="44" s="1"/>
  <c r="C62" i="44"/>
  <c r="Q62" i="44" s="1" a="1"/>
  <c r="Q62" i="44" s="1"/>
  <c r="C52" i="44"/>
  <c r="Q52" i="44" s="1" a="1"/>
  <c r="Q52" i="44" s="1"/>
  <c r="C46" i="46"/>
  <c r="Q46" i="46" s="1" a="1"/>
  <c r="Q46" i="46" s="1"/>
  <c r="C19" i="46"/>
  <c r="Q19" i="46" s="1" a="1"/>
  <c r="Q19" i="46" s="1"/>
  <c r="C29" i="46"/>
  <c r="Q29" i="46" s="1" a="1"/>
  <c r="Q29" i="46" s="1"/>
  <c r="C67" i="44"/>
  <c r="Q67" i="44" s="1" a="1"/>
  <c r="Q67" i="44" s="1"/>
  <c r="C11" i="41"/>
  <c r="Q11" i="41" s="1" a="1"/>
  <c r="Q11" i="41" s="1"/>
  <c r="C7" i="41"/>
  <c r="Q7" i="41" s="1" a="1"/>
  <c r="Q7" i="41" s="1"/>
  <c r="D3" i="41"/>
  <c r="C3" i="41" s="1"/>
  <c r="Q3" i="41" s="1" a="1"/>
  <c r="Q3" i="41" s="1"/>
  <c r="C66" i="50"/>
  <c r="Q66" i="50" s="1" a="1"/>
  <c r="Q66" i="50" s="1"/>
  <c r="C57" i="45"/>
  <c r="Q57" i="45" s="1" a="1"/>
  <c r="Q57" i="45" s="1"/>
  <c r="C41" i="50"/>
  <c r="Q41" i="50" s="1" a="1"/>
  <c r="Q41" i="50" s="1"/>
  <c r="C64" i="40"/>
  <c r="Q64" i="40" s="1" a="1"/>
  <c r="Q64" i="40" s="1"/>
  <c r="C60" i="40"/>
  <c r="Q60" i="40" s="1" a="1"/>
  <c r="Q60" i="40" s="1"/>
  <c r="C52" i="45"/>
  <c r="Q52" i="45" s="1" a="1"/>
  <c r="Q52" i="45" s="1"/>
  <c r="C61" i="49"/>
  <c r="Q61" i="49" s="1" a="1"/>
  <c r="Q61" i="49" s="1"/>
  <c r="C31" i="50"/>
  <c r="Q31" i="50" s="1" a="1"/>
  <c r="Q31" i="50" s="1"/>
  <c r="C21" i="48"/>
  <c r="Q21" i="48" s="1" a="1"/>
  <c r="Q21" i="48" s="1"/>
  <c r="C46" i="45"/>
  <c r="Q46" i="45" s="1" a="1"/>
  <c r="Q46" i="45" s="1"/>
  <c r="C12" i="48"/>
  <c r="Q12" i="48" s="1" a="1"/>
  <c r="Q12" i="48" s="1"/>
  <c r="C54" i="40"/>
  <c r="Q54" i="40" s="1" a="1"/>
  <c r="Q54" i="40" s="1"/>
  <c r="C58" i="40"/>
  <c r="Q58" i="40" s="1" a="1"/>
  <c r="Q58" i="40" s="1"/>
  <c r="C62" i="40"/>
  <c r="Q62" i="40" s="1" a="1"/>
  <c r="Q62" i="40" s="1"/>
  <c r="C22" i="45"/>
  <c r="Q22" i="45" s="1" a="1"/>
  <c r="Q22" i="45" s="1"/>
  <c r="C5" i="48"/>
  <c r="Q5" i="48" s="1" a="1"/>
  <c r="Q5" i="48" s="1"/>
  <c r="C40" i="36"/>
  <c r="Q40" i="36" s="1" a="1"/>
  <c r="Q40" i="36" s="1"/>
  <c r="C35" i="36"/>
  <c r="Q35" i="36" s="1" a="1"/>
  <c r="Q35" i="36" s="1"/>
  <c r="C5" i="36"/>
  <c r="Q5" i="36" s="1" a="1"/>
  <c r="Q5" i="36" s="1"/>
  <c r="C5" i="38"/>
  <c r="Q5" i="38" s="1" a="1"/>
  <c r="Q5" i="38" s="1"/>
  <c r="C59" i="40"/>
  <c r="Q59" i="40" s="1" a="1"/>
  <c r="Q59" i="40" s="1"/>
  <c r="C51" i="40"/>
  <c r="Q51" i="40" s="1" a="1"/>
  <c r="Q51" i="40" s="1"/>
  <c r="C50" i="40"/>
  <c r="Q50" i="40" s="1" a="1"/>
  <c r="Q50" i="40" s="1"/>
  <c r="D3" i="48"/>
  <c r="C3" i="48" s="1"/>
  <c r="Q3" i="48" s="1" a="1"/>
  <c r="Q3" i="48" s="1"/>
  <c r="C55" i="37"/>
  <c r="Q55" i="37" s="1" a="1"/>
  <c r="Q55" i="37" s="1"/>
  <c r="C38" i="37"/>
  <c r="Q38" i="37" s="1" a="1"/>
  <c r="Q38" i="37" s="1"/>
  <c r="C17" i="37"/>
  <c r="Q17" i="37" s="1" a="1"/>
  <c r="Q17" i="37" s="1"/>
  <c r="C13" i="36"/>
  <c r="Q13" i="36" s="1" a="1"/>
  <c r="Q13" i="36" s="1"/>
  <c r="C58" i="36"/>
  <c r="Q58" i="36" s="1" a="1"/>
  <c r="Q58" i="36" s="1"/>
  <c r="C4" i="36"/>
  <c r="Q4" i="36" s="1" a="1"/>
  <c r="Q4" i="36" s="1"/>
  <c r="C36" i="39"/>
  <c r="Q36" i="39" s="1" a="1"/>
  <c r="Q36" i="39" s="1"/>
  <c r="C64" i="38"/>
  <c r="Q64" i="38" s="1" a="1"/>
  <c r="Q64" i="38" s="1"/>
  <c r="C47" i="40"/>
  <c r="Q47" i="40" s="1" a="1"/>
  <c r="Q47" i="40" s="1"/>
  <c r="C36" i="40"/>
  <c r="Q36" i="40" s="1" a="1"/>
  <c r="Q36" i="40" s="1"/>
  <c r="C37" i="40"/>
  <c r="Q37" i="40" s="1" a="1"/>
  <c r="Q37" i="40" s="1"/>
  <c r="C49" i="46"/>
  <c r="Q49" i="46" s="1" a="1"/>
  <c r="Q49" i="46" s="1"/>
  <c r="C26" i="46"/>
  <c r="Q26" i="46" s="1" a="1"/>
  <c r="Q26" i="46" s="1"/>
  <c r="C48" i="46"/>
  <c r="Q48" i="46" s="1" a="1"/>
  <c r="Q48" i="46" s="1"/>
  <c r="C50" i="48"/>
  <c r="Q50" i="48" s="1" a="1"/>
  <c r="Q50" i="48" s="1"/>
  <c r="C48" i="48"/>
  <c r="Q48" i="48" s="1" a="1"/>
  <c r="Q48" i="48" s="1"/>
  <c r="C40" i="48"/>
  <c r="Q40" i="48" s="1" a="1"/>
  <c r="Q40" i="48" s="1"/>
  <c r="C10" i="47"/>
  <c r="Q10" i="47" s="1" a="1"/>
  <c r="Q10" i="47" s="1"/>
  <c r="C11" i="48"/>
  <c r="Q11" i="48" s="1" a="1"/>
  <c r="Q11" i="48" s="1"/>
  <c r="C53" i="36"/>
  <c r="Q53" i="36" s="1" a="1"/>
  <c r="Q53" i="36" s="1"/>
  <c r="C32" i="36"/>
  <c r="Q32" i="36" s="1" a="1"/>
  <c r="Q32" i="36" s="1"/>
  <c r="C52" i="36"/>
  <c r="Q52" i="36" s="1" a="1"/>
  <c r="Q52" i="36" s="1"/>
  <c r="C31" i="47"/>
  <c r="Q31" i="47" s="1" a="1"/>
  <c r="Q31" i="47" s="1"/>
  <c r="C60" i="48"/>
  <c r="Q60" i="48" s="1" a="1"/>
  <c r="Q60" i="48" s="1"/>
  <c r="C38" i="41"/>
  <c r="Q38" i="41" s="1" a="1"/>
  <c r="Q38" i="41" s="1"/>
  <c r="C61" i="40"/>
  <c r="Q61" i="40" s="1" a="1"/>
  <c r="Q61" i="40" s="1"/>
  <c r="C12" i="40"/>
  <c r="Q12" i="40" s="1" a="1"/>
  <c r="Q12" i="40" s="1"/>
  <c r="C37" i="48"/>
  <c r="Q37" i="48" s="1" a="1"/>
  <c r="Q37" i="48" s="1"/>
  <c r="C47" i="37"/>
  <c r="Q47" i="37" s="1" a="1"/>
  <c r="Q47" i="37" s="1"/>
  <c r="C31" i="37"/>
  <c r="Q31" i="37" s="1" a="1"/>
  <c r="Q31" i="37" s="1"/>
  <c r="C11" i="37"/>
  <c r="Q11" i="37" s="1" a="1"/>
  <c r="Q11" i="37" s="1"/>
  <c r="C65" i="36"/>
  <c r="Q65" i="36" s="1" a="1"/>
  <c r="Q65" i="36" s="1"/>
  <c r="C55" i="36"/>
  <c r="Q55" i="36" s="1" a="1"/>
  <c r="Q55" i="36" s="1"/>
  <c r="C64" i="36"/>
  <c r="Q64" i="36" s="1" a="1"/>
  <c r="Q64" i="36" s="1"/>
  <c r="C51" i="39"/>
  <c r="Q51" i="39" s="1" a="1"/>
  <c r="Q51" i="39" s="1"/>
  <c r="C37" i="41"/>
  <c r="Q37" i="41" s="1" a="1"/>
  <c r="Q37" i="41" s="1"/>
  <c r="C43" i="40"/>
  <c r="Q43" i="40" s="1" a="1"/>
  <c r="Q43" i="40" s="1"/>
  <c r="C7" i="40"/>
  <c r="Q7" i="40" s="1" a="1"/>
  <c r="Q7" i="40" s="1"/>
  <c r="C29" i="44"/>
  <c r="Q29" i="44" s="1" a="1"/>
  <c r="Q29" i="44" s="1"/>
  <c r="C17" i="44"/>
  <c r="Q17" i="44" s="1" a="1"/>
  <c r="Q17" i="44" s="1"/>
  <c r="C26" i="47"/>
  <c r="Q26" i="47" s="1" a="1"/>
  <c r="Q26" i="47" s="1"/>
  <c r="C30" i="46"/>
  <c r="Q30" i="46" s="1" a="1"/>
  <c r="Q30" i="46" s="1"/>
  <c r="C18" i="46"/>
  <c r="Q18" i="46" s="1" a="1"/>
  <c r="Q18" i="46" s="1"/>
  <c r="C38" i="46"/>
  <c r="Q38" i="46" s="1" a="1"/>
  <c r="Q38" i="46" s="1"/>
  <c r="C29" i="48"/>
  <c r="Q29" i="48" s="1" a="1"/>
  <c r="Q29" i="48" s="1"/>
  <c r="C67" i="46"/>
  <c r="Q67" i="46" s="1" a="1"/>
  <c r="Q67" i="46" s="1"/>
  <c r="C8" i="48"/>
  <c r="Q8" i="48" s="1" a="1"/>
  <c r="Q8" i="48" s="1"/>
  <c r="C23" i="40"/>
  <c r="Q23" i="40" s="1" a="1"/>
  <c r="Q23" i="40" s="1"/>
  <c r="D3" i="40"/>
  <c r="C3" i="40" s="1"/>
  <c r="Q3" i="40" s="1" a="1"/>
  <c r="Q3" i="40" s="1"/>
  <c r="C5" i="40"/>
  <c r="Q5" i="40" s="1" a="1"/>
  <c r="Q5" i="40" s="1"/>
  <c r="C20" i="47"/>
  <c r="Q20" i="47" s="1" a="1"/>
  <c r="Q20" i="47" s="1"/>
  <c r="C13" i="40"/>
  <c r="Q13" i="40" s="1" a="1"/>
  <c r="Q13" i="40" s="1"/>
  <c r="C41" i="40"/>
  <c r="Q41" i="40" s="1" a="1"/>
  <c r="Q41" i="40" s="1"/>
  <c r="C49" i="41"/>
  <c r="Q49" i="41" s="1" a="1"/>
  <c r="Q49" i="41" s="1"/>
  <c r="C65" i="40"/>
  <c r="Q65" i="40" s="1" a="1"/>
  <c r="Q65" i="40" s="1"/>
  <c r="C20" i="40"/>
  <c r="Q20" i="40" s="1" a="1"/>
  <c r="Q20" i="40" s="1"/>
  <c r="C54" i="37"/>
  <c r="Q54" i="37" s="1" a="1"/>
  <c r="Q54" i="37" s="1"/>
  <c r="C32" i="37"/>
  <c r="Q32" i="37" s="1" a="1"/>
  <c r="Q32" i="37" s="1"/>
  <c r="C12" i="37"/>
  <c r="Q12" i="37" s="1" a="1"/>
  <c r="Q12" i="37" s="1"/>
  <c r="C22" i="36"/>
  <c r="Q22" i="36" s="1" a="1"/>
  <c r="Q22" i="36" s="1"/>
  <c r="C48" i="36"/>
  <c r="Q48" i="36" s="1" a="1"/>
  <c r="Q48" i="36" s="1"/>
  <c r="C51" i="36"/>
  <c r="Q51" i="36" s="1" a="1"/>
  <c r="Q51" i="36" s="1"/>
  <c r="C23" i="47"/>
  <c r="Q23" i="47" s="1" a="1"/>
  <c r="Q23" i="47" s="1"/>
  <c r="C41" i="37"/>
  <c r="Q41" i="37" s="1" a="1"/>
  <c r="Q41" i="37" s="1"/>
  <c r="C30" i="37"/>
  <c r="Q30" i="37" s="1" a="1"/>
  <c r="Q30" i="37" s="1"/>
  <c r="C37" i="36"/>
  <c r="Q37" i="36" s="1" a="1"/>
  <c r="Q37" i="36" s="1"/>
  <c r="C33" i="36"/>
  <c r="Q33" i="36" s="1" a="1"/>
  <c r="Q33" i="36" s="1"/>
  <c r="C30" i="39"/>
  <c r="Q30" i="39" s="1" a="1"/>
  <c r="Q30" i="39" s="1"/>
  <c r="C34" i="41"/>
  <c r="Q34" i="41" s="1" a="1"/>
  <c r="Q34" i="41" s="1"/>
  <c r="C16" i="40"/>
  <c r="Q16" i="40" s="1" a="1"/>
  <c r="Q16" i="40" s="1"/>
  <c r="C18" i="40"/>
  <c r="Q18" i="40" s="1" a="1"/>
  <c r="Q18" i="40" s="1"/>
  <c r="C9" i="47"/>
  <c r="Q9" i="47" s="1" a="1"/>
  <c r="Q9" i="47" s="1"/>
  <c r="C13" i="46"/>
  <c r="Q13" i="46" s="1" a="1"/>
  <c r="Q13" i="46" s="1"/>
  <c r="C15" i="46"/>
  <c r="Q15" i="46" s="1" a="1"/>
  <c r="Q15" i="46" s="1"/>
  <c r="C25" i="46"/>
  <c r="Q25" i="46" s="1" a="1"/>
  <c r="Q25" i="46" s="1"/>
  <c r="C29" i="39"/>
  <c r="Q29" i="39" s="1" a="1"/>
  <c r="Q29" i="39" s="1"/>
  <c r="C36" i="43"/>
  <c r="Q36" i="43" s="1" a="1"/>
  <c r="Q36" i="43" s="1"/>
  <c r="C58" i="43"/>
  <c r="Q58" i="43" s="1" a="1"/>
  <c r="Q58" i="43" s="1"/>
  <c r="C7" i="43"/>
  <c r="Q7" i="43" s="1" a="1"/>
  <c r="Q7" i="43" s="1"/>
  <c r="C35" i="47"/>
  <c r="Q35" i="47" s="1" a="1"/>
  <c r="Q35" i="47" s="1"/>
  <c r="C65" i="39"/>
  <c r="Q65" i="39" s="1" a="1"/>
  <c r="Q65" i="39" s="1"/>
  <c r="C35" i="43"/>
  <c r="Q35" i="43" s="1" a="1"/>
  <c r="Q35" i="43" s="1"/>
  <c r="C55" i="43"/>
  <c r="Q55" i="43" s="1" a="1"/>
  <c r="Q55" i="43" s="1"/>
  <c r="C6" i="43"/>
  <c r="Q6" i="43" s="1" a="1"/>
  <c r="Q6" i="43" s="1"/>
  <c r="C27" i="47"/>
  <c r="Q27" i="47" s="1" a="1"/>
  <c r="Q27" i="47" s="1"/>
  <c r="C48" i="39"/>
  <c r="Q48" i="39" s="1" a="1"/>
  <c r="Q48" i="39" s="1"/>
  <c r="C63" i="43"/>
  <c r="Q63" i="43" s="1" a="1"/>
  <c r="Q63" i="43" s="1"/>
  <c r="C24" i="43"/>
  <c r="Q24" i="43" s="1" a="1"/>
  <c r="Q24" i="43" s="1"/>
  <c r="C42" i="43"/>
  <c r="Q42" i="43" s="1" a="1"/>
  <c r="Q42" i="43" s="1"/>
  <c r="C4" i="43"/>
  <c r="Q4" i="43" s="1" a="1"/>
  <c r="Q4" i="43" s="1"/>
  <c r="C17" i="47"/>
  <c r="Q17" i="47" s="1" a="1"/>
  <c r="Q17" i="47" s="1"/>
  <c r="C59" i="47"/>
  <c r="Q59" i="47" s="1" a="1"/>
  <c r="Q59" i="47" s="1"/>
  <c r="C40" i="39"/>
  <c r="Q40" i="39" s="1" a="1"/>
  <c r="Q40" i="39" s="1"/>
  <c r="C56" i="39"/>
  <c r="Q56" i="39" s="1" a="1"/>
  <c r="Q56" i="39" s="1"/>
  <c r="C51" i="43"/>
  <c r="Q51" i="43" s="1" a="1"/>
  <c r="Q51" i="43" s="1"/>
  <c r="C65" i="43"/>
  <c r="Q65" i="43" s="1" a="1"/>
  <c r="Q65" i="43" s="1"/>
  <c r="C38" i="43"/>
  <c r="Q38" i="43" s="1" a="1"/>
  <c r="Q38" i="43" s="1"/>
  <c r="C56" i="47"/>
  <c r="Q56" i="47" s="1" a="1"/>
  <c r="Q56" i="47" s="1"/>
  <c r="C52" i="39"/>
  <c r="Q52" i="39" s="1" a="1"/>
  <c r="Q52" i="39" s="1"/>
  <c r="C46" i="43"/>
  <c r="Q46" i="43" s="1" a="1"/>
  <c r="Q46" i="43" s="1"/>
  <c r="C61" i="43"/>
  <c r="Q61" i="43" s="1" a="1"/>
  <c r="Q61" i="43" s="1"/>
  <c r="C20" i="43"/>
  <c r="Q20" i="43" s="1" a="1"/>
  <c r="Q20" i="43" s="1"/>
  <c r="C53" i="47"/>
  <c r="Q53" i="47" s="1" a="1"/>
  <c r="Q53" i="47" s="1"/>
  <c r="C49" i="39"/>
  <c r="Q49" i="39" s="1" a="1"/>
  <c r="Q49" i="39" s="1"/>
  <c r="C37" i="43"/>
  <c r="Q37" i="43" s="1" a="1"/>
  <c r="Q37" i="43" s="1"/>
  <c r="C59" i="43"/>
  <c r="Q59" i="43" s="1" a="1"/>
  <c r="Q59" i="43" s="1"/>
  <c r="C18" i="43"/>
  <c r="Q18" i="43" s="1" a="1"/>
  <c r="Q18" i="43" s="1"/>
  <c r="C32" i="47"/>
  <c r="Q32" i="47" s="1" a="1"/>
  <c r="Q32" i="47" s="1"/>
  <c r="C28" i="38"/>
  <c r="Q28" i="38" s="1" a="1"/>
  <c r="Q28" i="38" s="1"/>
  <c r="C59" i="38"/>
  <c r="Q59" i="38" s="1" a="1"/>
  <c r="Q59" i="38" s="1"/>
  <c r="C55" i="38"/>
  <c r="Q55" i="38" s="1" a="1"/>
  <c r="Q55" i="38" s="1"/>
  <c r="C59" i="49"/>
  <c r="Q59" i="49" s="1" a="1"/>
  <c r="Q59" i="49" s="1"/>
  <c r="C58" i="38"/>
  <c r="Q58" i="38" s="1" a="1"/>
  <c r="Q58" i="38" s="1"/>
  <c r="C16" i="38"/>
  <c r="Q16" i="38" s="1" a="1"/>
  <c r="Q16" i="38" s="1"/>
  <c r="C48" i="38"/>
  <c r="Q48" i="38" s="1" a="1"/>
  <c r="Q48" i="38" s="1"/>
  <c r="C52" i="38"/>
  <c r="Q52" i="38" s="1" a="1"/>
  <c r="Q52" i="38" s="1"/>
  <c r="C53" i="38"/>
  <c r="Q53" i="38" s="1" a="1"/>
  <c r="Q53" i="38" s="1"/>
  <c r="C14" i="38"/>
  <c r="Q14" i="38" s="1" a="1"/>
  <c r="Q14" i="38" s="1"/>
  <c r="C46" i="38"/>
  <c r="Q46" i="38" s="1" a="1"/>
  <c r="Q46" i="38" s="1"/>
  <c r="C52" i="40"/>
  <c r="Q52" i="40" s="1" a="1"/>
  <c r="Q52" i="40" s="1"/>
  <c r="C27" i="40"/>
  <c r="Q27" i="40" s="1" a="1"/>
  <c r="Q27" i="40" s="1"/>
  <c r="C63" i="40"/>
  <c r="Q63" i="40" s="1" a="1"/>
  <c r="Q63" i="40" s="1"/>
  <c r="C16" i="48"/>
  <c r="Q16" i="48" s="1" a="1"/>
  <c r="Q16" i="48" s="1"/>
  <c r="C11" i="50"/>
  <c r="Q11" i="50" s="1" a="1"/>
  <c r="Q11" i="50" s="1"/>
  <c r="C50" i="38"/>
  <c r="Q50" i="38" s="1" a="1"/>
  <c r="Q50" i="38" s="1"/>
  <c r="C34" i="38"/>
  <c r="Q34" i="38" s="1" a="1"/>
  <c r="Q34" i="38" s="1"/>
  <c r="C6" i="38"/>
  <c r="Q6" i="38" s="1" a="1"/>
  <c r="Q6" i="38" s="1"/>
  <c r="C25" i="38"/>
  <c r="Q25" i="38" s="1" a="1"/>
  <c r="Q25" i="38" s="1"/>
  <c r="C56" i="38"/>
  <c r="Q56" i="38" s="1" a="1"/>
  <c r="Q56" i="38" s="1"/>
  <c r="C8" i="38"/>
  <c r="Q8" i="38" s="1" a="1"/>
  <c r="Q8" i="38" s="1"/>
  <c r="C49" i="38"/>
  <c r="Q49" i="38" s="1" a="1"/>
  <c r="Q49" i="38" s="1"/>
  <c r="C10" i="38"/>
  <c r="Q10" i="38" s="1" a="1"/>
  <c r="Q10" i="38" s="1"/>
  <c r="C44" i="38"/>
  <c r="Q44" i="38" s="1" a="1"/>
  <c r="Q44" i="38" s="1"/>
  <c r="C15" i="40"/>
  <c r="Q15" i="40" s="1" a="1"/>
  <c r="Q15" i="40" s="1"/>
  <c r="C30" i="40"/>
  <c r="Q30" i="40" s="1" a="1"/>
  <c r="Q30" i="40" s="1"/>
  <c r="C44" i="40"/>
  <c r="Q44" i="40" s="1" a="1"/>
  <c r="Q44" i="40" s="1"/>
  <c r="C66" i="38"/>
  <c r="Q66" i="38" s="1" a="1"/>
  <c r="Q66" i="38" s="1"/>
  <c r="C61" i="38"/>
  <c r="Q61" i="38" s="1" a="1"/>
  <c r="Q61" i="38" s="1"/>
  <c r="C17" i="38"/>
  <c r="Q17" i="38" s="1" a="1"/>
  <c r="Q17" i="38" s="1"/>
  <c r="C54" i="38"/>
  <c r="Q54" i="38" s="1" a="1"/>
  <c r="Q54" i="38" s="1"/>
  <c r="C57" i="38"/>
  <c r="Q57" i="38" s="1" a="1"/>
  <c r="Q57" i="38" s="1"/>
  <c r="C47" i="38"/>
  <c r="Q47" i="38" s="1" a="1"/>
  <c r="Q47" i="38" s="1"/>
  <c r="C9" i="38"/>
  <c r="Q9" i="38" s="1" a="1"/>
  <c r="Q9" i="38" s="1"/>
  <c r="C43" i="38"/>
  <c r="Q43" i="38" s="1" a="1"/>
  <c r="Q43" i="38" s="1"/>
  <c r="C23" i="38"/>
  <c r="Q23" i="38" s="1" a="1"/>
  <c r="Q23" i="38" s="1"/>
  <c r="C41" i="38"/>
  <c r="Q41" i="38" s="1" a="1"/>
  <c r="Q41" i="38" s="1"/>
  <c r="C26" i="38"/>
  <c r="Q26" i="38" s="1" a="1"/>
  <c r="Q26" i="38" s="1"/>
  <c r="C18" i="38"/>
  <c r="Q18" i="38" s="1" a="1"/>
  <c r="Q18" i="38" s="1"/>
  <c r="C40" i="38"/>
  <c r="Q40" i="38" s="1" a="1"/>
  <c r="Q40" i="38" s="1"/>
  <c r="C24" i="38"/>
  <c r="Q24" i="38" s="1" a="1"/>
  <c r="Q24" i="38" s="1"/>
  <c r="C57" i="40"/>
  <c r="Q57" i="40" s="1" a="1"/>
  <c r="Q57" i="40" s="1"/>
  <c r="C25" i="40"/>
  <c r="Q25" i="40" s="1" a="1"/>
  <c r="Q25" i="40" s="1"/>
  <c r="C33" i="40"/>
  <c r="Q33" i="40" s="1" a="1"/>
  <c r="Q33" i="40" s="1"/>
  <c r="C35" i="48"/>
  <c r="Q35" i="48" s="1" a="1"/>
  <c r="Q35" i="48" s="1"/>
  <c r="C67" i="40"/>
  <c r="Q67" i="40" s="1" a="1"/>
  <c r="Q67" i="40" s="1"/>
  <c r="C11" i="38"/>
  <c r="Q11" i="38" s="1" a="1"/>
  <c r="Q11" i="38" s="1"/>
  <c r="C33" i="38"/>
  <c r="Q33" i="38" s="1" a="1"/>
  <c r="Q33" i="38" s="1"/>
  <c r="C22" i="38"/>
  <c r="Q22" i="38" s="1" a="1"/>
  <c r="Q22" i="38" s="1"/>
  <c r="C21" i="40"/>
  <c r="Q21" i="40" s="1" a="1"/>
  <c r="Q21" i="40" s="1"/>
  <c r="C22" i="40"/>
  <c r="Q22" i="40" s="1" a="1"/>
  <c r="Q22" i="40" s="1"/>
  <c r="C24" i="40"/>
  <c r="Q24" i="40" s="1" a="1"/>
  <c r="Q24" i="40" s="1"/>
  <c r="C53" i="48"/>
  <c r="Q53" i="48" s="1" a="1"/>
  <c r="Q53" i="48" s="1"/>
  <c r="C68" i="40"/>
  <c r="Q68" i="40" s="1" a="1"/>
  <c r="Q68" i="40" s="1"/>
  <c r="C45" i="38"/>
  <c r="Q45" i="38" s="1" a="1"/>
  <c r="Q45" i="38" s="1"/>
  <c r="C65" i="38"/>
  <c r="Q65" i="38" s="1" a="1"/>
  <c r="Q65" i="38" s="1"/>
  <c r="C36" i="38"/>
  <c r="Q36" i="38" s="1" a="1"/>
  <c r="Q36" i="38" s="1"/>
  <c r="C27" i="38"/>
  <c r="Q27" i="38" s="1" a="1"/>
  <c r="Q27" i="38" s="1"/>
  <c r="C51" i="38"/>
  <c r="Q51" i="38" s="1" a="1"/>
  <c r="Q51" i="38" s="1"/>
  <c r="C30" i="38"/>
  <c r="Q30" i="38" s="1" a="1"/>
  <c r="Q30" i="38" s="1"/>
  <c r="C39" i="38"/>
  <c r="Q39" i="38" s="1" a="1"/>
  <c r="Q39" i="38" s="1"/>
  <c r="C37" i="38"/>
  <c r="Q37" i="38" s="1" a="1"/>
  <c r="Q37" i="38" s="1"/>
  <c r="C38" i="38"/>
  <c r="Q38" i="38" s="1" a="1"/>
  <c r="Q38" i="38" s="1"/>
  <c r="C31" i="38"/>
  <c r="Q31" i="38" s="1" a="1"/>
  <c r="Q31" i="38" s="1"/>
  <c r="C7" i="38"/>
  <c r="Q7" i="38" s="1" a="1"/>
  <c r="Q7" i="38" s="1"/>
  <c r="C29" i="38"/>
  <c r="Q29" i="38" s="1" a="1"/>
  <c r="Q29" i="38" s="1"/>
  <c r="C20" i="38"/>
  <c r="Q20" i="38" s="1" a="1"/>
  <c r="Q20" i="38" s="1"/>
  <c r="C63" i="38"/>
  <c r="Q63" i="38" s="1" a="1"/>
  <c r="Q63" i="38" s="1"/>
  <c r="C21" i="38"/>
  <c r="Q21" i="38" s="1" a="1"/>
  <c r="Q21" i="38" s="1"/>
  <c r="C15" i="38"/>
  <c r="Q15" i="38" s="1" a="1"/>
  <c r="Q15" i="38" s="1"/>
  <c r="C8" i="40"/>
  <c r="Q8" i="40" s="1" a="1"/>
  <c r="Q8" i="40" s="1"/>
  <c r="C34" i="40"/>
  <c r="Q34" i="40" s="1" a="1"/>
  <c r="Q34" i="40" s="1"/>
  <c r="C53" i="40"/>
  <c r="Q53" i="40" s="1" a="1"/>
  <c r="Q53" i="40" s="1"/>
  <c r="C62" i="38"/>
  <c r="Q62" i="38" s="1" a="1"/>
  <c r="Q62" i="38" s="1"/>
  <c r="C19" i="38"/>
  <c r="Q19" i="38" s="1" a="1"/>
  <c r="Q19" i="38" s="1"/>
  <c r="C13" i="38"/>
  <c r="Q13" i="38" s="1" a="1"/>
  <c r="Q13" i="38" s="1"/>
  <c r="C56" i="40"/>
  <c r="Q56" i="40" s="1" a="1"/>
  <c r="Q56" i="40" s="1"/>
  <c r="C26" i="40"/>
  <c r="Q26" i="40" s="1" a="1"/>
  <c r="Q26" i="40" s="1"/>
  <c r="C45" i="40"/>
  <c r="Q45" i="40" s="1" a="1"/>
  <c r="Q45" i="40" s="1"/>
  <c r="C42" i="38"/>
  <c r="Q42" i="38" s="1" a="1"/>
  <c r="Q42" i="38" s="1"/>
  <c r="C12" i="38"/>
  <c r="Q12" i="38" s="1" a="1"/>
  <c r="Q12" i="38" s="1"/>
  <c r="C4" i="38"/>
  <c r="Q4" i="38" s="1" a="1"/>
  <c r="Q4" i="38" s="1"/>
  <c r="C32" i="38"/>
  <c r="Q32" i="38" s="1" a="1"/>
  <c r="Q32" i="38" s="1"/>
  <c r="D3" i="38"/>
  <c r="C3" i="38" s="1"/>
  <c r="Q3" i="38" s="1" a="1"/>
  <c r="Q3" i="38" s="1"/>
  <c r="C60" i="38"/>
  <c r="Q60" i="38" s="1" a="1"/>
  <c r="Q60" i="38" s="1"/>
  <c r="C60" i="49"/>
  <c r="Q60" i="49" s="1" a="1"/>
  <c r="Q60" i="49" s="1"/>
  <c r="C11" i="47"/>
  <c r="Q11" i="47" s="1" a="1"/>
  <c r="Q11" i="47" s="1"/>
  <c r="C50" i="39"/>
  <c r="Q50" i="39" s="1" a="1"/>
  <c r="Q50" i="39" s="1"/>
  <c r="C21" i="39"/>
  <c r="Q21" i="39" s="1" a="1"/>
  <c r="Q21" i="39" s="1"/>
  <c r="C56" i="41"/>
  <c r="Q56" i="41" s="1" a="1"/>
  <c r="Q56" i="41" s="1"/>
  <c r="C5" i="41"/>
  <c r="Q5" i="41" s="1" a="1"/>
  <c r="Q5" i="41" s="1"/>
  <c r="C5" i="47"/>
  <c r="Q5" i="47" s="1" a="1"/>
  <c r="Q5" i="47" s="1"/>
  <c r="C46" i="39"/>
  <c r="Q46" i="39" s="1" a="1"/>
  <c r="Q46" i="39" s="1"/>
  <c r="C20" i="39"/>
  <c r="Q20" i="39" s="1" a="1"/>
  <c r="Q20" i="39" s="1"/>
  <c r="C55" i="41"/>
  <c r="Q55" i="41" s="1" a="1"/>
  <c r="Q55" i="41" s="1"/>
  <c r="C58" i="47"/>
  <c r="Q58" i="47" s="1" a="1"/>
  <c r="Q58" i="47" s="1"/>
  <c r="C57" i="41"/>
  <c r="Q57" i="41" s="1" a="1"/>
  <c r="Q57" i="41" s="1"/>
  <c r="C6" i="41"/>
  <c r="Q6" i="41" s="1" a="1"/>
  <c r="Q6" i="41" s="1"/>
  <c r="C39" i="39"/>
  <c r="Q39" i="39" s="1" a="1"/>
  <c r="Q39" i="39" s="1"/>
  <c r="C51" i="41"/>
  <c r="Q51" i="41" s="1" a="1"/>
  <c r="Q51" i="41" s="1"/>
  <c r="C4" i="41"/>
  <c r="Q4" i="41" s="1" a="1"/>
  <c r="Q4" i="41" s="1"/>
  <c r="C49" i="47"/>
  <c r="Q49" i="47" s="1" a="1"/>
  <c r="Q49" i="47" s="1"/>
  <c r="C42" i="39"/>
  <c r="Q42" i="39" s="1" a="1"/>
  <c r="Q42" i="39" s="1"/>
  <c r="C16" i="39"/>
  <c r="Q16" i="39" s="1" a="1"/>
  <c r="Q16" i="39" s="1"/>
  <c r="C14" i="47"/>
  <c r="Q14" i="47" s="1" a="1"/>
  <c r="Q14" i="47" s="1"/>
  <c r="C41" i="39"/>
  <c r="Q41" i="39" s="1" a="1"/>
  <c r="Q41" i="39" s="1"/>
  <c r="C15" i="39"/>
  <c r="Q15" i="39" s="1" a="1"/>
  <c r="Q15" i="39" s="1"/>
  <c r="C48" i="47"/>
  <c r="Q48" i="47" s="1" a="1"/>
  <c r="Q48" i="47" s="1"/>
  <c r="C36" i="41"/>
  <c r="Q36" i="41" s="1" a="1"/>
  <c r="Q36" i="41" s="1"/>
  <c r="C32" i="39"/>
  <c r="Q32" i="39" s="1" a="1"/>
  <c r="Q32" i="39" s="1"/>
  <c r="C14" i="39"/>
  <c r="Q14" i="39" s="1" a="1"/>
  <c r="Q14" i="39" s="1"/>
  <c r="C35" i="41"/>
  <c r="Q35" i="41" s="1" a="1"/>
  <c r="Q35" i="41" s="1"/>
  <c r="C34" i="47"/>
  <c r="Q34" i="47" s="1" a="1"/>
  <c r="Q34" i="47" s="1"/>
  <c r="C39" i="45"/>
  <c r="Q39" i="45" s="1" a="1"/>
  <c r="Q39" i="45" s="1"/>
  <c r="C64" i="45"/>
  <c r="Q64" i="45" s="1" a="1"/>
  <c r="Q64" i="45" s="1"/>
  <c r="C54" i="41"/>
  <c r="Q54" i="41" s="1" a="1"/>
  <c r="Q54" i="41" s="1"/>
  <c r="C28" i="41"/>
  <c r="Q28" i="41" s="1" a="1"/>
  <c r="Q28" i="41" s="1"/>
  <c r="C45" i="39"/>
  <c r="Q45" i="39" s="1" a="1"/>
  <c r="Q45" i="39" s="1"/>
  <c r="C35" i="39"/>
  <c r="Q35" i="39" s="1" a="1"/>
  <c r="Q35" i="39" s="1"/>
  <c r="C12" i="39"/>
  <c r="Q12" i="39" s="1" a="1"/>
  <c r="Q12" i="39" s="1"/>
  <c r="C53" i="41"/>
  <c r="Q53" i="41" s="1" a="1"/>
  <c r="Q53" i="41" s="1"/>
  <c r="C27" i="41"/>
  <c r="Q27" i="41" s="1" a="1"/>
  <c r="Q27" i="41" s="1"/>
  <c r="D3" i="45"/>
  <c r="C3" i="45" s="1"/>
  <c r="Q3" i="45" s="1" a="1"/>
  <c r="Q3" i="45" s="1"/>
  <c r="C67" i="39"/>
  <c r="Q67" i="39" s="1" a="1"/>
  <c r="Q67" i="39" s="1"/>
  <c r="C44" i="39"/>
  <c r="Q44" i="39" s="1" a="1"/>
  <c r="Q44" i="39" s="1"/>
  <c r="C60" i="39"/>
  <c r="Q60" i="39" s="1" a="1"/>
  <c r="Q60" i="39" s="1"/>
  <c r="C11" i="39"/>
  <c r="Q11" i="39" s="1" a="1"/>
  <c r="Q11" i="39" s="1"/>
  <c r="C52" i="41"/>
  <c r="Q52" i="41" s="1" a="1"/>
  <c r="Q52" i="41" s="1"/>
  <c r="C23" i="41"/>
  <c r="Q23" i="41" s="1" a="1"/>
  <c r="Q23" i="41" s="1"/>
  <c r="C28" i="39"/>
  <c r="Q28" i="39" s="1" a="1"/>
  <c r="Q28" i="39" s="1"/>
  <c r="C54" i="39"/>
  <c r="Q54" i="39" s="1" a="1"/>
  <c r="Q54" i="39" s="1"/>
  <c r="C9" i="39"/>
  <c r="Q9" i="39" s="1" a="1"/>
  <c r="Q9" i="39" s="1"/>
  <c r="C50" i="41"/>
  <c r="Q50" i="41" s="1" a="1"/>
  <c r="Q50" i="41" s="1"/>
  <c r="C22" i="41"/>
  <c r="Q22" i="41" s="1" a="1"/>
  <c r="Q22" i="41" s="1"/>
  <c r="C62" i="39"/>
  <c r="Q62" i="39" s="1" a="1"/>
  <c r="Q62" i="39" s="1"/>
  <c r="C38" i="39"/>
  <c r="Q38" i="39" s="1" a="1"/>
  <c r="Q38" i="39" s="1"/>
  <c r="C5" i="39"/>
  <c r="Q5" i="39" s="1" a="1"/>
  <c r="Q5" i="39" s="1"/>
  <c r="C44" i="41"/>
  <c r="Q44" i="41" s="1" a="1"/>
  <c r="Q44" i="41" s="1"/>
  <c r="C19" i="41"/>
  <c r="Q19" i="41" s="1" a="1"/>
  <c r="Q19" i="41" s="1"/>
  <c r="C57" i="39"/>
  <c r="Q57" i="39" s="1" a="1"/>
  <c r="Q57" i="39" s="1"/>
  <c r="C27" i="39"/>
  <c r="Q27" i="39" s="1" a="1"/>
  <c r="Q27" i="39" s="1"/>
  <c r="C4" i="39"/>
  <c r="Q4" i="39" s="1" a="1"/>
  <c r="Q4" i="39" s="1"/>
  <c r="C40" i="41"/>
  <c r="Q40" i="41" s="1" a="1"/>
  <c r="Q40" i="41" s="1"/>
  <c r="C18" i="41"/>
  <c r="Q18" i="41" s="1" a="1"/>
  <c r="Q18" i="41" s="1"/>
  <c r="C46" i="41"/>
  <c r="Q46" i="41" s="1" a="1"/>
  <c r="Q46" i="41" s="1"/>
  <c r="C20" i="41"/>
  <c r="Q20" i="41" s="1" a="1"/>
  <c r="Q20" i="41" s="1"/>
  <c r="C53" i="39"/>
  <c r="Q53" i="39" s="1" a="1"/>
  <c r="Q53" i="39" s="1"/>
  <c r="C25" i="39"/>
  <c r="Q25" i="39" s="1" a="1"/>
  <c r="Q25" i="39" s="1"/>
  <c r="D3" i="39"/>
  <c r="C3" i="39" s="1"/>
  <c r="Q3" i="39" s="1" a="1"/>
  <c r="Q3" i="39" s="1"/>
  <c r="C39" i="41"/>
  <c r="Q39" i="41" s="1" a="1"/>
  <c r="Q39" i="41" s="1"/>
  <c r="C17" i="41"/>
  <c r="Q17" i="41" s="1" a="1"/>
  <c r="Q17" i="41" s="1"/>
  <c r="C41" i="49"/>
  <c r="Q41" i="49" s="1" a="1"/>
  <c r="Q41" i="49" s="1"/>
  <c r="C27" i="48"/>
  <c r="Q27" i="48" s="1" a="1"/>
  <c r="Q27" i="48" s="1"/>
  <c r="C68" i="38"/>
  <c r="Q68" i="38" s="1" a="1"/>
  <c r="Q68" i="38" s="1"/>
  <c r="C27" i="50"/>
  <c r="Q27" i="50" s="1" a="1"/>
  <c r="Q27" i="50" s="1"/>
  <c r="C38" i="49"/>
  <c r="Q38" i="49" s="1" a="1"/>
  <c r="Q38" i="49" s="1"/>
  <c r="C23" i="48"/>
  <c r="Q23" i="48" s="1" a="1"/>
  <c r="Q23" i="48" s="1"/>
  <c r="C66" i="41"/>
  <c r="Q66" i="41" s="1" a="1"/>
  <c r="Q66" i="41" s="1"/>
  <c r="C23" i="50"/>
  <c r="Q23" i="50" s="1" a="1"/>
  <c r="Q23" i="50" s="1"/>
  <c r="C36" i="49"/>
  <c r="Q36" i="49" s="1" a="1"/>
  <c r="Q36" i="49" s="1"/>
  <c r="C34" i="49"/>
  <c r="Q34" i="49" s="1" a="1"/>
  <c r="Q34" i="49" s="1"/>
  <c r="C27" i="49"/>
  <c r="Q27" i="49" s="1" a="1"/>
  <c r="Q27" i="49" s="1"/>
  <c r="C11" i="49"/>
  <c r="Q11" i="49" s="1" a="1"/>
  <c r="Q11" i="49" s="1"/>
  <c r="C8" i="49"/>
  <c r="Q8" i="49" s="1" a="1"/>
  <c r="Q8" i="49" s="1"/>
  <c r="C53" i="45"/>
  <c r="Q53" i="45" s="1" a="1"/>
  <c r="Q53" i="45" s="1"/>
  <c r="C47" i="45"/>
  <c r="Q47" i="45" s="1" a="1"/>
  <c r="Q47" i="45" s="1"/>
  <c r="C66" i="43"/>
  <c r="Q66" i="43" s="1" a="1"/>
  <c r="Q66" i="43" s="1"/>
  <c r="C54" i="45"/>
  <c r="Q54" i="45" s="1" a="1"/>
  <c r="Q54" i="45" s="1"/>
  <c r="C49" i="45"/>
  <c r="Q49" i="45" s="1" a="1"/>
  <c r="Q49" i="45" s="1"/>
  <c r="C18" i="45"/>
  <c r="Q18" i="45" s="1" a="1"/>
  <c r="Q18" i="45" s="1"/>
  <c r="C9" i="45"/>
  <c r="Q9" i="45" s="1" a="1"/>
  <c r="Q9" i="45" s="1"/>
  <c r="C8" i="45"/>
  <c r="Q8" i="45" s="1" a="1"/>
  <c r="Q8" i="45" s="1"/>
  <c r="C68" i="39"/>
  <c r="Q68" i="39" s="1" a="1"/>
  <c r="Q68" i="39" s="1"/>
  <c r="C21" i="45"/>
  <c r="Q21" i="45" s="1" a="1"/>
  <c r="Q21" i="45" s="1"/>
  <c r="C60" i="45"/>
  <c r="Q60" i="45" s="1" a="1"/>
  <c r="Q60" i="45" s="1"/>
  <c r="C5" i="45"/>
  <c r="Q5" i="45" s="1" a="1"/>
  <c r="Q5" i="45" s="1"/>
  <c r="C38" i="45"/>
  <c r="Q38" i="45" s="1" a="1"/>
  <c r="Q38" i="45" s="1"/>
  <c r="C37" i="45"/>
  <c r="Q37" i="45" s="1" a="1"/>
  <c r="Q37" i="45" s="1"/>
  <c r="C67" i="43"/>
  <c r="Q67" i="43" s="1" a="1"/>
  <c r="Q67" i="43" s="1"/>
  <c r="C21" i="50"/>
  <c r="Q21" i="50" s="1" a="1"/>
  <c r="Q21" i="50" s="1"/>
  <c r="C35" i="45"/>
  <c r="Q35" i="45" s="1" a="1"/>
  <c r="Q35" i="45" s="1"/>
  <c r="C59" i="45"/>
  <c r="Q59" i="45" s="1" a="1"/>
  <c r="Q59" i="45" s="1"/>
  <c r="C33" i="45"/>
  <c r="Q33" i="45" s="1" a="1"/>
  <c r="Q33" i="45" s="1"/>
  <c r="C56" i="45"/>
  <c r="Q56" i="45" s="1" a="1"/>
  <c r="Q56" i="45" s="1"/>
  <c r="C32" i="45"/>
  <c r="Q32" i="45" s="1" a="1"/>
  <c r="Q32" i="45" s="1"/>
  <c r="C51" i="45"/>
  <c r="Q51" i="45" s="1" a="1"/>
  <c r="Q51" i="45" s="1"/>
  <c r="C23" i="45"/>
  <c r="Q23" i="45" s="1" a="1"/>
  <c r="Q23" i="45" s="1"/>
  <c r="C48" i="45"/>
  <c r="Q48" i="45" s="1" a="1"/>
  <c r="Q48" i="45" s="1"/>
  <c r="C15" i="45"/>
  <c r="Q15" i="45" s="1" a="1"/>
  <c r="Q15" i="45" s="1"/>
  <c r="C43" i="45"/>
  <c r="Q43" i="45" s="1" a="1"/>
  <c r="Q43" i="45" s="1"/>
  <c r="C11" i="45"/>
  <c r="Q11" i="45" s="1" a="1"/>
  <c r="Q11" i="45" s="1"/>
  <c r="C36" i="45"/>
  <c r="Q36" i="45" s="1" a="1"/>
  <c r="Q36" i="45" s="1"/>
  <c r="C31" i="45"/>
  <c r="Q31" i="45" s="1" a="1"/>
  <c r="Q31" i="45" s="1"/>
  <c r="C26" i="45"/>
  <c r="Q26" i="45" s="1" a="1"/>
  <c r="Q26" i="45" s="1"/>
  <c r="C30" i="45"/>
  <c r="Q30" i="45" s="1" a="1"/>
  <c r="Q30" i="45" s="1"/>
  <c r="C19" i="45"/>
  <c r="Q19" i="45" s="1" a="1"/>
  <c r="Q19" i="45" s="1"/>
  <c r="C28" i="45"/>
  <c r="Q28" i="45" s="1" a="1"/>
  <c r="Q28" i="45" s="1"/>
  <c r="C13" i="45"/>
  <c r="Q13" i="45" s="1" a="1"/>
  <c r="Q13" i="45" s="1"/>
  <c r="C12" i="47"/>
  <c r="Q12" i="47" s="1" a="1"/>
  <c r="Q12" i="47" s="1"/>
  <c r="C66" i="45"/>
  <c r="Q66" i="45" s="1" a="1"/>
  <c r="Q66" i="45" s="1"/>
  <c r="C24" i="45"/>
  <c r="Q24" i="45" s="1" a="1"/>
  <c r="Q24" i="45" s="1"/>
  <c r="C12" i="45"/>
  <c r="Q12" i="45" s="1" a="1"/>
  <c r="Q12" i="45" s="1"/>
  <c r="C16" i="47"/>
  <c r="Q16" i="47" s="1" a="1"/>
  <c r="Q16" i="47" s="1"/>
  <c r="C64" i="41"/>
  <c r="Q64" i="41" s="1" a="1"/>
  <c r="Q64" i="41" s="1"/>
  <c r="C48" i="41"/>
  <c r="Q48" i="41" s="1" a="1"/>
  <c r="Q48" i="41" s="1"/>
  <c r="C31" i="41"/>
  <c r="Q31" i="41" s="1" a="1"/>
  <c r="Q31" i="41" s="1"/>
  <c r="C15" i="41"/>
  <c r="Q15" i="41" s="1" a="1"/>
  <c r="Q15" i="41" s="1"/>
  <c r="C29" i="45"/>
  <c r="Q29" i="45" s="1" a="1"/>
  <c r="Q29" i="45" s="1"/>
  <c r="C44" i="45"/>
  <c r="Q44" i="45" s="1" a="1"/>
  <c r="Q44" i="45" s="1"/>
  <c r="C6" i="45"/>
  <c r="Q6" i="45" s="1" a="1"/>
  <c r="Q6" i="45" s="1"/>
  <c r="C63" i="41"/>
  <c r="Q63" i="41" s="1" a="1"/>
  <c r="Q63" i="41" s="1"/>
  <c r="C47" i="41"/>
  <c r="Q47" i="41" s="1" a="1"/>
  <c r="Q47" i="41" s="1"/>
  <c r="C30" i="41"/>
  <c r="Q30" i="41" s="1" a="1"/>
  <c r="Q30" i="41" s="1"/>
  <c r="C14" i="41"/>
  <c r="Q14" i="41" s="1" a="1"/>
  <c r="Q14" i="41" s="1"/>
  <c r="C25" i="45"/>
  <c r="Q25" i="45" s="1" a="1"/>
  <c r="Q25" i="45" s="1"/>
  <c r="C41" i="45"/>
  <c r="Q41" i="45" s="1" a="1"/>
  <c r="Q41" i="45" s="1"/>
  <c r="C4" i="45"/>
  <c r="Q4" i="45" s="1" a="1"/>
  <c r="Q4" i="45" s="1"/>
  <c r="C61" i="41"/>
  <c r="Q61" i="41" s="1" a="1"/>
  <c r="Q61" i="41" s="1"/>
  <c r="C45" i="41"/>
  <c r="Q45" i="41" s="1" a="1"/>
  <c r="Q45" i="41" s="1"/>
  <c r="C20" i="45"/>
  <c r="Q20" i="45" s="1" a="1"/>
  <c r="Q20" i="45" s="1"/>
  <c r="C17" i="45"/>
  <c r="Q17" i="45" s="1" a="1"/>
  <c r="Q17" i="45" s="1"/>
  <c r="C58" i="45"/>
  <c r="Q58" i="45" s="1" a="1"/>
  <c r="Q58" i="45" s="1"/>
  <c r="C59" i="41"/>
  <c r="Q59" i="41" s="1" a="1"/>
  <c r="Q59" i="41" s="1"/>
  <c r="C43" i="41"/>
  <c r="Q43" i="41" s="1" a="1"/>
  <c r="Q43" i="41" s="1"/>
  <c r="C26" i="41"/>
  <c r="Q26" i="41" s="1" a="1"/>
  <c r="Q26" i="41" s="1"/>
  <c r="C10" i="41"/>
  <c r="Q10" i="41" s="1" a="1"/>
  <c r="Q10" i="41" s="1"/>
  <c r="C10" i="45"/>
  <c r="Q10" i="45" s="1" a="1"/>
  <c r="Q10" i="45" s="1"/>
  <c r="C14" i="45"/>
  <c r="Q14" i="45" s="1" a="1"/>
  <c r="Q14" i="45" s="1"/>
  <c r="C45" i="45"/>
  <c r="Q45" i="45" s="1" a="1"/>
  <c r="Q45" i="45" s="1"/>
  <c r="C59" i="39"/>
  <c r="Q59" i="39" s="1" a="1"/>
  <c r="Q59" i="39" s="1"/>
  <c r="C37" i="39"/>
  <c r="Q37" i="39" s="1" a="1"/>
  <c r="Q37" i="39" s="1"/>
  <c r="C24" i="39"/>
  <c r="Q24" i="39" s="1" a="1"/>
  <c r="Q24" i="39" s="1"/>
  <c r="C7" i="39"/>
  <c r="Q7" i="39" s="1" a="1"/>
  <c r="Q7" i="39" s="1"/>
  <c r="C58" i="41"/>
  <c r="Q58" i="41" s="1" a="1"/>
  <c r="Q58" i="41" s="1"/>
  <c r="C42" i="41"/>
  <c r="Q42" i="41" s="1" a="1"/>
  <c r="Q42" i="41" s="1"/>
  <c r="C25" i="41"/>
  <c r="Q25" i="41" s="1" a="1"/>
  <c r="Q25" i="41" s="1"/>
  <c r="C9" i="41"/>
  <c r="Q9" i="41" s="1" a="1"/>
  <c r="Q9" i="41" s="1"/>
  <c r="C50" i="45"/>
  <c r="Q50" i="45" s="1" a="1"/>
  <c r="Q50" i="45" s="1"/>
  <c r="C7" i="45"/>
  <c r="Q7" i="45" s="1" a="1"/>
  <c r="Q7" i="45" s="1"/>
  <c r="C34" i="45"/>
  <c r="Q34" i="45" s="1" a="1"/>
  <c r="Q34" i="45" s="1"/>
  <c r="C43" i="39"/>
  <c r="Q43" i="39" s="1" a="1"/>
  <c r="Q43" i="39" s="1"/>
  <c r="C33" i="39"/>
  <c r="Q33" i="39" s="1" a="1"/>
  <c r="Q33" i="39" s="1"/>
  <c r="C23" i="39"/>
  <c r="Q23" i="39" s="1" a="1"/>
  <c r="Q23" i="39" s="1"/>
  <c r="C41" i="41"/>
  <c r="Q41" i="41" s="1" a="1"/>
  <c r="Q41" i="41" s="1"/>
  <c r="C24" i="41"/>
  <c r="Q24" i="41" s="1" a="1"/>
  <c r="Q24" i="41" s="1"/>
  <c r="C8" i="41"/>
  <c r="Q8" i="41" s="1" a="1"/>
  <c r="Q8" i="41" s="1"/>
  <c r="C63" i="45"/>
  <c r="Q63" i="45" s="1" a="1"/>
  <c r="Q63" i="45" s="1"/>
  <c r="C42" i="45"/>
  <c r="Q42" i="45" s="1" a="1"/>
  <c r="Q42" i="45" s="1"/>
  <c r="C27" i="45"/>
  <c r="Q27" i="45" s="1" a="1"/>
  <c r="Q27" i="45" s="1"/>
  <c r="C16" i="45"/>
  <c r="Q16" i="45" s="1" a="1"/>
  <c r="Q16" i="45" s="1"/>
  <c r="C24" i="50"/>
  <c r="Q24" i="50" s="1" a="1"/>
  <c r="Q24" i="50" s="1"/>
  <c r="C24" i="47"/>
  <c r="Q24" i="47" s="1" a="1"/>
  <c r="Q24" i="47" s="1"/>
  <c r="C47" i="47"/>
  <c r="Q47" i="47" s="1" a="1"/>
  <c r="Q47" i="47" s="1"/>
  <c r="C51" i="47"/>
  <c r="Q51" i="47" s="1" a="1"/>
  <c r="Q51" i="47" s="1"/>
  <c r="C43" i="47"/>
  <c r="Q43" i="47" s="1" a="1"/>
  <c r="Q43" i="47" s="1"/>
  <c r="C26" i="49"/>
  <c r="Q26" i="49" s="1" a="1"/>
  <c r="Q26" i="49" s="1"/>
  <c r="C68" i="47"/>
  <c r="Q68" i="47" s="1" a="1"/>
  <c r="Q68" i="47" s="1"/>
  <c r="C46" i="47"/>
  <c r="Q46" i="47" s="1" a="1"/>
  <c r="Q46" i="47" s="1"/>
  <c r="C37" i="47"/>
  <c r="Q37" i="47" s="1" a="1"/>
  <c r="Q37" i="47" s="1"/>
  <c r="C12" i="49"/>
  <c r="Q12" i="49" s="1" a="1"/>
  <c r="Q12" i="49" s="1"/>
  <c r="C67" i="47"/>
  <c r="Q67" i="47" s="1" a="1"/>
  <c r="Q67" i="47" s="1"/>
  <c r="C8" i="47"/>
  <c r="Q8" i="47" s="1" a="1"/>
  <c r="Q8" i="47" s="1"/>
  <c r="C13" i="47"/>
  <c r="Q13" i="47" s="1" a="1"/>
  <c r="Q13" i="47" s="1"/>
  <c r="C65" i="49"/>
  <c r="Q65" i="49" s="1" a="1"/>
  <c r="Q65" i="49" s="1"/>
  <c r="C7" i="47"/>
  <c r="Q7" i="47" s="1" a="1"/>
  <c r="Q7" i="47" s="1"/>
  <c r="C4" i="47"/>
  <c r="Q4" i="47" s="1" a="1"/>
  <c r="Q4" i="47" s="1"/>
  <c r="C9" i="49"/>
  <c r="Q9" i="49" s="1" a="1"/>
  <c r="Q9" i="49" s="1"/>
  <c r="C68" i="41"/>
  <c r="Q68" i="41" s="1" a="1"/>
  <c r="Q68" i="41" s="1"/>
  <c r="C6" i="47"/>
  <c r="Q6" i="47" s="1" a="1"/>
  <c r="Q6" i="47" s="1"/>
  <c r="C65" i="47"/>
  <c r="Q65" i="47" s="1" a="1"/>
  <c r="Q65" i="47" s="1"/>
  <c r="C63" i="49"/>
  <c r="Q63" i="49" s="1" a="1"/>
  <c r="Q63" i="49" s="1"/>
  <c r="D3" i="47"/>
  <c r="C3" i="47" s="1"/>
  <c r="Q3" i="47" s="1" a="1"/>
  <c r="Q3" i="47" s="1"/>
  <c r="C42" i="47"/>
  <c r="Q42" i="47" s="1" a="1"/>
  <c r="Q42" i="47" s="1"/>
  <c r="C17" i="50"/>
  <c r="Q17" i="50" s="1" a="1"/>
  <c r="Q17" i="50" s="1"/>
  <c r="C52" i="47"/>
  <c r="Q52" i="47" s="1" a="1"/>
  <c r="Q52" i="47" s="1"/>
  <c r="C38" i="47"/>
  <c r="Q38" i="47" s="1" a="1"/>
  <c r="Q38" i="47" s="1"/>
  <c r="C62" i="49"/>
  <c r="Q62" i="49" s="1" a="1"/>
  <c r="Q62" i="49" s="1"/>
  <c r="C16" i="50"/>
  <c r="Q16" i="50" s="1" a="1"/>
  <c r="Q16" i="50" s="1"/>
  <c r="C20" i="49"/>
  <c r="Q20" i="49" s="1" a="1"/>
  <c r="Q20" i="49" s="1"/>
  <c r="C26" i="48"/>
  <c r="Q26" i="48" s="1" a="1"/>
  <c r="Q26" i="48" s="1"/>
  <c r="C32" i="48"/>
  <c r="Q32" i="48" s="1" a="1"/>
  <c r="Q32" i="48" s="1"/>
  <c r="C51" i="50"/>
  <c r="Q51" i="50" s="1" a="1"/>
  <c r="Q51" i="50" s="1"/>
  <c r="C64" i="49"/>
  <c r="Q64" i="49" s="1" a="1"/>
  <c r="Q64" i="49" s="1"/>
  <c r="C39" i="49"/>
  <c r="Q39" i="49" s="1" a="1"/>
  <c r="Q39" i="49" s="1"/>
  <c r="C10" i="49"/>
  <c r="Q10" i="49" s="1" a="1"/>
  <c r="Q10" i="49" s="1"/>
  <c r="C10" i="48"/>
  <c r="Q10" i="48" s="1" a="1"/>
  <c r="Q10" i="48" s="1"/>
  <c r="C63" i="48"/>
  <c r="Q63" i="48" s="1" a="1"/>
  <c r="Q63" i="48" s="1"/>
  <c r="C10" i="50"/>
  <c r="Q10" i="50" s="1" a="1"/>
  <c r="Q10" i="50" s="1"/>
  <c r="C28" i="50"/>
  <c r="Q28" i="50" s="1" a="1"/>
  <c r="Q28" i="50" s="1"/>
  <c r="C5" i="50"/>
  <c r="Q5" i="50" s="1" a="1"/>
  <c r="Q5" i="50" s="1"/>
  <c r="C18" i="50"/>
  <c r="Q18" i="50" s="1" a="1"/>
  <c r="Q18" i="50" s="1"/>
  <c r="C35" i="49"/>
  <c r="Q35" i="49" s="1" a="1"/>
  <c r="Q35" i="49" s="1"/>
  <c r="C28" i="48"/>
  <c r="Q28" i="48" s="1" a="1"/>
  <c r="Q28" i="48" s="1"/>
  <c r="C47" i="48"/>
  <c r="Q47" i="48" s="1" a="1"/>
  <c r="Q47" i="48" s="1"/>
  <c r="C66" i="47"/>
  <c r="Q66" i="47" s="1" a="1"/>
  <c r="Q66" i="47" s="1"/>
  <c r="C13" i="50"/>
  <c r="Q13" i="50" s="1" a="1"/>
  <c r="Q13" i="50" s="1"/>
  <c r="C64" i="50"/>
  <c r="Q64" i="50" s="1" a="1"/>
  <c r="Q64" i="50" s="1"/>
  <c r="C7" i="48"/>
  <c r="Q7" i="48" s="1" a="1"/>
  <c r="Q7" i="48" s="1"/>
  <c r="C36" i="48"/>
  <c r="Q36" i="48" s="1" a="1"/>
  <c r="Q36" i="48" s="1"/>
  <c r="C56" i="50"/>
  <c r="Q56" i="50" s="1" a="1"/>
  <c r="Q56" i="50" s="1"/>
  <c r="C53" i="49"/>
  <c r="Q53" i="49" s="1" a="1"/>
  <c r="Q53" i="49" s="1"/>
  <c r="C25" i="49"/>
  <c r="Q25" i="49" s="1" a="1"/>
  <c r="Q25" i="49" s="1"/>
  <c r="C6" i="48"/>
  <c r="Q6" i="48" s="1" a="1"/>
  <c r="Q6" i="48" s="1"/>
  <c r="C20" i="48"/>
  <c r="Q20" i="48" s="1" a="1"/>
  <c r="Q20" i="48" s="1"/>
  <c r="C68" i="49"/>
  <c r="Q68" i="49" s="1" a="1"/>
  <c r="Q68" i="49" s="1"/>
  <c r="C4" i="48"/>
  <c r="Q4" i="48" s="1" a="1"/>
  <c r="Q4" i="48" s="1"/>
  <c r="C18" i="48"/>
  <c r="Q18" i="48" s="1" a="1"/>
  <c r="Q18" i="48" s="1"/>
  <c r="C67" i="49"/>
  <c r="Q67" i="49" s="1" a="1"/>
  <c r="Q67" i="49" s="1"/>
  <c r="C54" i="50"/>
  <c r="Q54" i="50" s="1" a="1"/>
  <c r="Q54" i="50" s="1"/>
  <c r="C52" i="49"/>
  <c r="Q52" i="49" s="1" a="1"/>
  <c r="Q52" i="49" s="1"/>
  <c r="C24" i="49"/>
  <c r="Q24" i="49" s="1" a="1"/>
  <c r="Q24" i="49" s="1"/>
  <c r="C56" i="48"/>
  <c r="Q56" i="48" s="1" a="1"/>
  <c r="Q56" i="48" s="1"/>
  <c r="C49" i="48"/>
  <c r="Q49" i="48" s="1" a="1"/>
  <c r="Q49" i="48" s="1"/>
  <c r="C66" i="48"/>
  <c r="Q66" i="48" s="1" a="1"/>
  <c r="Q66" i="48" s="1"/>
  <c r="C23" i="49"/>
  <c r="Q23" i="49" s="1" a="1"/>
  <c r="Q23" i="49" s="1"/>
  <c r="C45" i="48"/>
  <c r="Q45" i="48" s="1" a="1"/>
  <c r="Q45" i="48" s="1"/>
  <c r="C43" i="48"/>
  <c r="Q43" i="48" s="1" a="1"/>
  <c r="Q43" i="48" s="1"/>
  <c r="C67" i="48"/>
  <c r="Q67" i="48" s="1" a="1"/>
  <c r="Q67" i="48" s="1"/>
  <c r="C53" i="50"/>
  <c r="Q53" i="50" s="1" a="1"/>
  <c r="Q53" i="50" s="1"/>
  <c r="C51" i="49"/>
  <c r="Q51" i="49" s="1" a="1"/>
  <c r="Q51" i="49" s="1"/>
  <c r="C38" i="48"/>
  <c r="Q38" i="48" s="1" a="1"/>
  <c r="Q38" i="48" s="1"/>
  <c r="C59" i="48"/>
  <c r="Q59" i="48" s="1" a="1"/>
  <c r="Q59" i="48" s="1"/>
  <c r="C52" i="50"/>
  <c r="Q52" i="50" s="1" a="1"/>
  <c r="Q52" i="50" s="1"/>
  <c r="C50" i="49"/>
  <c r="Q50" i="49" s="1" a="1"/>
  <c r="Q50" i="49" s="1"/>
  <c r="C22" i="49"/>
  <c r="Q22" i="49" s="1" a="1"/>
  <c r="Q22" i="49" s="1"/>
  <c r="C33" i="48"/>
  <c r="Q33" i="48" s="1" a="1"/>
  <c r="Q33" i="48" s="1"/>
  <c r="C46" i="48"/>
  <c r="Q46" i="48" s="1" a="1"/>
  <c r="Q46" i="48" s="1"/>
  <c r="C20" i="50"/>
  <c r="Q20" i="50" s="1" a="1"/>
  <c r="Q20" i="50" s="1"/>
  <c r="C33" i="47"/>
  <c r="Q33" i="47" s="1" a="1"/>
  <c r="Q33" i="47" s="1"/>
  <c r="C45" i="47"/>
  <c r="Q45" i="47" s="1" a="1"/>
  <c r="Q45" i="47" s="1"/>
  <c r="C25" i="47"/>
  <c r="Q25" i="47" s="1" a="1"/>
  <c r="Q25" i="47" s="1"/>
  <c r="C18" i="47"/>
  <c r="Q18" i="47" s="1" a="1"/>
  <c r="Q18" i="47" s="1"/>
  <c r="C48" i="49"/>
  <c r="Q48" i="49" s="1" a="1"/>
  <c r="Q48" i="49" s="1"/>
  <c r="C33" i="49"/>
  <c r="Q33" i="49" s="1" a="1"/>
  <c r="Q33" i="49" s="1"/>
  <c r="C21" i="49"/>
  <c r="Q21" i="49" s="1" a="1"/>
  <c r="Q21" i="49" s="1"/>
  <c r="C6" i="49"/>
  <c r="Q6" i="49" s="1" a="1"/>
  <c r="Q6" i="49" s="1"/>
  <c r="C42" i="48"/>
  <c r="Q42" i="48" s="1" a="1"/>
  <c r="Q42" i="48" s="1"/>
  <c r="C25" i="48"/>
  <c r="Q25" i="48" s="1" a="1"/>
  <c r="Q25" i="48" s="1"/>
  <c r="C9" i="48"/>
  <c r="Q9" i="48" s="1" a="1"/>
  <c r="Q9" i="48" s="1"/>
  <c r="C66" i="49"/>
  <c r="Q66" i="49" s="1" a="1"/>
  <c r="Q66" i="49" s="1"/>
  <c r="C7" i="50"/>
  <c r="Q7" i="50" s="1" a="1"/>
  <c r="Q7" i="50" s="1"/>
  <c r="C63" i="50"/>
  <c r="Q63" i="50" s="1" a="1"/>
  <c r="Q63" i="50" s="1"/>
  <c r="C50" i="50"/>
  <c r="Q50" i="50" s="1" a="1"/>
  <c r="Q50" i="50" s="1"/>
  <c r="C9" i="50"/>
  <c r="Q9" i="50" s="1" a="1"/>
  <c r="Q9" i="50" s="1"/>
  <c r="C19" i="49"/>
  <c r="Q19" i="49" s="1" a="1"/>
  <c r="Q19" i="49" s="1"/>
  <c r="C4" i="49"/>
  <c r="Q4" i="49" s="1" a="1"/>
  <c r="Q4" i="49" s="1"/>
  <c r="D3" i="50"/>
  <c r="C3" i="50" s="1"/>
  <c r="Q3" i="50" s="1" a="1"/>
  <c r="Q3" i="50" s="1"/>
  <c r="C48" i="50"/>
  <c r="Q48" i="50" s="1" a="1"/>
  <c r="Q48" i="50" s="1"/>
  <c r="C44" i="47"/>
  <c r="Q44" i="47" s="1" a="1"/>
  <c r="Q44" i="47" s="1"/>
  <c r="C19" i="47"/>
  <c r="Q19" i="47" s="1" a="1"/>
  <c r="Q19" i="47" s="1"/>
  <c r="C64" i="47"/>
  <c r="Q64" i="47" s="1" a="1"/>
  <c r="Q64" i="47" s="1"/>
  <c r="C57" i="49"/>
  <c r="Q57" i="49" s="1" a="1"/>
  <c r="Q57" i="49" s="1"/>
  <c r="C46" i="49"/>
  <c r="Q46" i="49" s="1" a="1"/>
  <c r="Q46" i="49" s="1"/>
  <c r="C31" i="49"/>
  <c r="Q31" i="49" s="1" a="1"/>
  <c r="Q31" i="49" s="1"/>
  <c r="C24" i="48"/>
  <c r="Q24" i="48" s="1" a="1"/>
  <c r="Q24" i="48" s="1"/>
  <c r="C34" i="48"/>
  <c r="Q34" i="48" s="1" a="1"/>
  <c r="Q34" i="48" s="1"/>
  <c r="C31" i="48"/>
  <c r="Q31" i="48" s="1" a="1"/>
  <c r="Q31" i="48" s="1"/>
  <c r="C67" i="50"/>
  <c r="Q67" i="50" s="1" a="1"/>
  <c r="Q67" i="50" s="1"/>
  <c r="C35" i="50"/>
  <c r="Q35" i="50" s="1" a="1"/>
  <c r="Q35" i="50" s="1"/>
  <c r="C61" i="50"/>
  <c r="Q61" i="50" s="1" a="1"/>
  <c r="Q61" i="50" s="1"/>
  <c r="C47" i="50"/>
  <c r="Q47" i="50" s="1" a="1"/>
  <c r="Q47" i="50" s="1"/>
  <c r="C30" i="47"/>
  <c r="Q30" i="47" s="1" a="1"/>
  <c r="Q30" i="47" s="1"/>
  <c r="C54" i="47"/>
  <c r="Q54" i="47" s="1" a="1"/>
  <c r="Q54" i="47" s="1"/>
  <c r="C62" i="47"/>
  <c r="Q62" i="47" s="1" a="1"/>
  <c r="Q62" i="47" s="1"/>
  <c r="C56" i="49"/>
  <c r="Q56" i="49" s="1" a="1"/>
  <c r="Q56" i="49" s="1"/>
  <c r="C44" i="49"/>
  <c r="Q44" i="49" s="1" a="1"/>
  <c r="Q44" i="49" s="1"/>
  <c r="C30" i="49"/>
  <c r="Q30" i="49" s="1" a="1"/>
  <c r="Q30" i="49" s="1"/>
  <c r="C17" i="49"/>
  <c r="Q17" i="49" s="1" a="1"/>
  <c r="Q17" i="49" s="1"/>
  <c r="C61" i="48"/>
  <c r="Q61" i="48" s="1" a="1"/>
  <c r="Q61" i="48" s="1"/>
  <c r="C19" i="48"/>
  <c r="Q19" i="48" s="1" a="1"/>
  <c r="Q19" i="48" s="1"/>
  <c r="C67" i="45"/>
  <c r="Q67" i="45" s="1" a="1"/>
  <c r="Q67" i="45" s="1"/>
  <c r="C34" i="50"/>
  <c r="Q34" i="50" s="1" a="1"/>
  <c r="Q34" i="50" s="1"/>
  <c r="C58" i="49"/>
  <c r="Q58" i="49" s="1" a="1"/>
  <c r="Q58" i="49" s="1"/>
  <c r="C47" i="49"/>
  <c r="Q47" i="49" s="1" a="1"/>
  <c r="Q47" i="49" s="1"/>
  <c r="C5" i="49"/>
  <c r="Q5" i="49" s="1" a="1"/>
  <c r="Q5" i="49" s="1"/>
  <c r="C4" i="50"/>
  <c r="Q4" i="50" s="1" a="1"/>
  <c r="Q4" i="50" s="1"/>
  <c r="C49" i="50"/>
  <c r="Q49" i="50" s="1" a="1"/>
  <c r="Q49" i="50" s="1"/>
  <c r="C28" i="47"/>
  <c r="Q28" i="47" s="1" a="1"/>
  <c r="Q28" i="47" s="1"/>
  <c r="C41" i="47"/>
  <c r="Q41" i="47" s="1" a="1"/>
  <c r="Q41" i="47" s="1"/>
  <c r="C61" i="47"/>
  <c r="Q61" i="47" s="1" a="1"/>
  <c r="Q61" i="47" s="1"/>
  <c r="C16" i="49"/>
  <c r="Q16" i="49" s="1" a="1"/>
  <c r="Q16" i="49" s="1"/>
  <c r="C64" i="48"/>
  <c r="Q64" i="48" s="1" a="1"/>
  <c r="Q64" i="48" s="1"/>
  <c r="C17" i="48"/>
  <c r="Q17" i="48" s="1" a="1"/>
  <c r="Q17" i="48" s="1"/>
  <c r="C55" i="48"/>
  <c r="Q55" i="48" s="1" a="1"/>
  <c r="Q55" i="48" s="1"/>
  <c r="C32" i="50"/>
  <c r="Q32" i="50" s="1" a="1"/>
  <c r="Q32" i="50" s="1"/>
  <c r="C29" i="50"/>
  <c r="Q29" i="50" s="1" a="1"/>
  <c r="Q29" i="50" s="1"/>
  <c r="C59" i="50"/>
  <c r="Q59" i="50" s="1" a="1"/>
  <c r="Q59" i="50" s="1"/>
  <c r="C45" i="50"/>
  <c r="Q45" i="50" s="1" a="1"/>
  <c r="Q45" i="50" s="1"/>
  <c r="C22" i="47"/>
  <c r="Q22" i="47" s="1" a="1"/>
  <c r="Q22" i="47" s="1"/>
  <c r="C39" i="47"/>
  <c r="Q39" i="47" s="1" a="1"/>
  <c r="Q39" i="47" s="1"/>
  <c r="C60" i="47"/>
  <c r="Q60" i="47" s="1" a="1"/>
  <c r="Q60" i="47" s="1"/>
  <c r="C55" i="49"/>
  <c r="Q55" i="49" s="1" a="1"/>
  <c r="Q55" i="49" s="1"/>
  <c r="C43" i="49"/>
  <c r="Q43" i="49" s="1" a="1"/>
  <c r="Q43" i="49" s="1"/>
  <c r="C29" i="49"/>
  <c r="Q29" i="49" s="1" a="1"/>
  <c r="Q29" i="49" s="1"/>
  <c r="C65" i="48"/>
  <c r="Q65" i="48" s="1" a="1"/>
  <c r="Q65" i="48" s="1"/>
  <c r="C15" i="48"/>
  <c r="Q15" i="48" s="1" a="1"/>
  <c r="Q15" i="48" s="1"/>
  <c r="C54" i="48"/>
  <c r="Q54" i="48" s="1" a="1"/>
  <c r="Q54" i="48" s="1"/>
  <c r="C25" i="50"/>
  <c r="Q25" i="50" s="1" a="1"/>
  <c r="Q25" i="50" s="1"/>
  <c r="C26" i="50"/>
  <c r="Q26" i="50" s="1" a="1"/>
  <c r="Q26" i="50" s="1"/>
  <c r="C58" i="50"/>
  <c r="Q58" i="50" s="1" a="1"/>
  <c r="Q58" i="50" s="1"/>
  <c r="C44" i="50"/>
  <c r="Q44" i="50" s="1" a="1"/>
  <c r="Q44" i="50" s="1"/>
  <c r="C6" i="50"/>
  <c r="Q6" i="50" s="1" a="1"/>
  <c r="Q6" i="50" s="1"/>
  <c r="C32" i="49"/>
  <c r="Q32" i="49" s="1" a="1"/>
  <c r="Q32" i="49" s="1"/>
  <c r="C62" i="50"/>
  <c r="Q62" i="50" s="1" a="1"/>
  <c r="Q62" i="50" s="1"/>
  <c r="C45" i="49"/>
  <c r="Q45" i="49" s="1" a="1"/>
  <c r="Q45" i="49" s="1"/>
  <c r="C18" i="49"/>
  <c r="Q18" i="49" s="1" a="1"/>
  <c r="Q18" i="49" s="1"/>
  <c r="D3" i="49"/>
  <c r="C3" i="49" s="1"/>
  <c r="Q3" i="49" s="1" a="1"/>
  <c r="Q3" i="49" s="1"/>
  <c r="C39" i="50"/>
  <c r="Q39" i="50" s="1" a="1"/>
  <c r="Q39" i="50" s="1"/>
  <c r="C33" i="50"/>
  <c r="Q33" i="50" s="1" a="1"/>
  <c r="Q33" i="50" s="1"/>
  <c r="C60" i="50"/>
  <c r="Q60" i="50" s="1" a="1"/>
  <c r="Q60" i="50" s="1"/>
  <c r="C46" i="50"/>
  <c r="Q46" i="50" s="1" a="1"/>
  <c r="Q46" i="50" s="1"/>
  <c r="C21" i="47"/>
  <c r="Q21" i="47" s="1" a="1"/>
  <c r="Q21" i="47" s="1"/>
  <c r="C36" i="47"/>
  <c r="Q36" i="47" s="1" a="1"/>
  <c r="Q36" i="47" s="1"/>
  <c r="C55" i="47"/>
  <c r="Q55" i="47" s="1" a="1"/>
  <c r="Q55" i="47" s="1"/>
  <c r="C28" i="49"/>
  <c r="Q28" i="49" s="1" a="1"/>
  <c r="Q28" i="49" s="1"/>
  <c r="C14" i="49"/>
  <c r="Q14" i="49" s="1" a="1"/>
  <c r="Q14" i="49" s="1"/>
  <c r="C58" i="48"/>
  <c r="Q58" i="48" s="1" a="1"/>
  <c r="Q58" i="48" s="1"/>
  <c r="C14" i="48"/>
  <c r="Q14" i="48" s="1" a="1"/>
  <c r="Q14" i="48" s="1"/>
  <c r="C40" i="50"/>
  <c r="Q40" i="50" s="1" a="1"/>
  <c r="Q40" i="50" s="1"/>
  <c r="C38" i="50"/>
  <c r="Q38" i="50" s="1" a="1"/>
  <c r="Q38" i="50" s="1"/>
  <c r="C57" i="50"/>
  <c r="Q57" i="50" s="1" a="1"/>
  <c r="Q57" i="50" s="1"/>
  <c r="C42" i="50"/>
  <c r="Q42" i="50" s="1" a="1"/>
  <c r="Q42" i="50" s="1"/>
  <c r="C40" i="47"/>
  <c r="Q40" i="47" s="1" a="1"/>
  <c r="Q40" i="47" s="1"/>
  <c r="C57" i="47"/>
  <c r="Q57" i="47" s="1" a="1"/>
  <c r="Q57" i="47" s="1"/>
  <c r="C63" i="47"/>
  <c r="Q63" i="47" s="1" a="1"/>
  <c r="Q63" i="47" s="1"/>
  <c r="C15" i="47"/>
  <c r="Q15" i="47" s="1" a="1"/>
  <c r="Q15" i="47" s="1"/>
  <c r="C29" i="47"/>
  <c r="Q29" i="47" s="1" a="1"/>
  <c r="Q29" i="47" s="1"/>
  <c r="C54" i="49"/>
  <c r="Q54" i="49" s="1" a="1"/>
  <c r="Q54" i="49" s="1"/>
  <c r="C42" i="49"/>
  <c r="Q42" i="49" s="1" a="1"/>
  <c r="Q42" i="49" s="1"/>
  <c r="C13" i="49"/>
  <c r="Q13" i="49" s="1" a="1"/>
  <c r="Q13" i="49" s="1"/>
  <c r="C39" i="48"/>
  <c r="Q39" i="48" s="1" a="1"/>
  <c r="Q39" i="48" s="1"/>
  <c r="C13" i="48"/>
  <c r="Q13" i="48" s="1" a="1"/>
  <c r="Q13" i="48" s="1"/>
  <c r="C30" i="48"/>
  <c r="Q30" i="48" s="1" a="1"/>
  <c r="Q30" i="48" s="1"/>
  <c r="C36" i="50"/>
  <c r="Q36" i="50" s="1" a="1"/>
  <c r="Q36" i="50" s="1"/>
  <c r="C68" i="50"/>
  <c r="Q68" i="50" s="1" a="1"/>
  <c r="Q68" i="50" s="1"/>
  <c r="C37" i="50"/>
  <c r="Q37" i="50" s="1" a="1"/>
  <c r="Q37" i="50" s="1"/>
  <c r="C65" i="50"/>
  <c r="Q65" i="50" s="1" a="1"/>
  <c r="Q65" i="50" s="1"/>
  <c r="C55" i="50"/>
  <c r="Q55" i="50" s="1" a="1"/>
  <c r="Q55" i="50" s="1"/>
  <c r="C43" i="50"/>
  <c r="Q43" i="50" s="1" a="1"/>
  <c r="Q43" i="50" s="1"/>
  <c r="C40" i="49"/>
  <c r="Q40" i="49" s="1" a="1"/>
  <c r="Q40" i="49" s="1"/>
  <c r="C7" i="49"/>
  <c r="Q7" i="49" s="1" a="1"/>
  <c r="Q7" i="49" s="1"/>
  <c r="C62" i="48"/>
  <c r="Q62" i="48" s="1" a="1"/>
  <c r="Q62" i="48" s="1"/>
  <c r="C57" i="48"/>
  <c r="Q57" i="48" s="1" a="1"/>
  <c r="Q57" i="48" s="1"/>
  <c r="C52" i="48"/>
  <c r="Q52" i="48" s="1" a="1"/>
  <c r="Q52" i="48" s="1"/>
  <c r="C68" i="48"/>
  <c r="Q68" i="48" s="1" a="1"/>
  <c r="Q68" i="48" s="1"/>
  <c r="C15" i="50"/>
  <c r="Q15" i="50" s="1" a="1"/>
  <c r="Q15" i="50" s="1"/>
  <c r="C22" i="50"/>
  <c r="Q22" i="50" s="1" a="1"/>
  <c r="Q22" i="50" s="1"/>
  <c r="C41" i="48"/>
  <c r="Q41" i="48" s="1" a="1"/>
  <c r="Q41" i="48" s="1"/>
  <c r="C44" i="48"/>
  <c r="Q44" i="48" s="1" a="1"/>
  <c r="Q44" i="48" s="1"/>
  <c r="C8" i="50"/>
  <c r="Q8" i="50" s="1" a="1"/>
  <c r="Q8" i="50" s="1"/>
  <c r="C14" i="50"/>
  <c r="Q14" i="50" s="1" a="1"/>
  <c r="Q14" i="50" s="1"/>
  <c r="D9" i="27"/>
  <c r="D13" i="27"/>
  <c r="D23" i="24"/>
  <c r="D17" i="24"/>
  <c r="D21" i="26"/>
  <c r="D13" i="26"/>
  <c r="D15" i="24"/>
  <c r="D21" i="24"/>
  <c r="D11" i="24"/>
  <c r="D9" i="24"/>
  <c r="D9" i="26"/>
  <c r="D27" i="26"/>
  <c r="D11" i="27"/>
  <c r="D33" i="24"/>
  <c r="D17" i="27"/>
  <c r="D33" i="26"/>
  <c r="D35" i="27"/>
  <c r="D21" i="27"/>
  <c r="D37" i="27"/>
  <c r="D31" i="27"/>
  <c r="D25" i="26"/>
  <c r="D31" i="26"/>
  <c r="D27" i="24"/>
  <c r="D35" i="24"/>
  <c r="D31" i="24"/>
  <c r="D37" i="26"/>
  <c r="D7" i="26"/>
  <c r="D29" i="27"/>
  <c r="D29" i="26"/>
  <c r="D23" i="26"/>
  <c r="D15" i="27"/>
  <c r="D37" i="24"/>
  <c r="D27" i="27"/>
  <c r="D19" i="24"/>
  <c r="D33" i="27"/>
  <c r="D19" i="26"/>
  <c r="D15" i="26"/>
  <c r="D7" i="24"/>
  <c r="D25" i="27"/>
  <c r="D23" i="27"/>
  <c r="D17" i="26"/>
  <c r="D29" i="24"/>
  <c r="D19" i="27"/>
  <c r="D7" i="27"/>
  <c r="D35" i="26"/>
  <c r="D25" i="24"/>
  <c r="D11" i="26"/>
  <c r="D13" i="24"/>
  <c r="D11" i="23"/>
  <c r="D37" i="23"/>
  <c r="D33" i="23"/>
  <c r="D25" i="23"/>
  <c r="D21" i="23"/>
  <c r="D7" i="23"/>
  <c r="D9" i="23"/>
  <c r="D13" i="23"/>
  <c r="D17" i="23"/>
  <c r="D31" i="23"/>
  <c r="D27" i="23"/>
  <c r="D19" i="23"/>
  <c r="D15" i="23"/>
  <c r="D29" i="23"/>
  <c r="D35" i="23"/>
  <c r="D23" i="23"/>
  <c r="D37" i="21"/>
  <c r="D9" i="21"/>
  <c r="D25" i="21"/>
  <c r="D21" i="21"/>
  <c r="D19" i="21"/>
  <c r="D17" i="21"/>
  <c r="D11" i="21"/>
  <c r="D15" i="21"/>
  <c r="D27" i="21"/>
  <c r="D35" i="21"/>
  <c r="D33" i="21"/>
  <c r="D31" i="21"/>
  <c r="D7" i="21"/>
  <c r="D29" i="21"/>
  <c r="D23" i="21"/>
  <c r="D13" i="21"/>
  <c r="C32" i="1"/>
  <c r="C4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E5" authorId="0" shapeId="0" xr:uid="{362DB2BD-FFA5-4B20-9A42-769E1CEB15B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ITM :238000
ATM : 23000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<sst xmlns="http://schemas.openxmlformats.org/spreadsheetml/2006/main" count="4338" uniqueCount="296">
  <si>
    <t>SH</t>
  </si>
  <si>
    <t>TO</t>
  </si>
  <si>
    <t>NFBT RB</t>
  </si>
  <si>
    <t>NFBT TR</t>
  </si>
  <si>
    <t>NFBT BTF</t>
  </si>
  <si>
    <t>Rolling Std</t>
  </si>
  <si>
    <t>Rolling Stg</t>
  </si>
  <si>
    <t>Calender</t>
  </si>
  <si>
    <t>Monthly Avg</t>
  </si>
  <si>
    <t>Weekly Avg</t>
  </si>
  <si>
    <t>Expectancy</t>
  </si>
  <si>
    <t>1 Lot Margin With Hedge</t>
  </si>
  <si>
    <t>Strategy allotment % without hedge</t>
  </si>
  <si>
    <t>Strategy allotment % with hedge</t>
  </si>
  <si>
    <t>NIFTY</t>
  </si>
  <si>
    <t>SENSEX</t>
  </si>
  <si>
    <t>TTP</t>
  </si>
  <si>
    <t>TTA</t>
  </si>
  <si>
    <t>Client Id</t>
  </si>
  <si>
    <t>Client Name</t>
  </si>
  <si>
    <t>OWN</t>
  </si>
  <si>
    <t>Prarambh</t>
  </si>
  <si>
    <t>ITC1639</t>
  </si>
  <si>
    <t>Anil Jajoo</t>
  </si>
  <si>
    <t>ITC1695</t>
  </si>
  <si>
    <t>Pushpa Jajoo</t>
  </si>
  <si>
    <t>ITC1959</t>
  </si>
  <si>
    <t>Snehlata Jajoo</t>
  </si>
  <si>
    <t>ITC2095</t>
  </si>
  <si>
    <t>Ratan Lakhotia</t>
  </si>
  <si>
    <t>ITC2096</t>
  </si>
  <si>
    <t>Sarla Lakhotia</t>
  </si>
  <si>
    <t>ITC2089</t>
  </si>
  <si>
    <t>Anu Kalani</t>
  </si>
  <si>
    <t>ITC2142</t>
  </si>
  <si>
    <t>Raghvendra Singh</t>
  </si>
  <si>
    <t>ITC2295</t>
  </si>
  <si>
    <t>Sakshi Maheshwari</t>
  </si>
  <si>
    <t>ITC2274</t>
  </si>
  <si>
    <t>Dhanshree fashion</t>
  </si>
  <si>
    <t>ITC2348</t>
  </si>
  <si>
    <t>Kabra Commercial Ltd</t>
  </si>
  <si>
    <t>ITC2363</t>
  </si>
  <si>
    <t>Om Jajoo</t>
  </si>
  <si>
    <t>ITC2328</t>
  </si>
  <si>
    <t>Pankaj Pilani</t>
  </si>
  <si>
    <t>ITC2472</t>
  </si>
  <si>
    <t>Sighals Investments</t>
  </si>
  <si>
    <t>YJJ01</t>
  </si>
  <si>
    <t>Ashok Kasat</t>
  </si>
  <si>
    <t>Client ID</t>
  </si>
  <si>
    <t>Fund</t>
  </si>
  <si>
    <t>%</t>
  </si>
  <si>
    <t>YJJ03</t>
  </si>
  <si>
    <t>Rasalika Investment</t>
  </si>
  <si>
    <t>Strategy</t>
  </si>
  <si>
    <t>Nifty Index</t>
  </si>
  <si>
    <t>Lot</t>
  </si>
  <si>
    <t>Exposure</t>
  </si>
  <si>
    <t>SPAN %</t>
  </si>
  <si>
    <t>Margin Benefit %</t>
  </si>
  <si>
    <t>Exposure %</t>
  </si>
  <si>
    <t>ELM %</t>
  </si>
  <si>
    <t>1 Lot Margin without hedge</t>
  </si>
  <si>
    <t>Leverage</t>
  </si>
  <si>
    <t>Sensex Index</t>
  </si>
  <si>
    <t>OI</t>
  </si>
  <si>
    <t>MJ</t>
  </si>
  <si>
    <t>ITM CE</t>
  </si>
  <si>
    <t>DYNAMIC SL</t>
  </si>
  <si>
    <t>Pledge Value</t>
  </si>
  <si>
    <t>Margin</t>
  </si>
  <si>
    <t xml:space="preserve">YJJ02 </t>
  </si>
  <si>
    <t>USL Investments</t>
  </si>
  <si>
    <t>Z1IT21</t>
  </si>
  <si>
    <t>Column1</t>
  </si>
  <si>
    <t>Z1IT23</t>
  </si>
  <si>
    <t>Z1IT20</t>
  </si>
  <si>
    <t>Z1IT24</t>
  </si>
  <si>
    <t>BankNifty Index</t>
  </si>
  <si>
    <t>Index</t>
  </si>
  <si>
    <t>BANKNIFTY</t>
  </si>
  <si>
    <t>RB/TR/BTF</t>
  </si>
  <si>
    <t>TO [W.O.H]</t>
  </si>
  <si>
    <t>TO [W.H]</t>
  </si>
  <si>
    <t>Rolling[W.O.H]</t>
  </si>
  <si>
    <t>Rolling[W.H]</t>
  </si>
  <si>
    <t>Per Lot</t>
  </si>
  <si>
    <t>Lots</t>
  </si>
  <si>
    <t>As Per Calc.</t>
  </si>
  <si>
    <t>Actual</t>
  </si>
  <si>
    <t>Positions</t>
  </si>
  <si>
    <t>SH [W.O.H]</t>
  </si>
  <si>
    <t>SH [W.H]</t>
  </si>
  <si>
    <t>Actual Per Lot</t>
  </si>
  <si>
    <t>DY</t>
  </si>
  <si>
    <t>[W.O.H]</t>
  </si>
  <si>
    <t>[W.H]</t>
  </si>
  <si>
    <t>INDEX</t>
  </si>
  <si>
    <t>BTF</t>
  </si>
  <si>
    <t>ROLL</t>
  </si>
  <si>
    <t>-</t>
  </si>
  <si>
    <t>W.O.H</t>
  </si>
  <si>
    <t>W.H</t>
  </si>
  <si>
    <t>Expiry</t>
  </si>
  <si>
    <t>N.Expiry</t>
  </si>
  <si>
    <t>Day Type</t>
  </si>
  <si>
    <t>N.Expiry_W.O.H</t>
  </si>
  <si>
    <t>N.Expiry_W.H</t>
  </si>
  <si>
    <t>Expiry_W.O.H</t>
  </si>
  <si>
    <t>Expiry_W.H</t>
  </si>
  <si>
    <t>MOSTI23035</t>
  </si>
  <si>
    <t>MOSTI22962</t>
  </si>
  <si>
    <t>MOSTI22967</t>
  </si>
  <si>
    <t>DTE/WTE</t>
  </si>
  <si>
    <t>No.</t>
  </si>
  <si>
    <t>Derivatives</t>
  </si>
  <si>
    <t>NSE</t>
  </si>
  <si>
    <t>ITM 2</t>
  </si>
  <si>
    <t>CE&amp; PE Both</t>
  </si>
  <si>
    <t>Sell</t>
  </si>
  <si>
    <t>BNF_ATM DY_09:30</t>
  </si>
  <si>
    <t>ATM</t>
  </si>
  <si>
    <t>BNF_ATM DY_09:45</t>
  </si>
  <si>
    <t>BNF_ATM DY_10:00</t>
  </si>
  <si>
    <t>Segment</t>
  </si>
  <si>
    <t>Exchange</t>
  </si>
  <si>
    <t>Symbol</t>
  </si>
  <si>
    <t>Contract</t>
  </si>
  <si>
    <t>Entry Time</t>
  </si>
  <si>
    <t>Exit Time</t>
  </si>
  <si>
    <t xml:space="preserve">Strike </t>
  </si>
  <si>
    <t>Option Type</t>
  </si>
  <si>
    <t>Side</t>
  </si>
  <si>
    <t>SL%</t>
  </si>
  <si>
    <t>Main Strategy</t>
  </si>
  <si>
    <t>NF_ATM DY_10:30</t>
  </si>
  <si>
    <t>NF_ATM DY_10:45</t>
  </si>
  <si>
    <t>NF_ATM DY_11:30</t>
  </si>
  <si>
    <t>ITM 3</t>
  </si>
  <si>
    <t>NF_ITM3 DY_11:30</t>
  </si>
  <si>
    <t>NF_ITM3 DY_10:30</t>
  </si>
  <si>
    <t>I_2T23_02:00</t>
  </si>
  <si>
    <t>ITM 1</t>
  </si>
  <si>
    <t>I_2T23_02:03</t>
  </si>
  <si>
    <t>I_2T23_02:06</t>
  </si>
  <si>
    <t>I_2T23_02:09</t>
  </si>
  <si>
    <t>I_2T23_02:12</t>
  </si>
  <si>
    <t>I_2T23_02:15</t>
  </si>
  <si>
    <t>I_2T23_02:18</t>
  </si>
  <si>
    <t>I_2T23_02:21</t>
  </si>
  <si>
    <t>I_2T23_02:24</t>
  </si>
  <si>
    <t>I_2T23_02:27</t>
  </si>
  <si>
    <t>I_2T23_02:30</t>
  </si>
  <si>
    <t>I_2T23</t>
  </si>
  <si>
    <t>TO_09:16</t>
  </si>
  <si>
    <t>TO_09:25</t>
  </si>
  <si>
    <t>TO_09:35</t>
  </si>
  <si>
    <t>TO_09:45</t>
  </si>
  <si>
    <t>TO_09:55</t>
  </si>
  <si>
    <t>TO_10:05</t>
  </si>
  <si>
    <t>TO_10:15</t>
  </si>
  <si>
    <t>TO_10:25</t>
  </si>
  <si>
    <t>TO_10:35</t>
  </si>
  <si>
    <t>TO_10:45</t>
  </si>
  <si>
    <t>TO_10:55</t>
  </si>
  <si>
    <t>TO_11:05</t>
  </si>
  <si>
    <t>TO_11:15</t>
  </si>
  <si>
    <t>TO_11:25</t>
  </si>
  <si>
    <t>TO_11:35</t>
  </si>
  <si>
    <t>TO_11:45</t>
  </si>
  <si>
    <t>TO_11:55</t>
  </si>
  <si>
    <t>TO_12:05</t>
  </si>
  <si>
    <t>TO_12:15</t>
  </si>
  <si>
    <t>TO_12:25</t>
  </si>
  <si>
    <t>TO_12:35</t>
  </si>
  <si>
    <t>TO_12:45</t>
  </si>
  <si>
    <t>TO_12:55</t>
  </si>
  <si>
    <t>TO_13:05</t>
  </si>
  <si>
    <t>TO_13:15</t>
  </si>
  <si>
    <t>TO_13:25</t>
  </si>
  <si>
    <t>TO_13:35</t>
  </si>
  <si>
    <t>TO_13:45</t>
  </si>
  <si>
    <t>TO_13:55</t>
  </si>
  <si>
    <t>TO_14:05</t>
  </si>
  <si>
    <t>TO_14:15</t>
  </si>
  <si>
    <t>TO_14:25</t>
  </si>
  <si>
    <t>TO_14:35</t>
  </si>
  <si>
    <t>TO_14:45</t>
  </si>
  <si>
    <t>TO_14:55</t>
  </si>
  <si>
    <t>OTM2</t>
  </si>
  <si>
    <t>SHIFTING AT 120 POINTS BOTH SIDE</t>
  </si>
  <si>
    <t>BNF_ATM DY_10:15</t>
  </si>
  <si>
    <t>ITM1</t>
  </si>
  <si>
    <t>BSE</t>
  </si>
  <si>
    <t>ITM 5</t>
  </si>
  <si>
    <t>SDT_ITM1_10:15</t>
  </si>
  <si>
    <t>SDT_ATM_10:00</t>
  </si>
  <si>
    <t>SDT_ATM_10:15</t>
  </si>
  <si>
    <t>LOT</t>
  </si>
  <si>
    <t>Client Id.</t>
  </si>
  <si>
    <t>YJJ02</t>
  </si>
  <si>
    <t>SV4</t>
  </si>
  <si>
    <t>SV4_14:00</t>
  </si>
  <si>
    <t>SV4_14:04</t>
  </si>
  <si>
    <t>SV4_14:08</t>
  </si>
  <si>
    <t>SV4_14:12</t>
  </si>
  <si>
    <t>SV4_14:16</t>
  </si>
  <si>
    <t>SV4_14:20</t>
  </si>
  <si>
    <t>SV4_14:24</t>
  </si>
  <si>
    <t>SV4_14:28</t>
  </si>
  <si>
    <t>SV4_14:32</t>
  </si>
  <si>
    <t>SV4_14:36</t>
  </si>
  <si>
    <t>SV4_14:40</t>
  </si>
  <si>
    <t>SV4_14:44</t>
  </si>
  <si>
    <t>SV4_14:48</t>
  </si>
  <si>
    <t>SV4_14:52</t>
  </si>
  <si>
    <t>SV4_14:56</t>
  </si>
  <si>
    <t>SV4_15:00</t>
  </si>
  <si>
    <t>NF_ITM3 DY_10:45</t>
  </si>
  <si>
    <t>NF_ITM3 DY_11:00</t>
  </si>
  <si>
    <t>NF_ITM3 DY_11:15</t>
  </si>
  <si>
    <t>NF_ATM DY_10:00</t>
  </si>
  <si>
    <t>NF_ATM DY_10:15</t>
  </si>
  <si>
    <t>NF_ATM DY_11:45</t>
  </si>
  <si>
    <t>NF_ATM DY_12:00</t>
  </si>
  <si>
    <t>ITC2332</t>
  </si>
  <si>
    <t>MOSTI23247</t>
  </si>
  <si>
    <t>MOSTI23372</t>
  </si>
  <si>
    <t>SAT2484</t>
  </si>
  <si>
    <t>EA896332</t>
  </si>
  <si>
    <t>NF_ITM2 DY_12:30</t>
  </si>
  <si>
    <t>NF_ATM DY_14:00</t>
  </si>
  <si>
    <t>NF_ATM DY_14:15</t>
  </si>
  <si>
    <t>NF_ATM DY_14:30</t>
  </si>
  <si>
    <t>NF_ATM DY_14:45</t>
  </si>
  <si>
    <t>ITM2</t>
  </si>
  <si>
    <t>SDT_ITM1_14:30</t>
  </si>
  <si>
    <t>SDT_ITM1_14:45</t>
  </si>
  <si>
    <t>SDT_ITM1_15:00</t>
  </si>
  <si>
    <t>SDT_ATM_09:45</t>
  </si>
  <si>
    <t>SDT_ITM1_09:45</t>
  </si>
  <si>
    <t>SDT_ITM1_10:00</t>
  </si>
  <si>
    <t>BNF_ITM1 DY_09:45</t>
  </si>
  <si>
    <t>BNF_ITM1 DY_09:30</t>
  </si>
  <si>
    <t>BNF_ITM1 DY_10:00</t>
  </si>
  <si>
    <t>OWN, "MOSTI23482", "MOSTI22960", "ITC2142", "ITC2095", "YJJ01", "ITC2472", "ITC2089", "ITC2328", "ITC2274", "ITC2348", "YJJ02 ", "YJJ03", "MOSTI23035", "MOSTI22962", "MOSTI22967"</t>
  </si>
  <si>
    <t>MOSTI22960</t>
  </si>
  <si>
    <t>MOSTI23482</t>
  </si>
  <si>
    <t>NF_ATM DY_12:15</t>
  </si>
  <si>
    <t>NF_ATM DY_12:30</t>
  </si>
  <si>
    <t>NF_ATM DY_12:45</t>
  </si>
  <si>
    <t>NF_ATM DY_13:00</t>
  </si>
  <si>
    <t>ITM3</t>
  </si>
  <si>
    <t>BNF_ATM DY_10:30</t>
  </si>
  <si>
    <t>BNF_ATM DY_10:45</t>
  </si>
  <si>
    <t>SDT_ITM1_12:45</t>
  </si>
  <si>
    <t>SDT_ITM1_13:00</t>
  </si>
  <si>
    <t>SDT_ITM1_13:15</t>
  </si>
  <si>
    <t>SDT_ITM5_13:00</t>
  </si>
  <si>
    <t>SDT_ITM5_13:15</t>
  </si>
  <si>
    <t>SDT_ITM5_13:30</t>
  </si>
  <si>
    <t>NF_ITM3 DY_11:45</t>
  </si>
  <si>
    <t>NF_ITM3 DY_12:00</t>
  </si>
  <si>
    <t>NF_ATM DY_15:00</t>
  </si>
  <si>
    <t>SDT_ATM_10:30</t>
  </si>
  <si>
    <t>SDT_ATM_10:45</t>
  </si>
  <si>
    <t>SDT_ATM_11:00</t>
  </si>
  <si>
    <t>SDT_ITM1_10:30</t>
  </si>
  <si>
    <t>SDT_ITM1_10:45</t>
  </si>
  <si>
    <t>SDT_ITM1_11:00</t>
  </si>
  <si>
    <t>SDT_ITM5_09:45</t>
  </si>
  <si>
    <t>SDT_ITM5_10:00</t>
  </si>
  <si>
    <t>SDT_ITM5_10:15</t>
  </si>
  <si>
    <t>SDT_ITM3_09:45</t>
  </si>
  <si>
    <t>SDT_ITM3_10:00</t>
  </si>
  <si>
    <t>SDT_ITM3_10:15</t>
  </si>
  <si>
    <t>NF_ATM DY_13:15</t>
  </si>
  <si>
    <t>NF_ITM2 DY_12:45</t>
  </si>
  <si>
    <t>NF_ITM2 DY_13:00</t>
  </si>
  <si>
    <t>NF_ITM2 DY_13:15</t>
  </si>
  <si>
    <t>NF_ITM2 DY_13:30</t>
  </si>
  <si>
    <t>NF_ATM DY_11:00</t>
  </si>
  <si>
    <t>NF_ITM2 DY_10:15</t>
  </si>
  <si>
    <t>NF_ITM2 DY_10:30</t>
  </si>
  <si>
    <t>NF_ITM2 DY_10:45</t>
  </si>
  <si>
    <t>NF_ITM2 DY_11:00</t>
  </si>
  <si>
    <t>NF_ITM2 DY_11:15</t>
  </si>
  <si>
    <t>BNF_ITM1 DY_10:15</t>
  </si>
  <si>
    <t>BNF_ITM1 DY_10:30</t>
  </si>
  <si>
    <t>BNF_ITM1 DY_12:00</t>
  </si>
  <si>
    <t>BNF_ITM1 DY_12:15</t>
  </si>
  <si>
    <t>BNF_ITM1 DY_12:30</t>
  </si>
  <si>
    <t>SDT_ITM3_14:30</t>
  </si>
  <si>
    <t>SDT_ITM3_14:45</t>
  </si>
  <si>
    <t>SDT_ITM3_15:00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</si>
</sst>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_ ;[Red]\-#,##0\ "/>
    <numFmt numFmtId="165" formatCode="0.0%"/>
    <numFmt numFmtId="166" formatCode="#,##0;[Red]#,##0"/>
    <numFmt numFmtId="167" formatCode="0.0"/>
    <numFmt numFmtId="168" formatCode="[$-14009]hh:mm;@"/>
    <numFmt numFmtId="169" formatCode="[$-F400]h:mm:ss\ AM/PM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theme="1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81">
    <xf numFmtId="0" fontId="0" fillId="0" borderId="0" xfId="0"/>
    <xf numFmtId="0" fontId="0" fillId="0" borderId="1" xfId="0" applyBorder="1"/>
    <xf numFmtId="166" fontId="0" fillId="0" borderId="1" xfId="0" applyNumberFormat="1" applyBorder="1"/>
    <xf numFmtId="9" fontId="0" fillId="0" borderId="1" xfId="1" applyFont="1" applyBorder="1"/>
    <xf numFmtId="0" fontId="0" fillId="0" borderId="0" xfId="0" applyAlignment="1">
      <alignment horizontal="center"/>
    </xf>
    <xf numFmtId="0" fontId="0" fillId="0" borderId="2" xfId="0" applyBorder="1"/>
    <xf numFmtId="0" fontId="0" fillId="0" borderId="7" xfId="0" applyBorder="1"/>
    <xf numFmtId="0" fontId="0" fillId="0" borderId="8" xfId="0" applyBorder="1"/>
    <xf numFmtId="166" fontId="0" fillId="0" borderId="8" xfId="0" applyNumberForma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166" fontId="0" fillId="0" borderId="3" xfId="0" applyNumberFormat="1" applyBorder="1"/>
    <xf numFmtId="166" fontId="0" fillId="0" borderId="9" xfId="0" applyNumberFormat="1" applyBorder="1"/>
    <xf numFmtId="0" fontId="0" fillId="0" borderId="1" xfId="0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0" fontId="0" fillId="0" borderId="0" xfId="0" applyNumberFormat="1"/>
    <xf numFmtId="0" fontId="0" fillId="0" borderId="10" xfId="0" applyBorder="1"/>
    <xf numFmtId="166" fontId="0" fillId="3" borderId="3" xfId="0" applyNumberFormat="1" applyFill="1" applyBorder="1"/>
    <xf numFmtId="166" fontId="0" fillId="3" borderId="1" xfId="0" applyNumberFormat="1" applyFill="1" applyBorder="1"/>
    <xf numFmtId="9" fontId="0" fillId="0" borderId="1" xfId="0" applyNumberFormat="1" applyBorder="1"/>
    <xf numFmtId="0" fontId="0" fillId="0" borderId="3" xfId="0" applyBorder="1" applyAlignment="1">
      <alignment horizontal="right"/>
    </xf>
    <xf numFmtId="164" fontId="0" fillId="0" borderId="3" xfId="0" applyNumberFormat="1" applyBorder="1" applyAlignment="1">
      <alignment horizontal="right"/>
    </xf>
    <xf numFmtId="10" fontId="0" fillId="0" borderId="3" xfId="1" applyNumberFormat="1" applyFont="1" applyBorder="1" applyAlignment="1">
      <alignment horizontal="right"/>
    </xf>
    <xf numFmtId="9" fontId="0" fillId="0" borderId="3" xfId="1" applyFont="1" applyBorder="1" applyAlignment="1">
      <alignment horizontal="right"/>
    </xf>
    <xf numFmtId="167" fontId="0" fillId="0" borderId="3" xfId="0" applyNumberFormat="1" applyBorder="1" applyAlignment="1">
      <alignment horizontal="right"/>
    </xf>
    <xf numFmtId="166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right"/>
    </xf>
    <xf numFmtId="166" fontId="0" fillId="0" borderId="1" xfId="1" applyNumberFormat="1" applyFont="1" applyBorder="1" applyAlignment="1">
      <alignment horizontal="right"/>
    </xf>
    <xf numFmtId="0" fontId="2" fillId="0" borderId="0" xfId="0" applyFont="1" applyAlignment="1">
      <alignment horizontal="center"/>
    </xf>
    <xf numFmtId="166" fontId="0" fillId="0" borderId="1" xfId="0" applyNumberFormat="1" applyBorder="1" applyAlignment="1">
      <alignment horizontal="left"/>
    </xf>
    <xf numFmtId="165" fontId="0" fillId="0" borderId="1" xfId="1" applyNumberFormat="1" applyFont="1" applyBorder="1" applyAlignment="1">
      <alignment horizontal="center"/>
    </xf>
    <xf numFmtId="165" fontId="0" fillId="0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left"/>
    </xf>
    <xf numFmtId="166" fontId="2" fillId="0" borderId="0" xfId="0" applyNumberFormat="1" applyFont="1"/>
    <xf numFmtId="9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0" borderId="0" xfId="0" applyAlignment="1">
      <alignment horizontal="left"/>
    </xf>
    <xf numFmtId="9" fontId="0" fillId="0" borderId="0" xfId="0" applyNumberFormat="1"/>
    <xf numFmtId="0" fontId="0" fillId="3" borderId="1" xfId="0" applyFill="1" applyBorder="1" applyAlignment="1">
      <alignment horizontal="center"/>
    </xf>
    <xf numFmtId="0" fontId="0" fillId="4" borderId="2" xfId="0" applyFill="1" applyBorder="1"/>
    <xf numFmtId="0" fontId="0" fillId="4" borderId="1" xfId="0" applyFill="1" applyBorder="1"/>
    <xf numFmtId="166" fontId="0" fillId="4" borderId="1" xfId="0" applyNumberFormat="1" applyFill="1" applyBorder="1"/>
    <xf numFmtId="166" fontId="0" fillId="4" borderId="3" xfId="0" applyNumberFormat="1" applyFill="1" applyBorder="1"/>
    <xf numFmtId="0" fontId="0" fillId="4" borderId="0" xfId="0" applyFill="1"/>
    <xf numFmtId="0" fontId="0" fillId="0" borderId="9" xfId="0" applyBorder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20" fontId="0" fillId="0" borderId="1" xfId="0" applyNumberFormat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9" fontId="0" fillId="0" borderId="9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168" fontId="0" fillId="0" borderId="8" xfId="0" applyNumberForma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6" fillId="6" borderId="0" xfId="0" applyFont="1" applyFill="1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7" xfId="0" applyBorder="1" applyAlignment="1">
      <alignment horizontal="center"/>
    </xf>
    <xf numFmtId="22" fontId="0" fillId="0" borderId="0" xfId="0" applyNumberFormat="1"/>
    <xf numFmtId="0" fontId="7" fillId="0" borderId="0" xfId="2"/>
    <xf numFmtId="0" fontId="0" fillId="0" borderId="12" xfId="0" applyBorder="1"/>
    <xf numFmtId="14" fontId="6" fillId="6" borderId="0" xfId="0" applyNumberFormat="1" applyFont="1" applyFill="1" applyAlignment="1">
      <alignment horizontal="center"/>
    </xf>
    <xf numFmtId="169" fontId="0" fillId="0" borderId="0" xfId="0" applyNumberFormat="1"/>
    <xf numFmtId="169" fontId="6" fillId="6" borderId="0" xfId="0" applyNumberFormat="1" applyFont="1" applyFill="1" applyAlignment="1">
      <alignment horizontal="center"/>
    </xf>
    <xf numFmtId="9" fontId="0" fillId="0" borderId="0" xfId="1" applyFont="1"/>
    <xf numFmtId="9" fontId="6" fillId="6" borderId="0" xfId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18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#,##0;[Red]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#,##0;[Red]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#,##0;[Red]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#,##0;[Red]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#,##0;[Red]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#,##0;[Red]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8" formatCode="[$-14009]h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8" formatCode="[$-14009]h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3</xdr:row>
      <xdr:rowOff>123825</xdr:rowOff>
    </xdr:from>
    <xdr:to>
      <xdr:col>7</xdr:col>
      <xdr:colOff>161925</xdr:colOff>
      <xdr:row>6</xdr:row>
      <xdr:rowOff>104775</xdr:rowOff>
    </xdr:to>
    <xdr:sp macro="[0]!Export15SheetsToCSV_FixedLocation" textlink="">
      <xdr:nvSpPr>
        <xdr:cNvPr id="6" name="Cross 5">
          <a:extLst>
            <a:ext uri="{FF2B5EF4-FFF2-40B4-BE49-F238E27FC236}">
              <a16:creationId xmlns:a16="http://schemas.microsoft.com/office/drawing/2014/main" id="{EA72C65B-C61F-91A7-04BD-7E07634B26B6}"/>
            </a:ext>
          </a:extLst>
        </xdr:cNvPr>
        <xdr:cNvSpPr/>
      </xdr:nvSpPr>
      <xdr:spPr>
        <a:xfrm>
          <a:off x="4552950" y="695325"/>
          <a:ext cx="495300" cy="552450"/>
        </a:xfrm>
        <a:prstGeom prst="plus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B22C46-B98B-4C16-90C1-68F48B339F5E}" name="STR_LIST" displayName="STR_LIST" ref="C2:O209" totalsRowShown="0" headerRowDxfId="183" headerRowBorderDxfId="182" tableBorderDxfId="181" totalsRowBorderDxfId="180">
  <tableColumns count="13">
    <tableColumn id="1" xr3:uid="{EB0AF35B-29D9-4C0A-B016-C4A36BD22049}" name="Main Strategy" dataDxfId="179"/>
    <tableColumn id="2" xr3:uid="{9490A263-D7D7-40FF-A1F0-E885681E55F6}" name="DTE/WTE" dataDxfId="178"/>
    <tableColumn id="3" xr3:uid="{EF438215-245C-4C02-A1E0-D64F446A4662}" name="Segment" dataDxfId="177"/>
    <tableColumn id="4" xr3:uid="{F1CEDA24-0578-49DF-92F1-4686C820EFBA}" name="Strategy" dataDxfId="176"/>
    <tableColumn id="5" xr3:uid="{59E4514B-C1F8-468C-BC2E-736DAD05EFA4}" name="Exchange" dataDxfId="175"/>
    <tableColumn id="6" xr3:uid="{5A33F053-5A36-4EE0-A3B0-62CD0185CC2C}" name="Symbol" dataDxfId="174"/>
    <tableColumn id="7" xr3:uid="{76F47153-D942-48DA-95F4-6AC0595413DD}" name="Contract" dataDxfId="173">
      <calculatedColumnFormula array="1">INDEX(_xlfn._xlws.SORT(INDIRECT(STR_LIST[[#This Row],[Symbol]]),1,1),1,0)</calculatedColumnFormula>
    </tableColumn>
    <tableColumn id="8" xr3:uid="{934CB976-DF96-4C9F-B2CB-FEA53F008605}" name="Entry Time" dataDxfId="172"/>
    <tableColumn id="9" xr3:uid="{64C78C69-FD9D-4AEE-9927-CCE1F354797D}" name="Exit Time" dataDxfId="171"/>
    <tableColumn id="10" xr3:uid="{E709E692-8F00-40A7-A10F-C96410B1A233}" name="Strike " dataDxfId="170"/>
    <tableColumn id="11" xr3:uid="{E60F1C0A-B1A4-4A60-8AE6-1EF3D96FC01B}" name="Option Type" dataDxfId="169"/>
    <tableColumn id="12" xr3:uid="{1E811DDC-240F-4247-9F82-A67ED4A5481B}" name="Side" dataDxfId="168"/>
    <tableColumn id="13" xr3:uid="{7B79B190-75F8-437C-AD40-C10B38632EBA}" name="SL%" dataDxfId="16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0157B7F-31AE-478E-8066-EA6D7DB095FF}" name="LT_LST" displayName="LT_LST" ref="B1:F581" totalsRowShown="0" headerRowDxfId="166" headerRowBorderDxfId="165" tableBorderDxfId="164" totalsRowBorderDxfId="163">
  <autoFilter ref="B1:F581" xr:uid="{B0157B7F-31AE-478E-8066-EA6D7DB095FF}"/>
  <tableColumns count="5">
    <tableColumn id="1" xr3:uid="{AFB1516F-5DC8-4119-98FC-5D96A852A512}" name="Strategy" dataDxfId="162"/>
    <tableColumn id="2" xr3:uid="{BC159970-BCC9-4378-BA8B-55E2FE1A36F0}" name="DTE/WTE" dataDxfId="161"/>
    <tableColumn id="3" xr3:uid="{EED09C5C-3FDB-4CD2-96B3-73D305B67917}" name="Symbol" dataDxfId="160"/>
    <tableColumn id="4" xr3:uid="{68B4964E-5AA6-4A9E-9616-130A4876D2F2}" name="Client Id." dataDxfId="159"/>
    <tableColumn id="5" xr3:uid="{9E43FB93-A622-499A-9C52-26569BF74239}" name="Lot" dataDxfId="15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0F0769-DDEE-4F8B-A528-9EE03A4A24F4}" name="Margin" displayName="Margin" ref="H3:P27" totalsRowShown="0" headerRowDxfId="157" headerRowBorderDxfId="156" tableBorderDxfId="155" totalsRowBorderDxfId="154">
  <tableColumns count="9">
    <tableColumn id="7" xr3:uid="{1A44184D-0EBF-4118-8868-301E6ADB99B4}" name="Index" dataDxfId="153"/>
    <tableColumn id="1" xr3:uid="{EDA6E0AD-94B8-4060-AF06-929056325800}" name="Strategy" dataDxfId="152"/>
    <tableColumn id="2" xr3:uid="{3F91B010-FD9E-4D34-B07E-BAC264017738}" name="Expectancy" dataDxfId="151"/>
    <tableColumn id="3" xr3:uid="{AED3634D-224D-47B4-AFD6-3A848BB83219}" name="N.Expiry_W.O.H" dataDxfId="150"/>
    <tableColumn id="4" xr3:uid="{D897977D-1497-48F7-87EF-13431E317AFB}" name="N.Expiry_W.H" dataDxfId="149"/>
    <tableColumn id="9" xr3:uid="{AE2EFA81-A62E-4F37-A004-3A007017E9F3}" name="Expiry_W.O.H" dataDxfId="148"/>
    <tableColumn id="8" xr3:uid="{DF30F36A-7F22-4AF5-98D1-95DDB4740412}" name="Expiry_W.H" dataDxfId="147"/>
    <tableColumn id="5" xr3:uid="{9BD4BA6C-760D-4AAB-ABC9-BD1047DA644E}" name="Strategy allotment % without hedge" dataDxfId="146" dataCellStyle="Percent"/>
    <tableColumn id="6" xr3:uid="{EBCA72B9-3658-4C4C-B1FA-B418CDF42962}" name="Strategy allotment % with hedge" dataDxfId="145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2D6F6F-94CC-46BF-A10B-6CCEF4A5EC00}" name="Fund" displayName="Fund" ref="R2:V22" totalsRowShown="0" headerRowDxfId="144" headerRowBorderDxfId="143" tableBorderDxfId="142" totalsRowBorderDxfId="141">
  <autoFilter ref="R2:V22" xr:uid="{F12D6F6F-94CC-46BF-A10B-6CCEF4A5EC00}"/>
  <tableColumns count="5">
    <tableColumn id="1" xr3:uid="{D3AAF915-551F-4576-BDA2-5549F29FCAF2}" name="Client Id" dataDxfId="140"/>
    <tableColumn id="2" xr3:uid="{FC047C75-DFBD-4B1B-B9BB-1A1664B529AA}" name="Client Name" dataDxfId="139"/>
    <tableColumn id="3" xr3:uid="{70F9FC4D-2A8F-4088-A5EE-69788E1AFD9B}" name="Pledge Value" dataDxfId="138"/>
    <tableColumn id="4" xr3:uid="{070AA0F4-8A37-498D-8B1F-065A2D196ED4}" name="Margin" dataDxfId="137"/>
    <tableColumn id="5" xr3:uid="{35A08132-74D9-485D-92FC-BC0CB8DF47D5}" name="Column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08C816-6668-4168-AC72-993955FB6977}" name="LOT" displayName="LOT" ref="B2:E20" totalsRowShown="0">
  <autoFilter ref="B2:E20" xr:uid="{CB08C816-6668-4168-AC72-993955FB6977}"/>
  <tableColumns count="4">
    <tableColumn id="1" xr3:uid="{359CF3E0-CE93-472E-954C-5B94E3BC2B50}" name="Strategy" dataDxfId="136"/>
    <tableColumn id="2" xr3:uid="{3276B3BB-09E7-4DE9-9228-3C0BCC7A4B99}" name="SENSEX" dataDxfId="135"/>
    <tableColumn id="4" xr3:uid="{09A1D48E-9072-4372-B096-DC7A880B591F}" name="BANKNIFTY" dataDxfId="134"/>
    <tableColumn id="3" xr3:uid="{C824D62E-12B8-4645-B747-C9AA664BDD19}" name="NIFTY" dataDxfId="13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A2FE31-CF8F-4AAB-8546-0F8A90607772}" name="MR_2" displayName="MR_2" ref="H30:K36" totalsRowShown="0" headerRowDxfId="132" dataDxfId="131">
  <autoFilter ref="H30:K36" xr:uid="{18A2FE31-CF8F-4AAB-8546-0F8A90607772}"/>
  <tableColumns count="4">
    <tableColumn id="1" xr3:uid="{7C361003-AF5D-4FFE-AE51-F988D88AE24E}" name="Index" dataDxfId="130"/>
    <tableColumn id="2" xr3:uid="{2556168C-969E-4A3E-97CE-8D5FBA005682}" name="Day Type" dataDxfId="129"/>
    <tableColumn id="3" xr3:uid="{1217AE3B-5456-4508-8B74-50172ABF3353}" name="W.H" dataDxfId="128"/>
    <tableColumn id="4" xr3:uid="{C5220CD8-2A84-4882-A9EB-D8A0E5C34FF1}" name="W.O.H" dataDxfId="12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35F29-D1BD-4893-9826-FB62C2A18612}">
  <sheetPr codeName="Sheet1"/>
  <dimension ref="A1:I8"/>
  <sheetViews>
    <sheetView workbookViewId="0">
      <selection activeCell="D5" sqref="D5"/>
    </sheetView>
  </sheetViews>
  <sheetFormatPr defaultRowHeight="15" x14ac:dyDescent="0.25"/>
  <cols>
    <col min="2" max="2" width="10.42578125" bestFit="1" customWidth="1"/>
    <col min="3" max="3" width="11" bestFit="1" customWidth="1"/>
    <col min="4" max="4" width="10.42578125" bestFit="1" customWidth="1"/>
    <col min="9" max="9" width="10.85546875" bestFit="1" customWidth="1"/>
  </cols>
  <sheetData>
    <row r="1" spans="1:9" x14ac:dyDescent="0.25">
      <c r="I1" t="s">
        <v>98</v>
      </c>
    </row>
    <row r="2" spans="1:9" x14ac:dyDescent="0.25">
      <c r="A2" s="4"/>
      <c r="B2" s="4" t="s">
        <v>14</v>
      </c>
      <c r="C2" s="4" t="s">
        <v>81</v>
      </c>
      <c r="D2" s="4" t="s">
        <v>15</v>
      </c>
      <c r="I2" s="41" t="s">
        <v>14</v>
      </c>
    </row>
    <row r="3" spans="1:9" x14ac:dyDescent="0.25">
      <c r="A3" s="4">
        <v>1</v>
      </c>
      <c r="B3" s="51">
        <v>46125</v>
      </c>
      <c r="C3" s="51">
        <v>46140</v>
      </c>
      <c r="D3" s="51">
        <v>46128</v>
      </c>
      <c r="I3" s="41" t="s">
        <v>81</v>
      </c>
    </row>
    <row r="4" spans="1:9" x14ac:dyDescent="0.25">
      <c r="A4" s="4">
        <v>2</v>
      </c>
      <c r="B4" s="51">
        <v>46133</v>
      </c>
      <c r="C4" s="4"/>
      <c r="D4" s="51">
        <v>46135</v>
      </c>
      <c r="I4" s="41" t="s">
        <v>15</v>
      </c>
    </row>
    <row r="5" spans="1:9" x14ac:dyDescent="0.25">
      <c r="A5" s="4">
        <v>3</v>
      </c>
      <c r="C5" s="4"/>
      <c r="D5" s="51"/>
    </row>
    <row r="6" spans="1:9" x14ac:dyDescent="0.25">
      <c r="A6" s="4">
        <v>4</v>
      </c>
      <c r="B6" s="51"/>
      <c r="C6" s="4"/>
      <c r="D6" s="51"/>
    </row>
    <row r="7" spans="1:9" x14ac:dyDescent="0.25">
      <c r="A7" s="4">
        <v>5</v>
      </c>
      <c r="B7" s="51"/>
      <c r="C7" s="4"/>
      <c r="D7" s="51"/>
    </row>
    <row r="8" spans="1:9" x14ac:dyDescent="0.25">
      <c r="A8" s="4">
        <v>6</v>
      </c>
      <c r="B8" s="4"/>
      <c r="C8" s="4"/>
      <c r="D8" s="5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19B88-CF9E-4CA9-A962-DD990FB890AA}">
  <sheetPr codeName="Sheet2"/>
  <dimension ref="C2:O209"/>
  <sheetViews>
    <sheetView tabSelected="1" workbookViewId="0">
      <selection activeCell="G8" sqref="G8"/>
    </sheetView>
  </sheetViews>
  <sheetFormatPr defaultRowHeight="15" x14ac:dyDescent="0.25"/>
  <cols>
    <col min="3" max="3" width="15.28515625" customWidth="1"/>
    <col min="4" max="4" width="11.42578125" customWidth="1"/>
    <col min="5" max="5" width="11.140625" customWidth="1"/>
    <col min="6" max="6" width="17.5703125" bestFit="1" customWidth="1"/>
    <col min="7" max="7" width="11.7109375" customWidth="1"/>
    <col min="8" max="8" width="10.85546875" style="4" bestFit="1" customWidth="1"/>
    <col min="9" max="9" width="11" customWidth="1"/>
    <col min="10" max="10" width="12.7109375" style="4" customWidth="1"/>
    <col min="11" max="11" width="11.42578125" customWidth="1"/>
    <col min="13" max="13" width="14" customWidth="1"/>
    <col min="15" max="15" width="8.140625" customWidth="1"/>
  </cols>
  <sheetData>
    <row r="2" spans="3:15" x14ac:dyDescent="0.25">
      <c r="C2" s="63" t="s">
        <v>135</v>
      </c>
      <c r="D2" s="64" t="s">
        <v>114</v>
      </c>
      <c r="E2" s="64" t="s">
        <v>125</v>
      </c>
      <c r="F2" s="64" t="s">
        <v>55</v>
      </c>
      <c r="G2" s="64" t="s">
        <v>126</v>
      </c>
      <c r="H2" s="64" t="s">
        <v>127</v>
      </c>
      <c r="I2" s="64" t="s">
        <v>128</v>
      </c>
      <c r="J2" s="64" t="s">
        <v>129</v>
      </c>
      <c r="K2" s="64" t="s">
        <v>130</v>
      </c>
      <c r="L2" s="64" t="s">
        <v>131</v>
      </c>
      <c r="M2" s="64" t="s">
        <v>132</v>
      </c>
      <c r="N2" s="64" t="s">
        <v>133</v>
      </c>
      <c r="O2" s="65" t="s">
        <v>134</v>
      </c>
    </row>
    <row r="3" spans="3:15" x14ac:dyDescent="0.25">
      <c r="C3" s="5" t="s">
        <v>69</v>
      </c>
      <c r="D3" s="14">
        <v>4</v>
      </c>
      <c r="E3" s="14" t="s">
        <v>116</v>
      </c>
      <c r="F3" t="s">
        <v>141</v>
      </c>
      <c r="G3" s="14" t="s">
        <v>117</v>
      </c>
      <c r="H3" s="14" t="s">
        <v>14</v>
      </c>
      <c r="I3" s="55" cm="1">
        <f t="array" aca="1" ref="I3" ca="1">INDEX(_xlfn._xlws.SORT(INDIRECT(STR_LIST[[#This Row],[Symbol]]),1,1),1,0)</f>
        <v>46125</v>
      </c>
      <c r="J3" s="56">
        <v>0.4375</v>
      </c>
      <c r="K3" s="56">
        <v>0.1423611111111111</v>
      </c>
      <c r="L3" s="14" t="s">
        <v>253</v>
      </c>
      <c r="M3" s="14" t="s">
        <v>119</v>
      </c>
      <c r="N3" s="14" t="s">
        <v>120</v>
      </c>
      <c r="O3" s="57">
        <v>1</v>
      </c>
    </row>
    <row r="4" spans="3:15" x14ac:dyDescent="0.25">
      <c r="C4" s="5" t="s">
        <v>69</v>
      </c>
      <c r="D4" s="14">
        <v>4</v>
      </c>
      <c r="E4" s="14" t="s">
        <v>116</v>
      </c>
      <c r="F4" t="s">
        <v>219</v>
      </c>
      <c r="G4" s="14" t="s">
        <v>117</v>
      </c>
      <c r="H4" s="14" t="s">
        <v>14</v>
      </c>
      <c r="I4" s="55" cm="1">
        <f t="array" aca="1" ref="I4" ca="1">INDEX(_xlfn._xlws.SORT(INDIRECT(STR_LIST[[#This Row],[Symbol]]),1,1),1,0)</f>
        <v>46125</v>
      </c>
      <c r="J4" s="56">
        <v>0.44791666666666669</v>
      </c>
      <c r="K4" s="56">
        <v>0.1423611111111111</v>
      </c>
      <c r="L4" s="14" t="s">
        <v>253</v>
      </c>
      <c r="M4" s="14" t="s">
        <v>119</v>
      </c>
      <c r="N4" s="14" t="s">
        <v>120</v>
      </c>
      <c r="O4" s="57">
        <v>1</v>
      </c>
    </row>
    <row r="5" spans="3:15" x14ac:dyDescent="0.25">
      <c r="C5" s="5" t="s">
        <v>69</v>
      </c>
      <c r="D5" s="14">
        <v>4</v>
      </c>
      <c r="E5" s="14" t="s">
        <v>116</v>
      </c>
      <c r="F5" t="s">
        <v>220</v>
      </c>
      <c r="G5" s="14" t="s">
        <v>117</v>
      </c>
      <c r="H5" s="14" t="s">
        <v>14</v>
      </c>
      <c r="I5" s="55" cm="1">
        <f t="array" aca="1" ref="I5" ca="1">INDEX(_xlfn._xlws.SORT(INDIRECT(STR_LIST[[#This Row],[Symbol]]),1,1),1,0)</f>
        <v>46125</v>
      </c>
      <c r="J5" s="56">
        <v>0.45833333333333331</v>
      </c>
      <c r="K5" s="56">
        <v>0.1423611111111111</v>
      </c>
      <c r="L5" s="14" t="s">
        <v>253</v>
      </c>
      <c r="M5" s="14" t="s">
        <v>119</v>
      </c>
      <c r="N5" s="14" t="s">
        <v>120</v>
      </c>
      <c r="O5" s="57">
        <v>1</v>
      </c>
    </row>
    <row r="6" spans="3:15" x14ac:dyDescent="0.25">
      <c r="C6" s="5" t="s">
        <v>69</v>
      </c>
      <c r="D6" s="14">
        <v>4</v>
      </c>
      <c r="E6" s="14" t="s">
        <v>116</v>
      </c>
      <c r="F6" t="s">
        <v>221</v>
      </c>
      <c r="G6" s="14" t="s">
        <v>117</v>
      </c>
      <c r="H6" s="14" t="s">
        <v>14</v>
      </c>
      <c r="I6" s="55" cm="1">
        <f t="array" aca="1" ref="I6" ca="1">INDEX(_xlfn._xlws.SORT(INDIRECT(STR_LIST[[#This Row],[Symbol]]),1,1),1,0)</f>
        <v>46125</v>
      </c>
      <c r="J6" s="56">
        <v>0.46875</v>
      </c>
      <c r="K6" s="56">
        <v>0.1423611111111111</v>
      </c>
      <c r="L6" s="14" t="s">
        <v>253</v>
      </c>
      <c r="M6" s="14" t="s">
        <v>119</v>
      </c>
      <c r="N6" s="14" t="s">
        <v>120</v>
      </c>
      <c r="O6" s="57">
        <v>1</v>
      </c>
    </row>
    <row r="7" spans="3:15" x14ac:dyDescent="0.25">
      <c r="C7" s="5" t="s">
        <v>69</v>
      </c>
      <c r="D7" s="14">
        <v>4</v>
      </c>
      <c r="E7" s="14" t="s">
        <v>116</v>
      </c>
      <c r="F7" t="s">
        <v>140</v>
      </c>
      <c r="G7" s="14" t="s">
        <v>117</v>
      </c>
      <c r="H7" s="14" t="s">
        <v>14</v>
      </c>
      <c r="I7" s="55" cm="1">
        <f t="array" aca="1" ref="I7" ca="1">INDEX(_xlfn._xlws.SORT(INDIRECT(STR_LIST[[#This Row],[Symbol]]),1,1),1,0)</f>
        <v>46125</v>
      </c>
      <c r="J7" s="56">
        <v>0.47916666666666669</v>
      </c>
      <c r="K7" s="56">
        <v>0.1423611111111111</v>
      </c>
      <c r="L7" s="14" t="s">
        <v>253</v>
      </c>
      <c r="M7" s="14" t="s">
        <v>119</v>
      </c>
      <c r="N7" s="14" t="s">
        <v>120</v>
      </c>
      <c r="O7" s="57">
        <v>1</v>
      </c>
    </row>
    <row r="8" spans="3:15" x14ac:dyDescent="0.25">
      <c r="C8" s="5" t="s">
        <v>69</v>
      </c>
      <c r="D8" s="14">
        <v>4</v>
      </c>
      <c r="E8" s="14" t="s">
        <v>116</v>
      </c>
      <c r="F8" t="s">
        <v>225</v>
      </c>
      <c r="G8" s="14" t="s">
        <v>117</v>
      </c>
      <c r="H8" s="14" t="s">
        <v>14</v>
      </c>
      <c r="I8" s="55" cm="1">
        <f t="array" aca="1" ref="I8" ca="1">INDEX(_xlfn._xlws.SORT(INDIRECT(STR_LIST[[#This Row],[Symbol]]),1,1),1,0)</f>
        <v>46125</v>
      </c>
      <c r="J8" s="56">
        <v>0.5</v>
      </c>
      <c r="K8" s="56">
        <v>0.1423611111111111</v>
      </c>
      <c r="L8" s="14" t="s">
        <v>122</v>
      </c>
      <c r="M8" s="14" t="s">
        <v>119</v>
      </c>
      <c r="N8" s="14" t="s">
        <v>120</v>
      </c>
      <c r="O8" s="57">
        <v>1</v>
      </c>
    </row>
    <row r="9" spans="3:15" x14ac:dyDescent="0.25">
      <c r="C9" s="5" t="s">
        <v>69</v>
      </c>
      <c r="D9" s="14">
        <v>4</v>
      </c>
      <c r="E9" s="14" t="s">
        <v>116</v>
      </c>
      <c r="F9" t="s">
        <v>249</v>
      </c>
      <c r="G9" s="14" t="s">
        <v>117</v>
      </c>
      <c r="H9" s="14" t="s">
        <v>14</v>
      </c>
      <c r="I9" s="55" cm="1">
        <f t="array" aca="1" ref="I9" ca="1">INDEX(_xlfn._xlws.SORT(INDIRECT(STR_LIST[[#This Row],[Symbol]]),1,1),1,0)</f>
        <v>46125</v>
      </c>
      <c r="J9" s="56">
        <v>0.51041666666666663</v>
      </c>
      <c r="K9" s="56">
        <v>0.1423611111111111</v>
      </c>
      <c r="L9" s="14" t="s">
        <v>122</v>
      </c>
      <c r="M9" s="14" t="s">
        <v>119</v>
      </c>
      <c r="N9" s="14" t="s">
        <v>120</v>
      </c>
      <c r="O9" s="57">
        <v>1</v>
      </c>
    </row>
    <row r="10" spans="3:15" x14ac:dyDescent="0.25">
      <c r="C10" s="5" t="s">
        <v>69</v>
      </c>
      <c r="D10" s="14">
        <v>4</v>
      </c>
      <c r="E10" s="14" t="s">
        <v>116</v>
      </c>
      <c r="F10" t="s">
        <v>250</v>
      </c>
      <c r="G10" s="14" t="s">
        <v>117</v>
      </c>
      <c r="H10" s="14" t="s">
        <v>14</v>
      </c>
      <c r="I10" s="55" cm="1">
        <f t="array" aca="1" ref="I10" ca="1">INDEX(_xlfn._xlws.SORT(INDIRECT(STR_LIST[[#This Row],[Symbol]]),1,1),1,0)</f>
        <v>46125</v>
      </c>
      <c r="J10" s="56">
        <v>0.52083333333333337</v>
      </c>
      <c r="K10" s="56">
        <v>0.1423611111111111</v>
      </c>
      <c r="L10" s="14" t="s">
        <v>122</v>
      </c>
      <c r="M10" s="14" t="s">
        <v>119</v>
      </c>
      <c r="N10" s="14" t="s">
        <v>120</v>
      </c>
      <c r="O10" s="57">
        <v>1</v>
      </c>
    </row>
    <row r="11" spans="3:15" x14ac:dyDescent="0.25">
      <c r="C11" s="5" t="s">
        <v>69</v>
      </c>
      <c r="D11" s="14">
        <v>4</v>
      </c>
      <c r="E11" s="14" t="s">
        <v>116</v>
      </c>
      <c r="F11" t="s">
        <v>251</v>
      </c>
      <c r="G11" s="14" t="s">
        <v>117</v>
      </c>
      <c r="H11" s="14" t="s">
        <v>14</v>
      </c>
      <c r="I11" s="55" cm="1">
        <f t="array" aca="1" ref="I11" ca="1">INDEX(_xlfn._xlws.SORT(INDIRECT(STR_LIST[[#This Row],[Symbol]]),1,1),1,0)</f>
        <v>46125</v>
      </c>
      <c r="J11" s="56">
        <v>0.53125</v>
      </c>
      <c r="K11" s="56">
        <v>0.1423611111111111</v>
      </c>
      <c r="L11" s="14" t="s">
        <v>122</v>
      </c>
      <c r="M11" s="14" t="s">
        <v>119</v>
      </c>
      <c r="N11" s="14" t="s">
        <v>120</v>
      </c>
      <c r="O11" s="57">
        <v>1</v>
      </c>
    </row>
    <row r="12" spans="3:15" x14ac:dyDescent="0.25">
      <c r="C12" s="5" t="s">
        <v>69</v>
      </c>
      <c r="D12" s="14">
        <v>4</v>
      </c>
      <c r="E12" s="14" t="s">
        <v>116</v>
      </c>
      <c r="F12" t="s">
        <v>252</v>
      </c>
      <c r="G12" s="14" t="s">
        <v>117</v>
      </c>
      <c r="H12" s="14" t="s">
        <v>14</v>
      </c>
      <c r="I12" s="55" cm="1">
        <f t="array" aca="1" ref="I12" ca="1">INDEX(_xlfn._xlws.SORT(INDIRECT(STR_LIST[[#This Row],[Symbol]]),1,1),1,0)</f>
        <v>46125</v>
      </c>
      <c r="J12" s="56">
        <v>0.54166666666666663</v>
      </c>
      <c r="K12" s="56">
        <v>0.1423611111111111</v>
      </c>
      <c r="L12" s="14" t="s">
        <v>122</v>
      </c>
      <c r="M12" s="14" t="s">
        <v>119</v>
      </c>
      <c r="N12" s="14" t="s">
        <v>120</v>
      </c>
      <c r="O12" s="57">
        <v>1</v>
      </c>
    </row>
    <row r="13" spans="3:15" x14ac:dyDescent="0.25">
      <c r="C13" s="5" t="s">
        <v>69</v>
      </c>
      <c r="D13" s="14">
        <v>3</v>
      </c>
      <c r="E13" s="14" t="s">
        <v>116</v>
      </c>
      <c r="F13" s="53" t="s">
        <v>222</v>
      </c>
      <c r="G13" s="14" t="s">
        <v>117</v>
      </c>
      <c r="H13" s="14" t="s">
        <v>14</v>
      </c>
      <c r="I13" s="55" cm="1">
        <f t="array" aca="1" ref="I13" ca="1">INDEX(_xlfn._xlws.SORT(INDIRECT(STR_LIST[[#This Row],[Symbol]]),1,1),1,0)</f>
        <v>46125</v>
      </c>
      <c r="J13" s="56">
        <v>0.41666666666666669</v>
      </c>
      <c r="K13" s="56">
        <v>0.1451388888888889</v>
      </c>
      <c r="L13" s="14" t="s">
        <v>122</v>
      </c>
      <c r="M13" s="14" t="s">
        <v>119</v>
      </c>
      <c r="N13" s="14" t="s">
        <v>120</v>
      </c>
      <c r="O13" s="57">
        <v>0.3</v>
      </c>
    </row>
    <row r="14" spans="3:15" x14ac:dyDescent="0.25">
      <c r="C14" s="5" t="s">
        <v>69</v>
      </c>
      <c r="D14" s="14">
        <v>3</v>
      </c>
      <c r="E14" s="14" t="s">
        <v>116</v>
      </c>
      <c r="F14" s="53" t="s">
        <v>223</v>
      </c>
      <c r="G14" s="14" t="s">
        <v>117</v>
      </c>
      <c r="H14" s="14" t="s">
        <v>14</v>
      </c>
      <c r="I14" s="55" cm="1">
        <f t="array" aca="1" ref="I14" ca="1">INDEX(_xlfn._xlws.SORT(INDIRECT(STR_LIST[[#This Row],[Symbol]]),1,1),1,0)</f>
        <v>46125</v>
      </c>
      <c r="J14" s="56">
        <v>0.42708333333333331</v>
      </c>
      <c r="K14" s="56">
        <v>0.1451388888888889</v>
      </c>
      <c r="L14" s="14" t="s">
        <v>122</v>
      </c>
      <c r="M14" s="14" t="s">
        <v>119</v>
      </c>
      <c r="N14" s="14" t="s">
        <v>120</v>
      </c>
      <c r="O14" s="57">
        <v>0.3</v>
      </c>
    </row>
    <row r="15" spans="3:15" x14ac:dyDescent="0.25">
      <c r="C15" s="5" t="s">
        <v>69</v>
      </c>
      <c r="D15" s="14">
        <v>3</v>
      </c>
      <c r="E15" s="14" t="s">
        <v>116</v>
      </c>
      <c r="F15" s="53" t="s">
        <v>136</v>
      </c>
      <c r="G15" s="14" t="s">
        <v>117</v>
      </c>
      <c r="H15" s="14" t="s">
        <v>14</v>
      </c>
      <c r="I15" s="55" cm="1">
        <f t="array" aca="1" ref="I15" ca="1">INDEX(_xlfn._xlws.SORT(INDIRECT(STR_LIST[[#This Row],[Symbol]]),1,1),1,0)</f>
        <v>46125</v>
      </c>
      <c r="J15" s="56">
        <v>0.4375</v>
      </c>
      <c r="K15" s="56">
        <v>0.1451388888888889</v>
      </c>
      <c r="L15" s="14" t="s">
        <v>122</v>
      </c>
      <c r="M15" s="14" t="s">
        <v>119</v>
      </c>
      <c r="N15" s="14" t="s">
        <v>120</v>
      </c>
      <c r="O15" s="57">
        <v>0.3</v>
      </c>
    </row>
    <row r="16" spans="3:15" x14ac:dyDescent="0.25">
      <c r="C16" s="5" t="s">
        <v>69</v>
      </c>
      <c r="D16" s="14">
        <v>3</v>
      </c>
      <c r="E16" s="14" t="s">
        <v>116</v>
      </c>
      <c r="F16" s="53" t="s">
        <v>137</v>
      </c>
      <c r="G16" s="14" t="s">
        <v>117</v>
      </c>
      <c r="H16" s="14" t="s">
        <v>14</v>
      </c>
      <c r="I16" s="55" cm="1">
        <f t="array" aca="1" ref="I16" ca="1">INDEX(_xlfn._xlws.SORT(INDIRECT(STR_LIST[[#This Row],[Symbol]]),1,1),1,0)</f>
        <v>46125</v>
      </c>
      <c r="J16" s="56">
        <v>0.44791666666666669</v>
      </c>
      <c r="K16" s="56">
        <v>0.1451388888888889</v>
      </c>
      <c r="L16" s="14" t="s">
        <v>122</v>
      </c>
      <c r="M16" s="14" t="s">
        <v>119</v>
      </c>
      <c r="N16" s="14" t="s">
        <v>120</v>
      </c>
      <c r="O16" s="57">
        <v>0.3</v>
      </c>
    </row>
    <row r="17" spans="3:15" x14ac:dyDescent="0.25">
      <c r="C17" s="5" t="s">
        <v>69</v>
      </c>
      <c r="D17" s="14">
        <v>3</v>
      </c>
      <c r="E17" s="14" t="s">
        <v>116</v>
      </c>
      <c r="F17" s="53" t="s">
        <v>282</v>
      </c>
      <c r="G17" s="14" t="s">
        <v>117</v>
      </c>
      <c r="H17" s="14" t="s">
        <v>14</v>
      </c>
      <c r="I17" s="55" cm="1">
        <f t="array" aca="1" ref="I17" ca="1">INDEX(_xlfn._xlws.SORT(INDIRECT(STR_LIST[[#This Row],[Symbol]]),1,1),1,0)</f>
        <v>46125</v>
      </c>
      <c r="J17" s="56">
        <v>0.45833333333333331</v>
      </c>
      <c r="K17" s="56">
        <v>0.1451388888888889</v>
      </c>
      <c r="L17" s="14" t="s">
        <v>122</v>
      </c>
      <c r="M17" s="14" t="s">
        <v>119</v>
      </c>
      <c r="N17" s="14" t="s">
        <v>120</v>
      </c>
      <c r="O17" s="57">
        <v>0.3</v>
      </c>
    </row>
    <row r="18" spans="3:15" x14ac:dyDescent="0.25">
      <c r="C18" s="5" t="s">
        <v>69</v>
      </c>
      <c r="D18" s="14">
        <v>3</v>
      </c>
      <c r="E18" s="14" t="s">
        <v>116</v>
      </c>
      <c r="F18" s="53" t="s">
        <v>283</v>
      </c>
      <c r="G18" s="14" t="s">
        <v>117</v>
      </c>
      <c r="H18" s="14" t="s">
        <v>14</v>
      </c>
      <c r="I18" s="55" cm="1">
        <f t="array" aca="1" ref="I18" ca="1">INDEX(_xlfn._xlws.SORT(INDIRECT(STR_LIST[[#This Row],[Symbol]]),1,1),1,0)</f>
        <v>46125</v>
      </c>
      <c r="J18" s="56">
        <v>0.42708333333333331</v>
      </c>
      <c r="K18" s="56">
        <v>0.1451388888888889</v>
      </c>
      <c r="L18" s="14" t="s">
        <v>118</v>
      </c>
      <c r="M18" s="14" t="s">
        <v>119</v>
      </c>
      <c r="N18" s="14" t="s">
        <v>120</v>
      </c>
      <c r="O18" s="57">
        <v>0.3</v>
      </c>
    </row>
    <row r="19" spans="3:15" x14ac:dyDescent="0.25">
      <c r="C19" s="5" t="s">
        <v>69</v>
      </c>
      <c r="D19" s="14">
        <v>3</v>
      </c>
      <c r="E19" s="14" t="s">
        <v>116</v>
      </c>
      <c r="F19" s="53" t="s">
        <v>284</v>
      </c>
      <c r="G19" s="14" t="s">
        <v>117</v>
      </c>
      <c r="H19" s="14" t="s">
        <v>14</v>
      </c>
      <c r="I19" s="55" cm="1">
        <f t="array" aca="1" ref="I19" ca="1">INDEX(_xlfn._xlws.SORT(INDIRECT(STR_LIST[[#This Row],[Symbol]]),1,1),1,0)</f>
        <v>46125</v>
      </c>
      <c r="J19" s="56">
        <v>0.4375</v>
      </c>
      <c r="K19" s="56">
        <v>0.1451388888888889</v>
      </c>
      <c r="L19" s="14" t="s">
        <v>118</v>
      </c>
      <c r="M19" s="14" t="s">
        <v>119</v>
      </c>
      <c r="N19" s="14" t="s">
        <v>120</v>
      </c>
      <c r="O19" s="57">
        <v>0.3</v>
      </c>
    </row>
    <row r="20" spans="3:15" x14ac:dyDescent="0.25">
      <c r="C20" s="5" t="s">
        <v>69</v>
      </c>
      <c r="D20" s="14">
        <v>3</v>
      </c>
      <c r="E20" s="14" t="s">
        <v>116</v>
      </c>
      <c r="F20" s="53" t="s">
        <v>285</v>
      </c>
      <c r="G20" s="14" t="s">
        <v>117</v>
      </c>
      <c r="H20" s="14" t="s">
        <v>14</v>
      </c>
      <c r="I20" s="55" cm="1">
        <f t="array" aca="1" ref="I20" ca="1">INDEX(_xlfn._xlws.SORT(INDIRECT(STR_LIST[[#This Row],[Symbol]]),1,1),1,0)</f>
        <v>46125</v>
      </c>
      <c r="J20" s="56">
        <v>0.44791666666666669</v>
      </c>
      <c r="K20" s="56">
        <v>0.1451388888888889</v>
      </c>
      <c r="L20" s="14" t="s">
        <v>118</v>
      </c>
      <c r="M20" s="14" t="s">
        <v>119</v>
      </c>
      <c r="N20" s="14" t="s">
        <v>120</v>
      </c>
      <c r="O20" s="57">
        <v>0.3</v>
      </c>
    </row>
    <row r="21" spans="3:15" x14ac:dyDescent="0.25">
      <c r="C21" s="5" t="s">
        <v>69</v>
      </c>
      <c r="D21" s="14">
        <v>3</v>
      </c>
      <c r="E21" s="14" t="s">
        <v>116</v>
      </c>
      <c r="F21" s="53" t="s">
        <v>286</v>
      </c>
      <c r="G21" s="14" t="s">
        <v>117</v>
      </c>
      <c r="H21" s="14" t="s">
        <v>14</v>
      </c>
      <c r="I21" s="55" cm="1">
        <f t="array" aca="1" ref="I21" ca="1">INDEX(_xlfn._xlws.SORT(INDIRECT(STR_LIST[[#This Row],[Symbol]]),1,1),1,0)</f>
        <v>46125</v>
      </c>
      <c r="J21" s="56">
        <v>0.45833333333333331</v>
      </c>
      <c r="K21" s="56">
        <v>0.1451388888888889</v>
      </c>
      <c r="L21" s="14" t="s">
        <v>118</v>
      </c>
      <c r="M21" s="14" t="s">
        <v>119</v>
      </c>
      <c r="N21" s="14" t="s">
        <v>120</v>
      </c>
      <c r="O21" s="57">
        <v>0.3</v>
      </c>
    </row>
    <row r="22" spans="3:15" x14ac:dyDescent="0.25">
      <c r="C22" s="5" t="s">
        <v>69</v>
      </c>
      <c r="D22" s="14">
        <v>3</v>
      </c>
      <c r="E22" s="14" t="s">
        <v>116</v>
      </c>
      <c r="F22" s="53" t="s">
        <v>287</v>
      </c>
      <c r="G22" s="14" t="s">
        <v>117</v>
      </c>
      <c r="H22" s="14" t="s">
        <v>14</v>
      </c>
      <c r="I22" s="55" cm="1">
        <f t="array" aca="1" ref="I22" ca="1">INDEX(_xlfn._xlws.SORT(INDIRECT(STR_LIST[[#This Row],[Symbol]]),1,1),1,0)</f>
        <v>46125</v>
      </c>
      <c r="J22" s="56">
        <v>0.46875</v>
      </c>
      <c r="K22" s="56">
        <v>0.1451388888888889</v>
      </c>
      <c r="L22" s="14" t="s">
        <v>118</v>
      </c>
      <c r="M22" s="14" t="s">
        <v>119</v>
      </c>
      <c r="N22" s="14" t="s">
        <v>120</v>
      </c>
      <c r="O22" s="57">
        <v>0.3</v>
      </c>
    </row>
    <row r="23" spans="3:15" x14ac:dyDescent="0.25">
      <c r="C23" s="5" t="s">
        <v>69</v>
      </c>
      <c r="D23" s="14">
        <v>2</v>
      </c>
      <c r="E23" s="14" t="s">
        <v>116</v>
      </c>
      <c r="F23" t="s">
        <v>249</v>
      </c>
      <c r="G23" s="14" t="s">
        <v>117</v>
      </c>
      <c r="H23" s="14" t="s">
        <v>14</v>
      </c>
      <c r="I23" s="55" cm="1">
        <f t="array" aca="1" ref="I23" ca="1">INDEX(_xlfn._xlws.SORT(INDIRECT(STR_LIST[[#This Row],[Symbol]]),1,1),1,0)</f>
        <v>46125</v>
      </c>
      <c r="J23" s="56">
        <v>0.51041666666666663</v>
      </c>
      <c r="K23" s="56">
        <v>0.1423611111111111</v>
      </c>
      <c r="L23" s="14" t="s">
        <v>122</v>
      </c>
      <c r="M23" s="14" t="s">
        <v>119</v>
      </c>
      <c r="N23" s="14" t="s">
        <v>120</v>
      </c>
      <c r="O23" s="57">
        <v>0.7</v>
      </c>
    </row>
    <row r="24" spans="3:15" x14ac:dyDescent="0.25">
      <c r="C24" s="5" t="s">
        <v>69</v>
      </c>
      <c r="D24" s="14">
        <v>2</v>
      </c>
      <c r="E24" s="14" t="s">
        <v>116</v>
      </c>
      <c r="F24" t="s">
        <v>250</v>
      </c>
      <c r="G24" s="14" t="s">
        <v>117</v>
      </c>
      <c r="H24" s="14" t="s">
        <v>14</v>
      </c>
      <c r="I24" s="55" cm="1">
        <f t="array" aca="1" ref="I24" ca="1">INDEX(_xlfn._xlws.SORT(INDIRECT(STR_LIST[[#This Row],[Symbol]]),1,1),1,0)</f>
        <v>46125</v>
      </c>
      <c r="J24" s="56">
        <v>0.52083333333333337</v>
      </c>
      <c r="K24" s="56">
        <v>0.1423611111111111</v>
      </c>
      <c r="L24" s="14" t="s">
        <v>122</v>
      </c>
      <c r="M24" s="14" t="s">
        <v>119</v>
      </c>
      <c r="N24" s="14" t="s">
        <v>120</v>
      </c>
      <c r="O24" s="57">
        <v>0.7</v>
      </c>
    </row>
    <row r="25" spans="3:15" x14ac:dyDescent="0.25">
      <c r="C25" s="5" t="s">
        <v>69</v>
      </c>
      <c r="D25" s="14">
        <v>2</v>
      </c>
      <c r="E25" s="14" t="s">
        <v>116</v>
      </c>
      <c r="F25" t="s">
        <v>251</v>
      </c>
      <c r="G25" s="14" t="s">
        <v>117</v>
      </c>
      <c r="H25" s="14" t="s">
        <v>14</v>
      </c>
      <c r="I25" s="55" cm="1">
        <f t="array" aca="1" ref="I25" ca="1">INDEX(_xlfn._xlws.SORT(INDIRECT(STR_LIST[[#This Row],[Symbol]]),1,1),1,0)</f>
        <v>46125</v>
      </c>
      <c r="J25" s="56">
        <v>0.53125</v>
      </c>
      <c r="K25" s="56">
        <v>0.1423611111111111</v>
      </c>
      <c r="L25" s="14" t="s">
        <v>122</v>
      </c>
      <c r="M25" s="14" t="s">
        <v>119</v>
      </c>
      <c r="N25" s="14" t="s">
        <v>120</v>
      </c>
      <c r="O25" s="57">
        <v>0.7</v>
      </c>
    </row>
    <row r="26" spans="3:15" x14ac:dyDescent="0.25">
      <c r="C26" s="5" t="s">
        <v>69</v>
      </c>
      <c r="D26" s="14">
        <v>2</v>
      </c>
      <c r="E26" s="14" t="s">
        <v>116</v>
      </c>
      <c r="F26" t="s">
        <v>252</v>
      </c>
      <c r="G26" s="14" t="s">
        <v>117</v>
      </c>
      <c r="H26" s="14" t="s">
        <v>14</v>
      </c>
      <c r="I26" s="55" cm="1">
        <f t="array" aca="1" ref="I26" ca="1">INDEX(_xlfn._xlws.SORT(INDIRECT(STR_LIST[[#This Row],[Symbol]]),1,1),1,0)</f>
        <v>46125</v>
      </c>
      <c r="J26" s="56">
        <v>0.54166666666666663</v>
      </c>
      <c r="K26" s="56">
        <v>0.1423611111111111</v>
      </c>
      <c r="L26" s="14" t="s">
        <v>122</v>
      </c>
      <c r="M26" s="14" t="s">
        <v>119</v>
      </c>
      <c r="N26" s="14" t="s">
        <v>120</v>
      </c>
      <c r="O26" s="57">
        <v>0.7</v>
      </c>
    </row>
    <row r="27" spans="3:15" x14ac:dyDescent="0.25">
      <c r="C27" s="5" t="s">
        <v>69</v>
      </c>
      <c r="D27" s="14">
        <v>2</v>
      </c>
      <c r="E27" s="14" t="s">
        <v>116</v>
      </c>
      <c r="F27" t="s">
        <v>277</v>
      </c>
      <c r="G27" s="14" t="s">
        <v>117</v>
      </c>
      <c r="H27" s="14" t="s">
        <v>14</v>
      </c>
      <c r="I27" s="55" cm="1">
        <f t="array" aca="1" ref="I27" ca="1">INDEX(_xlfn._xlws.SORT(INDIRECT(STR_LIST[[#This Row],[Symbol]]),1,1),1,0)</f>
        <v>46125</v>
      </c>
      <c r="J27" s="56">
        <v>0.55208333333333337</v>
      </c>
      <c r="K27" s="56">
        <v>0.1423611111111111</v>
      </c>
      <c r="L27" s="14" t="s">
        <v>122</v>
      </c>
      <c r="M27" s="14" t="s">
        <v>119</v>
      </c>
      <c r="N27" s="14" t="s">
        <v>120</v>
      </c>
      <c r="O27" s="57">
        <v>0.7</v>
      </c>
    </row>
    <row r="28" spans="3:15" x14ac:dyDescent="0.25">
      <c r="C28" s="5" t="s">
        <v>69</v>
      </c>
      <c r="D28" s="14">
        <v>2</v>
      </c>
      <c r="E28" s="14" t="s">
        <v>116</v>
      </c>
      <c r="F28" t="s">
        <v>231</v>
      </c>
      <c r="G28" s="14" t="s">
        <v>117</v>
      </c>
      <c r="H28" s="14" t="s">
        <v>14</v>
      </c>
      <c r="I28" s="55" cm="1">
        <f t="array" aca="1" ref="I28" ca="1">INDEX(_xlfn._xlws.SORT(INDIRECT(STR_LIST[[#This Row],[Symbol]]),1,1),1,0)</f>
        <v>46125</v>
      </c>
      <c r="J28" s="56">
        <v>0.52083333333333337</v>
      </c>
      <c r="K28" s="56">
        <v>0.1423611111111111</v>
      </c>
      <c r="L28" s="14" t="s">
        <v>236</v>
      </c>
      <c r="M28" s="14" t="s">
        <v>119</v>
      </c>
      <c r="N28" s="14" t="s">
        <v>120</v>
      </c>
      <c r="O28" s="57">
        <v>0.5</v>
      </c>
    </row>
    <row r="29" spans="3:15" x14ac:dyDescent="0.25">
      <c r="C29" s="5" t="s">
        <v>69</v>
      </c>
      <c r="D29" s="14">
        <v>2</v>
      </c>
      <c r="E29" s="14" t="s">
        <v>116</v>
      </c>
      <c r="F29" t="s">
        <v>278</v>
      </c>
      <c r="G29" s="14" t="s">
        <v>117</v>
      </c>
      <c r="H29" s="14" t="s">
        <v>14</v>
      </c>
      <c r="I29" s="55" cm="1">
        <f t="array" aca="1" ref="I29" ca="1">INDEX(_xlfn._xlws.SORT(INDIRECT(STR_LIST[[#This Row],[Symbol]]),1,1),1,0)</f>
        <v>46125</v>
      </c>
      <c r="J29" s="56">
        <v>0.53125</v>
      </c>
      <c r="K29" s="56">
        <v>0.1423611111111111</v>
      </c>
      <c r="L29" s="14" t="s">
        <v>236</v>
      </c>
      <c r="M29" s="14" t="s">
        <v>119</v>
      </c>
      <c r="N29" s="14" t="s">
        <v>120</v>
      </c>
      <c r="O29" s="57">
        <v>0.5</v>
      </c>
    </row>
    <row r="30" spans="3:15" x14ac:dyDescent="0.25">
      <c r="C30" s="5" t="s">
        <v>69</v>
      </c>
      <c r="D30" s="14">
        <v>2</v>
      </c>
      <c r="E30" s="14" t="s">
        <v>116</v>
      </c>
      <c r="F30" t="s">
        <v>279</v>
      </c>
      <c r="G30" s="14" t="s">
        <v>117</v>
      </c>
      <c r="H30" s="14" t="s">
        <v>14</v>
      </c>
      <c r="I30" s="55" cm="1">
        <f t="array" aca="1" ref="I30" ca="1">INDEX(_xlfn._xlws.SORT(INDIRECT(STR_LIST[[#This Row],[Symbol]]),1,1),1,0)</f>
        <v>46125</v>
      </c>
      <c r="J30" s="56">
        <v>0.54166666666666663</v>
      </c>
      <c r="K30" s="56">
        <v>0.1423611111111111</v>
      </c>
      <c r="L30" s="14" t="s">
        <v>236</v>
      </c>
      <c r="M30" s="14" t="s">
        <v>119</v>
      </c>
      <c r="N30" s="14" t="s">
        <v>120</v>
      </c>
      <c r="O30" s="57">
        <v>0.5</v>
      </c>
    </row>
    <row r="31" spans="3:15" x14ac:dyDescent="0.25">
      <c r="C31" s="5" t="s">
        <v>69</v>
      </c>
      <c r="D31" s="14">
        <v>2</v>
      </c>
      <c r="E31" s="14" t="s">
        <v>116</v>
      </c>
      <c r="F31" t="s">
        <v>280</v>
      </c>
      <c r="G31" s="14" t="s">
        <v>117</v>
      </c>
      <c r="H31" s="14" t="s">
        <v>14</v>
      </c>
      <c r="I31" s="55" cm="1">
        <f t="array" aca="1" ref="I31" ca="1">INDEX(_xlfn._xlws.SORT(INDIRECT(STR_LIST[[#This Row],[Symbol]]),1,1),1,0)</f>
        <v>46125</v>
      </c>
      <c r="J31" s="56">
        <v>0.55208333333333337</v>
      </c>
      <c r="K31" s="56">
        <v>0.1423611111111111</v>
      </c>
      <c r="L31" s="14" t="s">
        <v>236</v>
      </c>
      <c r="M31" s="14" t="s">
        <v>119</v>
      </c>
      <c r="N31" s="14" t="s">
        <v>120</v>
      </c>
      <c r="O31" s="57">
        <v>0.5</v>
      </c>
    </row>
    <row r="32" spans="3:15" x14ac:dyDescent="0.25">
      <c r="C32" s="5" t="s">
        <v>69</v>
      </c>
      <c r="D32" s="14">
        <v>2</v>
      </c>
      <c r="E32" s="14" t="s">
        <v>116</v>
      </c>
      <c r="F32" t="s">
        <v>281</v>
      </c>
      <c r="G32" s="14" t="s">
        <v>117</v>
      </c>
      <c r="H32" s="14" t="s">
        <v>14</v>
      </c>
      <c r="I32" s="55" cm="1">
        <f t="array" aca="1" ref="I32" ca="1">INDEX(_xlfn._xlws.SORT(INDIRECT(STR_LIST[[#This Row],[Symbol]]),1,1),1,0)</f>
        <v>46125</v>
      </c>
      <c r="J32" s="56">
        <v>0.5625</v>
      </c>
      <c r="K32" s="56">
        <v>0.1423611111111111</v>
      </c>
      <c r="L32" s="14" t="s">
        <v>236</v>
      </c>
      <c r="M32" s="14" t="s">
        <v>119</v>
      </c>
      <c r="N32" s="14" t="s">
        <v>120</v>
      </c>
      <c r="O32" s="57">
        <v>0.5</v>
      </c>
    </row>
    <row r="33" spans="3:15" x14ac:dyDescent="0.25">
      <c r="C33" s="5" t="s">
        <v>69</v>
      </c>
      <c r="D33" s="14">
        <v>1</v>
      </c>
      <c r="E33" s="14" t="s">
        <v>116</v>
      </c>
      <c r="F33" t="s">
        <v>232</v>
      </c>
      <c r="G33" s="14" t="s">
        <v>117</v>
      </c>
      <c r="H33" s="14" t="s">
        <v>14</v>
      </c>
      <c r="I33" s="55" cm="1">
        <f t="array" aca="1" ref="I33" ca="1">INDEX(_xlfn._xlws.SORT(INDIRECT(STR_LIST[[#This Row],[Symbol]]),1,1),1,0)</f>
        <v>46125</v>
      </c>
      <c r="J33" s="56">
        <v>0.58333333333333337</v>
      </c>
      <c r="K33" s="56">
        <v>0.1423611111111111</v>
      </c>
      <c r="L33" s="14" t="s">
        <v>122</v>
      </c>
      <c r="M33" s="14" t="s">
        <v>119</v>
      </c>
      <c r="N33" s="14" t="s">
        <v>120</v>
      </c>
      <c r="O33" s="57">
        <v>0.7</v>
      </c>
    </row>
    <row r="34" spans="3:15" x14ac:dyDescent="0.25">
      <c r="C34" s="5" t="s">
        <v>69</v>
      </c>
      <c r="D34" s="14">
        <v>1</v>
      </c>
      <c r="E34" s="14" t="s">
        <v>116</v>
      </c>
      <c r="F34" t="s">
        <v>233</v>
      </c>
      <c r="G34" s="14" t="s">
        <v>117</v>
      </c>
      <c r="H34" s="14" t="s">
        <v>14</v>
      </c>
      <c r="I34" s="55" cm="1">
        <f t="array" aca="1" ref="I34" ca="1">INDEX(_xlfn._xlws.SORT(INDIRECT(STR_LIST[[#This Row],[Symbol]]),1,1),1,0)</f>
        <v>46125</v>
      </c>
      <c r="J34" s="56">
        <v>0.59375</v>
      </c>
      <c r="K34" s="56">
        <v>0.1423611111111111</v>
      </c>
      <c r="L34" s="14" t="s">
        <v>122</v>
      </c>
      <c r="M34" s="14" t="s">
        <v>119</v>
      </c>
      <c r="N34" s="14" t="s">
        <v>120</v>
      </c>
      <c r="O34" s="57">
        <v>0.7</v>
      </c>
    </row>
    <row r="35" spans="3:15" x14ac:dyDescent="0.25">
      <c r="C35" s="5" t="s">
        <v>69</v>
      </c>
      <c r="D35" s="14">
        <v>1</v>
      </c>
      <c r="E35" s="14" t="s">
        <v>116</v>
      </c>
      <c r="F35" t="s">
        <v>234</v>
      </c>
      <c r="G35" s="14" t="s">
        <v>117</v>
      </c>
      <c r="H35" s="14" t="s">
        <v>14</v>
      </c>
      <c r="I35" s="55" cm="1">
        <f t="array" aca="1" ref="I35" ca="1">INDEX(_xlfn._xlws.SORT(INDIRECT(STR_LIST[[#This Row],[Symbol]]),1,1),1,0)</f>
        <v>46125</v>
      </c>
      <c r="J35" s="56">
        <v>0.60416666666666663</v>
      </c>
      <c r="K35" s="56">
        <v>0.1423611111111111</v>
      </c>
      <c r="L35" s="14" t="s">
        <v>122</v>
      </c>
      <c r="M35" s="14" t="s">
        <v>119</v>
      </c>
      <c r="N35" s="14" t="s">
        <v>120</v>
      </c>
      <c r="O35" s="57">
        <v>0.7</v>
      </c>
    </row>
    <row r="36" spans="3:15" x14ac:dyDescent="0.25">
      <c r="C36" s="5" t="s">
        <v>69</v>
      </c>
      <c r="D36" s="14">
        <v>1</v>
      </c>
      <c r="E36" s="14" t="s">
        <v>116</v>
      </c>
      <c r="F36" t="s">
        <v>235</v>
      </c>
      <c r="G36" s="14" t="s">
        <v>117</v>
      </c>
      <c r="H36" s="14" t="s">
        <v>14</v>
      </c>
      <c r="I36" s="55" cm="1">
        <f t="array" aca="1" ref="I36" ca="1">INDEX(_xlfn._xlws.SORT(INDIRECT(STR_LIST[[#This Row],[Symbol]]),1,1),1,0)</f>
        <v>46125</v>
      </c>
      <c r="J36" s="56">
        <v>0.61458333333333337</v>
      </c>
      <c r="K36" s="56">
        <v>0.1423611111111111</v>
      </c>
      <c r="L36" s="14" t="s">
        <v>122</v>
      </c>
      <c r="M36" s="14" t="s">
        <v>119</v>
      </c>
      <c r="N36" s="14" t="s">
        <v>120</v>
      </c>
      <c r="O36" s="57">
        <v>0.7</v>
      </c>
    </row>
    <row r="37" spans="3:15" x14ac:dyDescent="0.25">
      <c r="C37" s="5" t="s">
        <v>69</v>
      </c>
      <c r="D37" s="14">
        <v>1</v>
      </c>
      <c r="E37" s="14" t="s">
        <v>116</v>
      </c>
      <c r="F37" t="s">
        <v>264</v>
      </c>
      <c r="G37" s="14" t="s">
        <v>117</v>
      </c>
      <c r="H37" s="14" t="s">
        <v>14</v>
      </c>
      <c r="I37" s="55" cm="1">
        <f t="array" aca="1" ref="I37" ca="1">INDEX(_xlfn._xlws.SORT(INDIRECT(STR_LIST[[#This Row],[Symbol]]),1,1),1,0)</f>
        <v>46125</v>
      </c>
      <c r="J37" s="56">
        <v>0.625</v>
      </c>
      <c r="K37" s="56">
        <v>0.1423611111111111</v>
      </c>
      <c r="L37" s="14" t="s">
        <v>122</v>
      </c>
      <c r="M37" s="14" t="s">
        <v>119</v>
      </c>
      <c r="N37" s="14" t="s">
        <v>120</v>
      </c>
      <c r="O37" s="57">
        <v>0.7</v>
      </c>
    </row>
    <row r="38" spans="3:15" x14ac:dyDescent="0.25">
      <c r="C38" s="5" t="s">
        <v>69</v>
      </c>
      <c r="D38" s="14">
        <v>1</v>
      </c>
      <c r="E38" s="14" t="s">
        <v>116</v>
      </c>
      <c r="F38" t="s">
        <v>232</v>
      </c>
      <c r="G38" s="14" t="s">
        <v>117</v>
      </c>
      <c r="H38" s="14" t="s">
        <v>14</v>
      </c>
      <c r="I38" s="55" cm="1">
        <f t="array" aca="1" ref="I38" ca="1">INDEX(_xlfn._xlws.SORT(INDIRECT(STR_LIST[[#This Row],[Symbol]]),1,1),1,0)</f>
        <v>46125</v>
      </c>
      <c r="J38" s="56">
        <v>0.58333333333333337</v>
      </c>
      <c r="K38" s="56">
        <v>0.1423611111111111</v>
      </c>
      <c r="L38" s="14" t="s">
        <v>122</v>
      </c>
      <c r="M38" s="14" t="s">
        <v>119</v>
      </c>
      <c r="N38" s="14" t="s">
        <v>120</v>
      </c>
      <c r="O38" s="57">
        <v>0.7</v>
      </c>
    </row>
    <row r="39" spans="3:15" x14ac:dyDescent="0.25">
      <c r="C39" s="5" t="s">
        <v>69</v>
      </c>
      <c r="D39" s="14">
        <v>1</v>
      </c>
      <c r="E39" s="14" t="s">
        <v>116</v>
      </c>
      <c r="F39" t="s">
        <v>233</v>
      </c>
      <c r="G39" s="14" t="s">
        <v>117</v>
      </c>
      <c r="H39" s="14" t="s">
        <v>14</v>
      </c>
      <c r="I39" s="55" cm="1">
        <f t="array" aca="1" ref="I39" ca="1">INDEX(_xlfn._xlws.SORT(INDIRECT(STR_LIST[[#This Row],[Symbol]]),1,1),1,0)</f>
        <v>46125</v>
      </c>
      <c r="J39" s="56">
        <v>0.59375</v>
      </c>
      <c r="K39" s="56">
        <v>0.1423611111111111</v>
      </c>
      <c r="L39" s="14" t="s">
        <v>122</v>
      </c>
      <c r="M39" s="14" t="s">
        <v>119</v>
      </c>
      <c r="N39" s="14" t="s">
        <v>120</v>
      </c>
      <c r="O39" s="57">
        <v>0.7</v>
      </c>
    </row>
    <row r="40" spans="3:15" x14ac:dyDescent="0.25">
      <c r="C40" s="5" t="s">
        <v>69</v>
      </c>
      <c r="D40" s="14">
        <v>1</v>
      </c>
      <c r="E40" s="14" t="s">
        <v>116</v>
      </c>
      <c r="F40" t="s">
        <v>234</v>
      </c>
      <c r="G40" s="14" t="s">
        <v>117</v>
      </c>
      <c r="H40" s="14" t="s">
        <v>14</v>
      </c>
      <c r="I40" s="55" cm="1">
        <f t="array" aca="1" ref="I40" ca="1">INDEX(_xlfn._xlws.SORT(INDIRECT(STR_LIST[[#This Row],[Symbol]]),1,1),1,0)</f>
        <v>46125</v>
      </c>
      <c r="J40" s="56">
        <v>0.60416666666666663</v>
      </c>
      <c r="K40" s="56">
        <v>0.1423611111111111</v>
      </c>
      <c r="L40" s="14" t="s">
        <v>122</v>
      </c>
      <c r="M40" s="14" t="s">
        <v>119</v>
      </c>
      <c r="N40" s="14" t="s">
        <v>120</v>
      </c>
      <c r="O40" s="57">
        <v>0.7</v>
      </c>
    </row>
    <row r="41" spans="3:15" x14ac:dyDescent="0.25">
      <c r="C41" s="5" t="s">
        <v>69</v>
      </c>
      <c r="D41" s="14">
        <v>1</v>
      </c>
      <c r="E41" s="14" t="s">
        <v>116</v>
      </c>
      <c r="F41" t="s">
        <v>235</v>
      </c>
      <c r="G41" s="14" t="s">
        <v>117</v>
      </c>
      <c r="H41" s="14" t="s">
        <v>14</v>
      </c>
      <c r="I41" s="55" cm="1">
        <f t="array" aca="1" ref="I41" ca="1">INDEX(_xlfn._xlws.SORT(INDIRECT(STR_LIST[[#This Row],[Symbol]]),1,1),1,0)</f>
        <v>46125</v>
      </c>
      <c r="J41" s="56">
        <v>0.61458333333333337</v>
      </c>
      <c r="K41" s="56">
        <v>0.1423611111111111</v>
      </c>
      <c r="L41" s="14" t="s">
        <v>122</v>
      </c>
      <c r="M41" s="14" t="s">
        <v>119</v>
      </c>
      <c r="N41" s="14" t="s">
        <v>120</v>
      </c>
      <c r="O41" s="57">
        <v>0.7</v>
      </c>
    </row>
    <row r="42" spans="3:15" x14ac:dyDescent="0.25">
      <c r="C42" s="5" t="s">
        <v>69</v>
      </c>
      <c r="D42" s="14">
        <v>1</v>
      </c>
      <c r="E42" s="14" t="s">
        <v>116</v>
      </c>
      <c r="F42" t="s">
        <v>264</v>
      </c>
      <c r="G42" s="14" t="s">
        <v>117</v>
      </c>
      <c r="H42" s="14" t="s">
        <v>14</v>
      </c>
      <c r="I42" s="55" cm="1">
        <f t="array" aca="1" ref="I42" ca="1">INDEX(_xlfn._xlws.SORT(INDIRECT(STR_LIST[[#This Row],[Symbol]]),1,1),1,0)</f>
        <v>46125</v>
      </c>
      <c r="J42" s="56">
        <v>0.625</v>
      </c>
      <c r="K42" s="56">
        <v>0.1423611111111111</v>
      </c>
      <c r="L42" s="14" t="s">
        <v>122</v>
      </c>
      <c r="M42" s="14" t="s">
        <v>119</v>
      </c>
      <c r="N42" s="14" t="s">
        <v>120</v>
      </c>
      <c r="O42" s="57">
        <v>0.7</v>
      </c>
    </row>
    <row r="43" spans="3:15" ht="15" customHeight="1" x14ac:dyDescent="0.25">
      <c r="C43" s="5" t="s">
        <v>69</v>
      </c>
      <c r="D43" s="14">
        <v>0</v>
      </c>
      <c r="E43" s="14" t="s">
        <v>116</v>
      </c>
      <c r="F43" t="s">
        <v>138</v>
      </c>
      <c r="G43" s="14" t="s">
        <v>117</v>
      </c>
      <c r="H43" s="14" t="s">
        <v>14</v>
      </c>
      <c r="I43" s="55" cm="1">
        <f t="array" aca="1" ref="I43" ca="1">INDEX(_xlfn._xlws.SORT(INDIRECT(STR_LIST[[#This Row],[Symbol]]),1,1),1,0)</f>
        <v>46125</v>
      </c>
      <c r="J43" s="56">
        <v>0.47916666666666669</v>
      </c>
      <c r="K43" s="56">
        <v>0.1451388888888889</v>
      </c>
      <c r="L43" s="14" t="s">
        <v>122</v>
      </c>
      <c r="M43" s="14" t="s">
        <v>119</v>
      </c>
      <c r="N43" s="14" t="s">
        <v>120</v>
      </c>
      <c r="O43" s="57">
        <v>1</v>
      </c>
    </row>
    <row r="44" spans="3:15" ht="15" customHeight="1" x14ac:dyDescent="0.25">
      <c r="C44" s="5" t="s">
        <v>69</v>
      </c>
      <c r="D44" s="14">
        <v>0</v>
      </c>
      <c r="E44" s="14" t="s">
        <v>116</v>
      </c>
      <c r="F44" t="s">
        <v>224</v>
      </c>
      <c r="G44" s="14" t="s">
        <v>117</v>
      </c>
      <c r="H44" s="14" t="s">
        <v>14</v>
      </c>
      <c r="I44" s="55" cm="1">
        <f t="array" aca="1" ref="I44" ca="1">INDEX(_xlfn._xlws.SORT(INDIRECT(STR_LIST[[#This Row],[Symbol]]),1,1),1,0)</f>
        <v>46125</v>
      </c>
      <c r="J44" s="56">
        <v>0.48958333333333331</v>
      </c>
      <c r="K44" s="56">
        <v>0.1451388888888889</v>
      </c>
      <c r="L44" s="14" t="s">
        <v>122</v>
      </c>
      <c r="M44" s="14" t="s">
        <v>119</v>
      </c>
      <c r="N44" s="14" t="s">
        <v>120</v>
      </c>
      <c r="O44" s="57">
        <v>1</v>
      </c>
    </row>
    <row r="45" spans="3:15" ht="15" customHeight="1" x14ac:dyDescent="0.25">
      <c r="C45" s="5" t="s">
        <v>69</v>
      </c>
      <c r="D45" s="14">
        <v>0</v>
      </c>
      <c r="E45" s="14" t="s">
        <v>116</v>
      </c>
      <c r="F45" t="s">
        <v>225</v>
      </c>
      <c r="G45" s="14" t="s">
        <v>117</v>
      </c>
      <c r="H45" s="14" t="s">
        <v>14</v>
      </c>
      <c r="I45" s="55" cm="1">
        <f t="array" aca="1" ref="I45" ca="1">INDEX(_xlfn._xlws.SORT(INDIRECT(STR_LIST[[#This Row],[Symbol]]),1,1),1,0)</f>
        <v>46125</v>
      </c>
      <c r="J45" s="56">
        <v>0.5</v>
      </c>
      <c r="K45" s="56">
        <v>0.1451388888888889</v>
      </c>
      <c r="L45" s="14" t="s">
        <v>122</v>
      </c>
      <c r="M45" s="14" t="s">
        <v>119</v>
      </c>
      <c r="N45" s="14" t="s">
        <v>120</v>
      </c>
      <c r="O45" s="57">
        <v>1</v>
      </c>
    </row>
    <row r="46" spans="3:15" x14ac:dyDescent="0.25">
      <c r="C46" s="5" t="s">
        <v>69</v>
      </c>
      <c r="D46" s="14">
        <v>0</v>
      </c>
      <c r="E46" s="14" t="s">
        <v>116</v>
      </c>
      <c r="F46" t="s">
        <v>249</v>
      </c>
      <c r="G46" s="14" t="s">
        <v>117</v>
      </c>
      <c r="H46" s="14" t="s">
        <v>14</v>
      </c>
      <c r="I46" s="55" cm="1">
        <f t="array" aca="1" ref="I46" ca="1">INDEX(_xlfn._xlws.SORT(INDIRECT(STR_LIST[[#This Row],[Symbol]]),1,1),1,0)</f>
        <v>46125</v>
      </c>
      <c r="J46" s="56">
        <v>0.51041666666666663</v>
      </c>
      <c r="K46" s="56">
        <v>0.1451388888888889</v>
      </c>
      <c r="L46" s="14" t="s">
        <v>122</v>
      </c>
      <c r="M46" s="14" t="s">
        <v>119</v>
      </c>
      <c r="N46" s="14" t="s">
        <v>120</v>
      </c>
      <c r="O46" s="57">
        <v>1</v>
      </c>
    </row>
    <row r="47" spans="3:15" x14ac:dyDescent="0.25">
      <c r="C47" s="5" t="s">
        <v>69</v>
      </c>
      <c r="D47" s="14">
        <v>0</v>
      </c>
      <c r="E47" s="14" t="s">
        <v>116</v>
      </c>
      <c r="F47" t="s">
        <v>250</v>
      </c>
      <c r="G47" s="14" t="s">
        <v>117</v>
      </c>
      <c r="H47" s="14" t="s">
        <v>14</v>
      </c>
      <c r="I47" s="55" cm="1">
        <f t="array" aca="1" ref="I47" ca="1">INDEX(_xlfn._xlws.SORT(INDIRECT(STR_LIST[[#This Row],[Symbol]]),1,1),1,0)</f>
        <v>46125</v>
      </c>
      <c r="J47" s="56">
        <v>0.52083333333333337</v>
      </c>
      <c r="K47" s="56">
        <v>0.1451388888888889</v>
      </c>
      <c r="L47" s="14" t="s">
        <v>122</v>
      </c>
      <c r="M47" s="14" t="s">
        <v>119</v>
      </c>
      <c r="N47" s="14" t="s">
        <v>120</v>
      </c>
      <c r="O47" s="57">
        <v>1</v>
      </c>
    </row>
    <row r="48" spans="3:15" x14ac:dyDescent="0.25">
      <c r="C48" s="5" t="s">
        <v>69</v>
      </c>
      <c r="D48" s="14">
        <v>0</v>
      </c>
      <c r="E48" s="14" t="s">
        <v>116</v>
      </c>
      <c r="F48" t="s">
        <v>220</v>
      </c>
      <c r="G48" s="14" t="s">
        <v>117</v>
      </c>
      <c r="H48" s="14" t="s">
        <v>14</v>
      </c>
      <c r="I48" s="55" cm="1">
        <f t="array" aca="1" ref="I48" ca="1">INDEX(_xlfn._xlws.SORT(INDIRECT(STR_LIST[[#This Row],[Symbol]]),1,1),1,0)</f>
        <v>46125</v>
      </c>
      <c r="J48" s="56">
        <v>0.45833333333333331</v>
      </c>
      <c r="K48" s="56">
        <v>0.1451388888888889</v>
      </c>
      <c r="L48" s="14" t="s">
        <v>253</v>
      </c>
      <c r="M48" s="14" t="s">
        <v>119</v>
      </c>
      <c r="N48" s="14" t="s">
        <v>120</v>
      </c>
      <c r="O48" s="57">
        <v>0.7</v>
      </c>
    </row>
    <row r="49" spans="3:15" x14ac:dyDescent="0.25">
      <c r="C49" s="5" t="s">
        <v>69</v>
      </c>
      <c r="D49" s="14">
        <v>0</v>
      </c>
      <c r="E49" s="14" t="s">
        <v>116</v>
      </c>
      <c r="F49" t="s">
        <v>221</v>
      </c>
      <c r="G49" s="14" t="s">
        <v>117</v>
      </c>
      <c r="H49" s="14" t="s">
        <v>14</v>
      </c>
      <c r="I49" s="55" cm="1">
        <f t="array" aca="1" ref="I49" ca="1">INDEX(_xlfn._xlws.SORT(INDIRECT(STR_LIST[[#This Row],[Symbol]]),1,1),1,0)</f>
        <v>46125</v>
      </c>
      <c r="J49" s="56">
        <v>0.46875</v>
      </c>
      <c r="K49" s="56">
        <v>0.1451388888888889</v>
      </c>
      <c r="L49" s="14" t="s">
        <v>253</v>
      </c>
      <c r="M49" s="14" t="s">
        <v>119</v>
      </c>
      <c r="N49" s="14" t="s">
        <v>120</v>
      </c>
      <c r="O49" s="57">
        <v>0.7</v>
      </c>
    </row>
    <row r="50" spans="3:15" x14ac:dyDescent="0.25">
      <c r="C50" s="5" t="s">
        <v>69</v>
      </c>
      <c r="D50" s="14">
        <v>0</v>
      </c>
      <c r="E50" s="14" t="s">
        <v>116</v>
      </c>
      <c r="F50" t="s">
        <v>140</v>
      </c>
      <c r="G50" s="14" t="s">
        <v>117</v>
      </c>
      <c r="H50" s="14" t="s">
        <v>14</v>
      </c>
      <c r="I50" s="55" cm="1">
        <f t="array" aca="1" ref="I50" ca="1">INDEX(_xlfn._xlws.SORT(INDIRECT(STR_LIST[[#This Row],[Symbol]]),1,1),1,0)</f>
        <v>46125</v>
      </c>
      <c r="J50" s="56">
        <v>0.47916666666666669</v>
      </c>
      <c r="K50" s="56">
        <v>0.1451388888888889</v>
      </c>
      <c r="L50" s="14" t="s">
        <v>253</v>
      </c>
      <c r="M50" s="14" t="s">
        <v>119</v>
      </c>
      <c r="N50" s="14" t="s">
        <v>120</v>
      </c>
      <c r="O50" s="57">
        <v>0.7</v>
      </c>
    </row>
    <row r="51" spans="3:15" x14ac:dyDescent="0.25">
      <c r="C51" s="5" t="s">
        <v>69</v>
      </c>
      <c r="D51" s="14">
        <v>0</v>
      </c>
      <c r="E51" s="14" t="s">
        <v>116</v>
      </c>
      <c r="F51" t="s">
        <v>262</v>
      </c>
      <c r="G51" s="14" t="s">
        <v>117</v>
      </c>
      <c r="H51" s="14" t="s">
        <v>14</v>
      </c>
      <c r="I51" s="55" cm="1">
        <f t="array" aca="1" ref="I51" ca="1">INDEX(_xlfn._xlws.SORT(INDIRECT(STR_LIST[[#This Row],[Symbol]]),1,1),1,0)</f>
        <v>46125</v>
      </c>
      <c r="J51" s="56">
        <v>0.48958333333333331</v>
      </c>
      <c r="K51" s="56">
        <v>0.1451388888888889</v>
      </c>
      <c r="L51" s="14" t="s">
        <v>253</v>
      </c>
      <c r="M51" s="14" t="s">
        <v>119</v>
      </c>
      <c r="N51" s="14" t="s">
        <v>120</v>
      </c>
      <c r="O51" s="57">
        <v>0.7</v>
      </c>
    </row>
    <row r="52" spans="3:15" x14ac:dyDescent="0.25">
      <c r="C52" s="5" t="s">
        <v>69</v>
      </c>
      <c r="D52" s="14">
        <v>0</v>
      </c>
      <c r="E52" s="14" t="s">
        <v>116</v>
      </c>
      <c r="F52" t="s">
        <v>263</v>
      </c>
      <c r="G52" s="14" t="s">
        <v>117</v>
      </c>
      <c r="H52" s="14" t="s">
        <v>14</v>
      </c>
      <c r="I52" s="55" cm="1">
        <f t="array" aca="1" ref="I52" ca="1">INDEX(_xlfn._xlws.SORT(INDIRECT(STR_LIST[[#This Row],[Symbol]]),1,1),1,0)</f>
        <v>46125</v>
      </c>
      <c r="J52" s="56">
        <v>0.5</v>
      </c>
      <c r="K52" s="56">
        <v>0.1451388888888889</v>
      </c>
      <c r="L52" s="14" t="s">
        <v>253</v>
      </c>
      <c r="M52" s="14" t="s">
        <v>119</v>
      </c>
      <c r="N52" s="14" t="s">
        <v>120</v>
      </c>
      <c r="O52" s="57">
        <v>0.7</v>
      </c>
    </row>
    <row r="53" spans="3:15" x14ac:dyDescent="0.25">
      <c r="C53" s="5" t="s">
        <v>154</v>
      </c>
      <c r="D53" s="14">
        <v>0</v>
      </c>
      <c r="E53" s="14" t="s">
        <v>116</v>
      </c>
      <c r="F53" s="53" t="s">
        <v>142</v>
      </c>
      <c r="G53" s="14" t="s">
        <v>117</v>
      </c>
      <c r="H53" s="53" t="s">
        <v>14</v>
      </c>
      <c r="I53" s="55" cm="1">
        <f t="array" aca="1" ref="I53" ca="1">INDEX(_xlfn._xlws.SORT(INDIRECT(STR_LIST[[#This Row],[Symbol]]),1,1),1,0)</f>
        <v>46125</v>
      </c>
      <c r="J53" s="56">
        <v>8.3333333333333329E-2</v>
      </c>
      <c r="K53" s="56">
        <v>0.1451388888888889</v>
      </c>
      <c r="L53" s="14" t="s">
        <v>143</v>
      </c>
      <c r="M53" s="14" t="s">
        <v>119</v>
      </c>
      <c r="N53" s="14" t="s">
        <v>120</v>
      </c>
      <c r="O53" s="57">
        <v>2.5</v>
      </c>
    </row>
    <row r="54" spans="3:15" x14ac:dyDescent="0.25">
      <c r="C54" s="5" t="s">
        <v>154</v>
      </c>
      <c r="D54" s="14">
        <v>0</v>
      </c>
      <c r="E54" s="14" t="s">
        <v>116</v>
      </c>
      <c r="F54" s="53" t="s">
        <v>144</v>
      </c>
      <c r="G54" s="14" t="s">
        <v>117</v>
      </c>
      <c r="H54" s="53" t="s">
        <v>14</v>
      </c>
      <c r="I54" s="55" cm="1">
        <f t="array" aca="1" ref="I54" ca="1">INDEX(_xlfn._xlws.SORT(INDIRECT(STR_LIST[[#This Row],[Symbol]]),1,1),1,0)</f>
        <v>46125</v>
      </c>
      <c r="J54" s="56">
        <v>8.5416666666666669E-2</v>
      </c>
      <c r="K54" s="56">
        <v>0.1451388888888889</v>
      </c>
      <c r="L54" s="14" t="s">
        <v>143</v>
      </c>
      <c r="M54" s="14" t="s">
        <v>119</v>
      </c>
      <c r="N54" s="14" t="s">
        <v>120</v>
      </c>
      <c r="O54" s="57">
        <v>2.5</v>
      </c>
    </row>
    <row r="55" spans="3:15" x14ac:dyDescent="0.25">
      <c r="C55" s="5" t="s">
        <v>154</v>
      </c>
      <c r="D55" s="14">
        <v>0</v>
      </c>
      <c r="E55" s="14" t="s">
        <v>116</v>
      </c>
      <c r="F55" s="53" t="s">
        <v>145</v>
      </c>
      <c r="G55" s="14" t="s">
        <v>117</v>
      </c>
      <c r="H55" s="53" t="s">
        <v>14</v>
      </c>
      <c r="I55" s="55" cm="1">
        <f t="array" aca="1" ref="I55" ca="1">INDEX(_xlfn._xlws.SORT(INDIRECT(STR_LIST[[#This Row],[Symbol]]),1,1),1,0)</f>
        <v>46125</v>
      </c>
      <c r="J55" s="56">
        <v>8.7499999999999994E-2</v>
      </c>
      <c r="K55" s="56">
        <v>0.1451388888888889</v>
      </c>
      <c r="L55" s="14" t="s">
        <v>143</v>
      </c>
      <c r="M55" s="14" t="s">
        <v>119</v>
      </c>
      <c r="N55" s="14" t="s">
        <v>120</v>
      </c>
      <c r="O55" s="57">
        <v>2.5</v>
      </c>
    </row>
    <row r="56" spans="3:15" x14ac:dyDescent="0.25">
      <c r="C56" s="5" t="s">
        <v>154</v>
      </c>
      <c r="D56" s="14">
        <v>0</v>
      </c>
      <c r="E56" s="14" t="s">
        <v>116</v>
      </c>
      <c r="F56" s="53" t="s">
        <v>146</v>
      </c>
      <c r="G56" s="14" t="s">
        <v>117</v>
      </c>
      <c r="H56" s="53" t="s">
        <v>14</v>
      </c>
      <c r="I56" s="55" cm="1">
        <f t="array" aca="1" ref="I56" ca="1">INDEX(_xlfn._xlws.SORT(INDIRECT(STR_LIST[[#This Row],[Symbol]]),1,1),1,0)</f>
        <v>46125</v>
      </c>
      <c r="J56" s="56">
        <v>8.9583333333333334E-2</v>
      </c>
      <c r="K56" s="56">
        <v>0.1451388888888889</v>
      </c>
      <c r="L56" s="14" t="s">
        <v>143</v>
      </c>
      <c r="M56" s="14" t="s">
        <v>119</v>
      </c>
      <c r="N56" s="14" t="s">
        <v>120</v>
      </c>
      <c r="O56" s="57">
        <v>2.5</v>
      </c>
    </row>
    <row r="57" spans="3:15" x14ac:dyDescent="0.25">
      <c r="C57" s="5" t="s">
        <v>154</v>
      </c>
      <c r="D57" s="14">
        <v>0</v>
      </c>
      <c r="E57" s="14" t="s">
        <v>116</v>
      </c>
      <c r="F57" s="53" t="s">
        <v>147</v>
      </c>
      <c r="G57" s="14" t="s">
        <v>117</v>
      </c>
      <c r="H57" s="53" t="s">
        <v>14</v>
      </c>
      <c r="I57" s="55" cm="1">
        <f t="array" aca="1" ref="I57" ca="1">INDEX(_xlfn._xlws.SORT(INDIRECT(STR_LIST[[#This Row],[Symbol]]),1,1),1,0)</f>
        <v>46125</v>
      </c>
      <c r="J57" s="56">
        <v>9.1666666666666702E-2</v>
      </c>
      <c r="K57" s="56">
        <v>0.1451388888888889</v>
      </c>
      <c r="L57" s="14" t="s">
        <v>143</v>
      </c>
      <c r="M57" s="14" t="s">
        <v>119</v>
      </c>
      <c r="N57" s="14" t="s">
        <v>120</v>
      </c>
      <c r="O57" s="57">
        <v>2.5</v>
      </c>
    </row>
    <row r="58" spans="3:15" x14ac:dyDescent="0.25">
      <c r="C58" s="5" t="s">
        <v>154</v>
      </c>
      <c r="D58" s="14">
        <v>0</v>
      </c>
      <c r="E58" s="14" t="s">
        <v>116</v>
      </c>
      <c r="F58" s="53" t="s">
        <v>148</v>
      </c>
      <c r="G58" s="14" t="s">
        <v>117</v>
      </c>
      <c r="H58" s="53" t="s">
        <v>14</v>
      </c>
      <c r="I58" s="55" cm="1">
        <f t="array" aca="1" ref="I58" ca="1">INDEX(_xlfn._xlws.SORT(INDIRECT(STR_LIST[[#This Row],[Symbol]]),1,1),1,0)</f>
        <v>46125</v>
      </c>
      <c r="J58" s="56">
        <v>9.375E-2</v>
      </c>
      <c r="K58" s="56">
        <v>0.1451388888888889</v>
      </c>
      <c r="L58" s="14" t="s">
        <v>143</v>
      </c>
      <c r="M58" s="14" t="s">
        <v>119</v>
      </c>
      <c r="N58" s="14" t="s">
        <v>120</v>
      </c>
      <c r="O58" s="57">
        <v>2.5</v>
      </c>
    </row>
    <row r="59" spans="3:15" x14ac:dyDescent="0.25">
      <c r="C59" s="5" t="s">
        <v>154</v>
      </c>
      <c r="D59" s="14">
        <v>0</v>
      </c>
      <c r="E59" s="14" t="s">
        <v>116</v>
      </c>
      <c r="F59" s="53" t="s">
        <v>149</v>
      </c>
      <c r="G59" s="14" t="s">
        <v>117</v>
      </c>
      <c r="H59" s="53" t="s">
        <v>14</v>
      </c>
      <c r="I59" s="55" cm="1">
        <f t="array" aca="1" ref="I59" ca="1">INDEX(_xlfn._xlws.SORT(INDIRECT(STR_LIST[[#This Row],[Symbol]]),1,1),1,0)</f>
        <v>46125</v>
      </c>
      <c r="J59" s="56">
        <v>9.5833333333333298E-2</v>
      </c>
      <c r="K59" s="56">
        <v>0.1451388888888889</v>
      </c>
      <c r="L59" s="14" t="s">
        <v>143</v>
      </c>
      <c r="M59" s="14" t="s">
        <v>119</v>
      </c>
      <c r="N59" s="14" t="s">
        <v>120</v>
      </c>
      <c r="O59" s="57">
        <v>2.5</v>
      </c>
    </row>
    <row r="60" spans="3:15" x14ac:dyDescent="0.25">
      <c r="C60" s="5" t="s">
        <v>154</v>
      </c>
      <c r="D60" s="14">
        <v>0</v>
      </c>
      <c r="E60" s="14" t="s">
        <v>116</v>
      </c>
      <c r="F60" s="53" t="s">
        <v>150</v>
      </c>
      <c r="G60" s="14" t="s">
        <v>117</v>
      </c>
      <c r="H60" s="53" t="s">
        <v>14</v>
      </c>
      <c r="I60" s="55" cm="1">
        <f t="array" aca="1" ref="I60" ca="1">INDEX(_xlfn._xlws.SORT(INDIRECT(STR_LIST[[#This Row],[Symbol]]),1,1),1,0)</f>
        <v>46125</v>
      </c>
      <c r="J60" s="56">
        <v>9.7916666666666693E-2</v>
      </c>
      <c r="K60" s="56">
        <v>0.1451388888888889</v>
      </c>
      <c r="L60" s="14" t="s">
        <v>143</v>
      </c>
      <c r="M60" s="14" t="s">
        <v>119</v>
      </c>
      <c r="N60" s="14" t="s">
        <v>120</v>
      </c>
      <c r="O60" s="57">
        <v>2.5</v>
      </c>
    </row>
    <row r="61" spans="3:15" x14ac:dyDescent="0.25">
      <c r="C61" s="5" t="s">
        <v>154</v>
      </c>
      <c r="D61" s="14">
        <v>0</v>
      </c>
      <c r="E61" s="14" t="s">
        <v>116</v>
      </c>
      <c r="F61" s="53" t="s">
        <v>151</v>
      </c>
      <c r="G61" s="14" t="s">
        <v>117</v>
      </c>
      <c r="H61" s="53" t="s">
        <v>14</v>
      </c>
      <c r="I61" s="55" cm="1">
        <f t="array" aca="1" ref="I61" ca="1">INDEX(_xlfn._xlws.SORT(INDIRECT(STR_LIST[[#This Row],[Symbol]]),1,1),1,0)</f>
        <v>46125</v>
      </c>
      <c r="J61" s="56">
        <v>0.1</v>
      </c>
      <c r="K61" s="56">
        <v>0.1451388888888889</v>
      </c>
      <c r="L61" s="14" t="s">
        <v>143</v>
      </c>
      <c r="M61" s="14" t="s">
        <v>119</v>
      </c>
      <c r="N61" s="14" t="s">
        <v>120</v>
      </c>
      <c r="O61" s="57">
        <v>2.5</v>
      </c>
    </row>
    <row r="62" spans="3:15" x14ac:dyDescent="0.25">
      <c r="C62" s="5" t="s">
        <v>154</v>
      </c>
      <c r="D62" s="14">
        <v>0</v>
      </c>
      <c r="E62" s="14" t="s">
        <v>116</v>
      </c>
      <c r="F62" s="53" t="s">
        <v>152</v>
      </c>
      <c r="G62" s="14" t="s">
        <v>117</v>
      </c>
      <c r="H62" s="53" t="s">
        <v>14</v>
      </c>
      <c r="I62" s="55" cm="1">
        <f t="array" aca="1" ref="I62" ca="1">INDEX(_xlfn._xlws.SORT(INDIRECT(STR_LIST[[#This Row],[Symbol]]),1,1),1,0)</f>
        <v>46125</v>
      </c>
      <c r="J62" s="56">
        <v>0.102083333333333</v>
      </c>
      <c r="K62" s="56">
        <v>0.1451388888888889</v>
      </c>
      <c r="L62" s="14" t="s">
        <v>143</v>
      </c>
      <c r="M62" s="14" t="s">
        <v>119</v>
      </c>
      <c r="N62" s="14" t="s">
        <v>120</v>
      </c>
      <c r="O62" s="57">
        <v>2.5</v>
      </c>
    </row>
    <row r="63" spans="3:15" x14ac:dyDescent="0.25">
      <c r="C63" s="5" t="s">
        <v>154</v>
      </c>
      <c r="D63" s="14">
        <v>0</v>
      </c>
      <c r="E63" s="14" t="s">
        <v>116</v>
      </c>
      <c r="F63" s="53" t="s">
        <v>153</v>
      </c>
      <c r="G63" s="14" t="s">
        <v>117</v>
      </c>
      <c r="H63" s="53" t="s">
        <v>14</v>
      </c>
      <c r="I63" s="55" cm="1">
        <f t="array" aca="1" ref="I63" ca="1">INDEX(_xlfn._xlws.SORT(INDIRECT(STR_LIST[[#This Row],[Symbol]]),1,1),1,0)</f>
        <v>46125</v>
      </c>
      <c r="J63" s="56">
        <v>0.104166666666667</v>
      </c>
      <c r="K63" s="56">
        <v>0.1451388888888889</v>
      </c>
      <c r="L63" s="14" t="s">
        <v>143</v>
      </c>
      <c r="M63" s="14" t="s">
        <v>119</v>
      </c>
      <c r="N63" s="14" t="s">
        <v>120</v>
      </c>
      <c r="O63" s="57">
        <v>2.5</v>
      </c>
    </row>
    <row r="64" spans="3:15" x14ac:dyDescent="0.25">
      <c r="C64" s="5" t="s">
        <v>1</v>
      </c>
      <c r="D64" s="14">
        <v>0</v>
      </c>
      <c r="E64" s="1" t="s">
        <v>116</v>
      </c>
      <c r="F64" s="53" t="s">
        <v>155</v>
      </c>
      <c r="G64" s="14" t="s">
        <v>117</v>
      </c>
      <c r="H64" s="53" t="s">
        <v>14</v>
      </c>
      <c r="I64" s="55" cm="1">
        <f t="array" aca="1" ref="I64" ca="1">INDEX(_xlfn._xlws.SORT(INDIRECT(STR_LIST[[#This Row],[Symbol]]),1,1),1,0)</f>
        <v>46125</v>
      </c>
      <c r="J64" s="56">
        <v>0.38611111111111113</v>
      </c>
      <c r="K64" s="56">
        <v>0.41319444444444442</v>
      </c>
      <c r="L64" s="14" t="s">
        <v>122</v>
      </c>
      <c r="M64" s="1" t="s">
        <v>119</v>
      </c>
      <c r="N64" s="14" t="s">
        <v>120</v>
      </c>
      <c r="O64" s="57">
        <v>0.35</v>
      </c>
    </row>
    <row r="65" spans="3:15" x14ac:dyDescent="0.25">
      <c r="C65" s="5" t="s">
        <v>1</v>
      </c>
      <c r="D65" s="14">
        <v>0</v>
      </c>
      <c r="E65" s="1" t="s">
        <v>116</v>
      </c>
      <c r="F65" s="53" t="s">
        <v>156</v>
      </c>
      <c r="G65" s="14" t="s">
        <v>117</v>
      </c>
      <c r="H65" s="53" t="s">
        <v>14</v>
      </c>
      <c r="I65" s="55" cm="1">
        <f t="array" aca="1" ref="I65" ca="1">INDEX(_xlfn._xlws.SORT(INDIRECT(STR_LIST[[#This Row],[Symbol]]),1,1),1,0)</f>
        <v>46125</v>
      </c>
      <c r="J65" s="56">
        <v>0.3923611111111111</v>
      </c>
      <c r="K65" s="56">
        <v>0.42013888888888901</v>
      </c>
      <c r="L65" s="14" t="s">
        <v>122</v>
      </c>
      <c r="M65" s="1" t="s">
        <v>119</v>
      </c>
      <c r="N65" s="14" t="s">
        <v>120</v>
      </c>
      <c r="O65" s="57">
        <v>0.35</v>
      </c>
    </row>
    <row r="66" spans="3:15" x14ac:dyDescent="0.25">
      <c r="C66" s="5" t="s">
        <v>1</v>
      </c>
      <c r="D66" s="14">
        <v>0</v>
      </c>
      <c r="E66" s="1" t="s">
        <v>116</v>
      </c>
      <c r="F66" s="53" t="s">
        <v>157</v>
      </c>
      <c r="G66" s="14" t="s">
        <v>117</v>
      </c>
      <c r="H66" s="53" t="s">
        <v>14</v>
      </c>
      <c r="I66" s="55" cm="1">
        <f t="array" aca="1" ref="I66" ca="1">INDEX(_xlfn._xlws.SORT(INDIRECT(STR_LIST[[#This Row],[Symbol]]),1,1),1,0)</f>
        <v>46125</v>
      </c>
      <c r="J66" s="56">
        <v>0.39930555555555558</v>
      </c>
      <c r="K66" s="56">
        <v>0.42708333333333348</v>
      </c>
      <c r="L66" s="14" t="s">
        <v>122</v>
      </c>
      <c r="M66" s="1" t="s">
        <v>119</v>
      </c>
      <c r="N66" s="14" t="s">
        <v>120</v>
      </c>
      <c r="O66" s="57">
        <v>0.35</v>
      </c>
    </row>
    <row r="67" spans="3:15" x14ac:dyDescent="0.25">
      <c r="C67" s="5" t="s">
        <v>1</v>
      </c>
      <c r="D67" s="14">
        <v>0</v>
      </c>
      <c r="E67" s="1" t="s">
        <v>116</v>
      </c>
      <c r="F67" s="53" t="s">
        <v>158</v>
      </c>
      <c r="G67" s="14" t="s">
        <v>117</v>
      </c>
      <c r="H67" s="53" t="s">
        <v>14</v>
      </c>
      <c r="I67" s="55" cm="1">
        <f t="array" aca="1" ref="I67" ca="1">INDEX(_xlfn._xlws.SORT(INDIRECT(STR_LIST[[#This Row],[Symbol]]),1,1),1,0)</f>
        <v>46125</v>
      </c>
      <c r="J67" s="56">
        <v>0.40625</v>
      </c>
      <c r="K67" s="56">
        <v>0.4340277777777779</v>
      </c>
      <c r="L67" s="14" t="s">
        <v>122</v>
      </c>
      <c r="M67" s="1" t="s">
        <v>119</v>
      </c>
      <c r="N67" s="14" t="s">
        <v>120</v>
      </c>
      <c r="O67" s="57">
        <v>0.35</v>
      </c>
    </row>
    <row r="68" spans="3:15" x14ac:dyDescent="0.25">
      <c r="C68" s="5" t="s">
        <v>1</v>
      </c>
      <c r="D68" s="14">
        <v>0</v>
      </c>
      <c r="E68" s="1" t="s">
        <v>116</v>
      </c>
      <c r="F68" s="53" t="s">
        <v>159</v>
      </c>
      <c r="G68" s="14" t="s">
        <v>117</v>
      </c>
      <c r="H68" s="53" t="s">
        <v>14</v>
      </c>
      <c r="I68" s="55" cm="1">
        <f t="array" aca="1" ref="I68" ca="1">INDEX(_xlfn._xlws.SORT(INDIRECT(STR_LIST[[#This Row],[Symbol]]),1,1),1,0)</f>
        <v>46125</v>
      </c>
      <c r="J68" s="56">
        <v>0.41319444444444497</v>
      </c>
      <c r="K68" s="56">
        <v>0.44097222222222288</v>
      </c>
      <c r="L68" s="14" t="s">
        <v>122</v>
      </c>
      <c r="M68" s="1" t="s">
        <v>119</v>
      </c>
      <c r="N68" s="14" t="s">
        <v>120</v>
      </c>
      <c r="O68" s="57">
        <v>0.35</v>
      </c>
    </row>
    <row r="69" spans="3:15" x14ac:dyDescent="0.25">
      <c r="C69" s="5" t="s">
        <v>1</v>
      </c>
      <c r="D69" s="14">
        <v>0</v>
      </c>
      <c r="E69" s="1" t="s">
        <v>116</v>
      </c>
      <c r="F69" s="53" t="s">
        <v>160</v>
      </c>
      <c r="G69" s="14" t="s">
        <v>117</v>
      </c>
      <c r="H69" s="53" t="s">
        <v>14</v>
      </c>
      <c r="I69" s="55" cm="1">
        <f t="array" aca="1" ref="I69" ca="1">INDEX(_xlfn._xlws.SORT(INDIRECT(STR_LIST[[#This Row],[Symbol]]),1,1),1,0)</f>
        <v>46125</v>
      </c>
      <c r="J69" s="56">
        <v>0.42013888888888901</v>
      </c>
      <c r="K69" s="56">
        <v>0.44791666666666691</v>
      </c>
      <c r="L69" s="14" t="s">
        <v>122</v>
      </c>
      <c r="M69" s="1" t="s">
        <v>119</v>
      </c>
      <c r="N69" s="14" t="s">
        <v>120</v>
      </c>
      <c r="O69" s="57">
        <v>0.35</v>
      </c>
    </row>
    <row r="70" spans="3:15" x14ac:dyDescent="0.25">
      <c r="C70" s="5" t="s">
        <v>1</v>
      </c>
      <c r="D70" s="14">
        <v>0</v>
      </c>
      <c r="E70" s="1" t="s">
        <v>116</v>
      </c>
      <c r="F70" s="53" t="s">
        <v>161</v>
      </c>
      <c r="G70" s="14" t="s">
        <v>117</v>
      </c>
      <c r="H70" s="53" t="s">
        <v>14</v>
      </c>
      <c r="I70" s="55" cm="1">
        <f t="array" aca="1" ref="I70" ca="1">INDEX(_xlfn._xlws.SORT(INDIRECT(STR_LIST[[#This Row],[Symbol]]),1,1),1,0)</f>
        <v>46125</v>
      </c>
      <c r="J70" s="56">
        <v>0.42708333333333298</v>
      </c>
      <c r="K70" s="56">
        <v>0.45486111111111088</v>
      </c>
      <c r="L70" s="14" t="s">
        <v>122</v>
      </c>
      <c r="M70" s="1" t="s">
        <v>119</v>
      </c>
      <c r="N70" s="14" t="s">
        <v>120</v>
      </c>
      <c r="O70" s="57">
        <v>0.35</v>
      </c>
    </row>
    <row r="71" spans="3:15" x14ac:dyDescent="0.25">
      <c r="C71" s="5" t="s">
        <v>1</v>
      </c>
      <c r="D71" s="14">
        <v>0</v>
      </c>
      <c r="E71" s="1" t="s">
        <v>116</v>
      </c>
      <c r="F71" s="53" t="s">
        <v>162</v>
      </c>
      <c r="G71" s="14" t="s">
        <v>117</v>
      </c>
      <c r="H71" s="53" t="s">
        <v>14</v>
      </c>
      <c r="I71" s="55" cm="1">
        <f t="array" aca="1" ref="I71" ca="1">INDEX(_xlfn._xlws.SORT(INDIRECT(STR_LIST[[#This Row],[Symbol]]),1,1),1,0)</f>
        <v>46125</v>
      </c>
      <c r="J71" s="56">
        <v>0.43402777777777801</v>
      </c>
      <c r="K71" s="56">
        <v>0.46180555555555591</v>
      </c>
      <c r="L71" s="14" t="s">
        <v>122</v>
      </c>
      <c r="M71" s="1" t="s">
        <v>119</v>
      </c>
      <c r="N71" s="14" t="s">
        <v>120</v>
      </c>
      <c r="O71" s="57">
        <v>0.35</v>
      </c>
    </row>
    <row r="72" spans="3:15" x14ac:dyDescent="0.25">
      <c r="C72" s="5" t="s">
        <v>1</v>
      </c>
      <c r="D72" s="14">
        <v>0</v>
      </c>
      <c r="E72" s="1" t="s">
        <v>116</v>
      </c>
      <c r="F72" s="53" t="s">
        <v>163</v>
      </c>
      <c r="G72" s="14" t="s">
        <v>117</v>
      </c>
      <c r="H72" s="53" t="s">
        <v>14</v>
      </c>
      <c r="I72" s="55" cm="1">
        <f t="array" aca="1" ref="I72" ca="1">INDEX(_xlfn._xlws.SORT(INDIRECT(STR_LIST[[#This Row],[Symbol]]),1,1),1,0)</f>
        <v>46125</v>
      </c>
      <c r="J72" s="56">
        <v>0.44097222222222199</v>
      </c>
      <c r="K72" s="56">
        <v>0.46874999999999989</v>
      </c>
      <c r="L72" s="14" t="s">
        <v>122</v>
      </c>
      <c r="M72" s="1" t="s">
        <v>119</v>
      </c>
      <c r="N72" s="14" t="s">
        <v>120</v>
      </c>
      <c r="O72" s="57">
        <v>0.35</v>
      </c>
    </row>
    <row r="73" spans="3:15" x14ac:dyDescent="0.25">
      <c r="C73" s="5" t="s">
        <v>1</v>
      </c>
      <c r="D73" s="14">
        <v>0</v>
      </c>
      <c r="E73" s="1" t="s">
        <v>116</v>
      </c>
      <c r="F73" s="53" t="s">
        <v>164</v>
      </c>
      <c r="G73" s="14" t="s">
        <v>117</v>
      </c>
      <c r="H73" s="53" t="s">
        <v>14</v>
      </c>
      <c r="I73" s="55" cm="1">
        <f t="array" aca="1" ref="I73" ca="1">INDEX(_xlfn._xlws.SORT(INDIRECT(STR_LIST[[#This Row],[Symbol]]),1,1),1,0)</f>
        <v>46125</v>
      </c>
      <c r="J73" s="56">
        <v>0.44791666666666702</v>
      </c>
      <c r="K73" s="56">
        <v>0.47569444444444492</v>
      </c>
      <c r="L73" s="14" t="s">
        <v>122</v>
      </c>
      <c r="M73" s="1" t="s">
        <v>119</v>
      </c>
      <c r="N73" s="14" t="s">
        <v>120</v>
      </c>
      <c r="O73" s="57">
        <v>0.35</v>
      </c>
    </row>
    <row r="74" spans="3:15" x14ac:dyDescent="0.25">
      <c r="C74" s="5" t="s">
        <v>1</v>
      </c>
      <c r="D74" s="14">
        <v>0</v>
      </c>
      <c r="E74" s="1" t="s">
        <v>116</v>
      </c>
      <c r="F74" s="53" t="s">
        <v>165</v>
      </c>
      <c r="G74" s="14" t="s">
        <v>117</v>
      </c>
      <c r="H74" s="53" t="s">
        <v>14</v>
      </c>
      <c r="I74" s="55" cm="1">
        <f t="array" aca="1" ref="I74" ca="1">INDEX(_xlfn._xlws.SORT(INDIRECT(STR_LIST[[#This Row],[Symbol]]),1,1),1,0)</f>
        <v>46125</v>
      </c>
      <c r="J74" s="56">
        <v>0.45486111111111099</v>
      </c>
      <c r="K74" s="56">
        <v>0.4826388888888889</v>
      </c>
      <c r="L74" s="14" t="s">
        <v>122</v>
      </c>
      <c r="M74" s="1" t="s">
        <v>119</v>
      </c>
      <c r="N74" s="14" t="s">
        <v>120</v>
      </c>
      <c r="O74" s="57">
        <v>0.35</v>
      </c>
    </row>
    <row r="75" spans="3:15" x14ac:dyDescent="0.25">
      <c r="C75" s="5" t="s">
        <v>1</v>
      </c>
      <c r="D75" s="14">
        <v>0</v>
      </c>
      <c r="E75" s="1" t="s">
        <v>116</v>
      </c>
      <c r="F75" s="53" t="s">
        <v>166</v>
      </c>
      <c r="G75" s="14" t="s">
        <v>117</v>
      </c>
      <c r="H75" s="53" t="s">
        <v>14</v>
      </c>
      <c r="I75" s="55" cm="1">
        <f t="array" aca="1" ref="I75" ca="1">INDEX(_xlfn._xlws.SORT(INDIRECT(STR_LIST[[#This Row],[Symbol]]),1,1),1,0)</f>
        <v>46125</v>
      </c>
      <c r="J75" s="56">
        <v>0.46180555555555602</v>
      </c>
      <c r="K75" s="56">
        <v>0.48958333333333393</v>
      </c>
      <c r="L75" s="14" t="s">
        <v>122</v>
      </c>
      <c r="M75" s="1" t="s">
        <v>119</v>
      </c>
      <c r="N75" s="14" t="s">
        <v>120</v>
      </c>
      <c r="O75" s="57">
        <v>0.35</v>
      </c>
    </row>
    <row r="76" spans="3:15" x14ac:dyDescent="0.25">
      <c r="C76" s="5" t="s">
        <v>1</v>
      </c>
      <c r="D76" s="14">
        <v>0</v>
      </c>
      <c r="E76" s="1" t="s">
        <v>116</v>
      </c>
      <c r="F76" s="53" t="s">
        <v>167</v>
      </c>
      <c r="G76" s="14" t="s">
        <v>117</v>
      </c>
      <c r="H76" s="53" t="s">
        <v>14</v>
      </c>
      <c r="I76" s="55" cm="1">
        <f t="array" aca="1" ref="I76" ca="1">INDEX(_xlfn._xlws.SORT(INDIRECT(STR_LIST[[#This Row],[Symbol]]),1,1),1,0)</f>
        <v>46125</v>
      </c>
      <c r="J76" s="56">
        <v>0.46875</v>
      </c>
      <c r="K76" s="56">
        <v>0.4965277777777779</v>
      </c>
      <c r="L76" s="14" t="s">
        <v>122</v>
      </c>
      <c r="M76" s="1" t="s">
        <v>119</v>
      </c>
      <c r="N76" s="14" t="s">
        <v>120</v>
      </c>
      <c r="O76" s="57">
        <v>0.35</v>
      </c>
    </row>
    <row r="77" spans="3:15" x14ac:dyDescent="0.25">
      <c r="C77" s="5" t="s">
        <v>1</v>
      </c>
      <c r="D77" s="14">
        <v>0</v>
      </c>
      <c r="E77" s="1" t="s">
        <v>116</v>
      </c>
      <c r="F77" s="53" t="s">
        <v>168</v>
      </c>
      <c r="G77" s="14" t="s">
        <v>117</v>
      </c>
      <c r="H77" s="53" t="s">
        <v>14</v>
      </c>
      <c r="I77" s="55" cm="1">
        <f t="array" aca="1" ref="I77" ca="1">INDEX(_xlfn._xlws.SORT(INDIRECT(STR_LIST[[#This Row],[Symbol]]),1,1),1,0)</f>
        <v>46125</v>
      </c>
      <c r="J77" s="56">
        <v>0.47569444444444497</v>
      </c>
      <c r="K77" s="56">
        <v>0.50347222222222288</v>
      </c>
      <c r="L77" s="14" t="s">
        <v>122</v>
      </c>
      <c r="M77" s="1" t="s">
        <v>119</v>
      </c>
      <c r="N77" s="14" t="s">
        <v>120</v>
      </c>
      <c r="O77" s="57">
        <v>0.35</v>
      </c>
    </row>
    <row r="78" spans="3:15" x14ac:dyDescent="0.25">
      <c r="C78" s="5" t="s">
        <v>1</v>
      </c>
      <c r="D78" s="14">
        <v>0</v>
      </c>
      <c r="E78" s="1" t="s">
        <v>116</v>
      </c>
      <c r="F78" s="53" t="s">
        <v>169</v>
      </c>
      <c r="G78" s="14" t="s">
        <v>117</v>
      </c>
      <c r="H78" s="53" t="s">
        <v>14</v>
      </c>
      <c r="I78" s="55" cm="1">
        <f t="array" aca="1" ref="I78" ca="1">INDEX(_xlfn._xlws.SORT(INDIRECT(STR_LIST[[#This Row],[Symbol]]),1,1),1,0)</f>
        <v>46125</v>
      </c>
      <c r="J78" s="56">
        <v>0.48263888888888901</v>
      </c>
      <c r="K78" s="56">
        <v>0.51041666666666696</v>
      </c>
      <c r="L78" s="14" t="s">
        <v>122</v>
      </c>
      <c r="M78" s="1" t="s">
        <v>119</v>
      </c>
      <c r="N78" s="14" t="s">
        <v>120</v>
      </c>
      <c r="O78" s="57">
        <v>0.35</v>
      </c>
    </row>
    <row r="79" spans="3:15" x14ac:dyDescent="0.25">
      <c r="C79" s="5" t="s">
        <v>1</v>
      </c>
      <c r="D79" s="14">
        <v>0</v>
      </c>
      <c r="E79" s="1" t="s">
        <v>116</v>
      </c>
      <c r="F79" s="53" t="s">
        <v>170</v>
      </c>
      <c r="G79" s="14" t="s">
        <v>117</v>
      </c>
      <c r="H79" s="53" t="s">
        <v>14</v>
      </c>
      <c r="I79" s="55" cm="1">
        <f t="array" aca="1" ref="I79" ca="1">INDEX(_xlfn._xlws.SORT(INDIRECT(STR_LIST[[#This Row],[Symbol]]),1,1),1,0)</f>
        <v>46125</v>
      </c>
      <c r="J79" s="56">
        <v>0.48958333333333398</v>
      </c>
      <c r="K79" s="56">
        <v>0.51736111111111183</v>
      </c>
      <c r="L79" s="14" t="s">
        <v>122</v>
      </c>
      <c r="M79" s="1" t="s">
        <v>119</v>
      </c>
      <c r="N79" s="14" t="s">
        <v>120</v>
      </c>
      <c r="O79" s="57">
        <v>0.35</v>
      </c>
    </row>
    <row r="80" spans="3:15" x14ac:dyDescent="0.25">
      <c r="C80" s="5" t="s">
        <v>1</v>
      </c>
      <c r="D80" s="14">
        <v>0</v>
      </c>
      <c r="E80" s="1" t="s">
        <v>116</v>
      </c>
      <c r="F80" s="53" t="s">
        <v>171</v>
      </c>
      <c r="G80" s="14" t="s">
        <v>117</v>
      </c>
      <c r="H80" s="53" t="s">
        <v>14</v>
      </c>
      <c r="I80" s="55" cm="1">
        <f t="array" aca="1" ref="I80" ca="1">INDEX(_xlfn._xlws.SORT(INDIRECT(STR_LIST[[#This Row],[Symbol]]),1,1),1,0)</f>
        <v>46125</v>
      </c>
      <c r="J80" s="56">
        <v>0.49652777777777801</v>
      </c>
      <c r="K80" s="56">
        <v>0.52430555555555591</v>
      </c>
      <c r="L80" s="14" t="s">
        <v>122</v>
      </c>
      <c r="M80" s="1" t="s">
        <v>119</v>
      </c>
      <c r="N80" s="14" t="s">
        <v>120</v>
      </c>
      <c r="O80" s="57">
        <v>0.35</v>
      </c>
    </row>
    <row r="81" spans="3:15" x14ac:dyDescent="0.25">
      <c r="C81" s="5" t="s">
        <v>1</v>
      </c>
      <c r="D81" s="14">
        <v>0</v>
      </c>
      <c r="E81" s="1" t="s">
        <v>116</v>
      </c>
      <c r="F81" s="53" t="s">
        <v>172</v>
      </c>
      <c r="G81" s="14" t="s">
        <v>117</v>
      </c>
      <c r="H81" s="53" t="s">
        <v>14</v>
      </c>
      <c r="I81" s="55" cm="1">
        <f t="array" aca="1" ref="I81" ca="1">INDEX(_xlfn._xlws.SORT(INDIRECT(STR_LIST[[#This Row],[Symbol]]),1,1),1,0)</f>
        <v>46125</v>
      </c>
      <c r="J81" s="56">
        <v>0.50347222222222299</v>
      </c>
      <c r="K81" s="56">
        <v>0.53125000000000089</v>
      </c>
      <c r="L81" s="14" t="s">
        <v>122</v>
      </c>
      <c r="M81" s="1" t="s">
        <v>119</v>
      </c>
      <c r="N81" s="14" t="s">
        <v>120</v>
      </c>
      <c r="O81" s="57">
        <v>0.6</v>
      </c>
    </row>
    <row r="82" spans="3:15" x14ac:dyDescent="0.25">
      <c r="C82" s="5" t="s">
        <v>1</v>
      </c>
      <c r="D82" s="14">
        <v>0</v>
      </c>
      <c r="E82" s="1" t="s">
        <v>116</v>
      </c>
      <c r="F82" s="53" t="s">
        <v>173</v>
      </c>
      <c r="G82" s="14" t="s">
        <v>117</v>
      </c>
      <c r="H82" s="53" t="s">
        <v>14</v>
      </c>
      <c r="I82" s="55" cm="1">
        <f t="array" aca="1" ref="I82" ca="1">INDEX(_xlfn._xlws.SORT(INDIRECT(STR_LIST[[#This Row],[Symbol]]),1,1),1,0)</f>
        <v>46125</v>
      </c>
      <c r="J82" s="56">
        <v>0.51041666666666696</v>
      </c>
      <c r="K82" s="56">
        <v>0.53819444444444486</v>
      </c>
      <c r="L82" s="14" t="s">
        <v>122</v>
      </c>
      <c r="M82" s="1" t="s">
        <v>119</v>
      </c>
      <c r="N82" s="14" t="s">
        <v>120</v>
      </c>
      <c r="O82" s="57">
        <v>0.6</v>
      </c>
    </row>
    <row r="83" spans="3:15" x14ac:dyDescent="0.25">
      <c r="C83" s="5" t="s">
        <v>1</v>
      </c>
      <c r="D83" s="14">
        <v>0</v>
      </c>
      <c r="E83" s="1" t="s">
        <v>116</v>
      </c>
      <c r="F83" s="53" t="s">
        <v>174</v>
      </c>
      <c r="G83" s="14" t="s">
        <v>117</v>
      </c>
      <c r="H83" s="53" t="s">
        <v>14</v>
      </c>
      <c r="I83" s="55" cm="1">
        <f t="array" aca="1" ref="I83" ca="1">INDEX(_xlfn._xlws.SORT(INDIRECT(STR_LIST[[#This Row],[Symbol]]),1,1),1,0)</f>
        <v>46125</v>
      </c>
      <c r="J83" s="56">
        <v>0.51736111111111205</v>
      </c>
      <c r="K83" s="56">
        <v>0.54513888888888995</v>
      </c>
      <c r="L83" s="14" t="s">
        <v>122</v>
      </c>
      <c r="M83" s="1" t="s">
        <v>119</v>
      </c>
      <c r="N83" s="14" t="s">
        <v>120</v>
      </c>
      <c r="O83" s="57">
        <v>0.6</v>
      </c>
    </row>
    <row r="84" spans="3:15" x14ac:dyDescent="0.25">
      <c r="C84" s="5" t="s">
        <v>1</v>
      </c>
      <c r="D84" s="14">
        <v>0</v>
      </c>
      <c r="E84" s="1" t="s">
        <v>116</v>
      </c>
      <c r="F84" s="53" t="s">
        <v>175</v>
      </c>
      <c r="G84" s="14" t="s">
        <v>117</v>
      </c>
      <c r="H84" s="53" t="s">
        <v>14</v>
      </c>
      <c r="I84" s="55" cm="1">
        <f t="array" aca="1" ref="I84" ca="1">INDEX(_xlfn._xlws.SORT(INDIRECT(STR_LIST[[#This Row],[Symbol]]),1,1),1,0)</f>
        <v>46125</v>
      </c>
      <c r="J84" s="56">
        <v>0.52430555555555602</v>
      </c>
      <c r="K84" s="56">
        <v>0.55208333333333393</v>
      </c>
      <c r="L84" s="14" t="s">
        <v>122</v>
      </c>
      <c r="M84" s="1" t="s">
        <v>119</v>
      </c>
      <c r="N84" s="14" t="s">
        <v>120</v>
      </c>
      <c r="O84" s="57">
        <v>0.6</v>
      </c>
    </row>
    <row r="85" spans="3:15" x14ac:dyDescent="0.25">
      <c r="C85" s="5" t="s">
        <v>1</v>
      </c>
      <c r="D85" s="14">
        <v>0</v>
      </c>
      <c r="E85" s="1" t="s">
        <v>116</v>
      </c>
      <c r="F85" s="53" t="s">
        <v>176</v>
      </c>
      <c r="G85" s="14" t="s">
        <v>117</v>
      </c>
      <c r="H85" s="53" t="s">
        <v>14</v>
      </c>
      <c r="I85" s="55" cm="1">
        <f t="array" aca="1" ref="I85" ca="1">INDEX(_xlfn._xlws.SORT(INDIRECT(STR_LIST[[#This Row],[Symbol]]),1,1),1,0)</f>
        <v>46125</v>
      </c>
      <c r="J85" s="56">
        <v>0.531250000000001</v>
      </c>
      <c r="K85" s="56">
        <v>0.5590277777777789</v>
      </c>
      <c r="L85" s="14" t="s">
        <v>122</v>
      </c>
      <c r="M85" s="1" t="s">
        <v>119</v>
      </c>
      <c r="N85" s="14" t="s">
        <v>120</v>
      </c>
      <c r="O85" s="57">
        <v>0.6</v>
      </c>
    </row>
    <row r="86" spans="3:15" x14ac:dyDescent="0.25">
      <c r="C86" s="5" t="s">
        <v>1</v>
      </c>
      <c r="D86" s="14">
        <v>0</v>
      </c>
      <c r="E86" s="1" t="s">
        <v>116</v>
      </c>
      <c r="F86" s="53" t="s">
        <v>177</v>
      </c>
      <c r="G86" s="14" t="s">
        <v>117</v>
      </c>
      <c r="H86" s="53" t="s">
        <v>14</v>
      </c>
      <c r="I86" s="55" cm="1">
        <f t="array" aca="1" ref="I86" ca="1">INDEX(_xlfn._xlws.SORT(INDIRECT(STR_LIST[[#This Row],[Symbol]]),1,1),1,0)</f>
        <v>46125</v>
      </c>
      <c r="J86" s="56">
        <v>0.53819444444444497</v>
      </c>
      <c r="K86" s="56">
        <v>0.56597222222222288</v>
      </c>
      <c r="L86" s="14" t="s">
        <v>122</v>
      </c>
      <c r="M86" s="1" t="s">
        <v>119</v>
      </c>
      <c r="N86" s="14" t="s">
        <v>120</v>
      </c>
      <c r="O86" s="57">
        <v>0.6</v>
      </c>
    </row>
    <row r="87" spans="3:15" x14ac:dyDescent="0.25">
      <c r="C87" s="5" t="s">
        <v>1</v>
      </c>
      <c r="D87" s="14">
        <v>0</v>
      </c>
      <c r="E87" s="1" t="s">
        <v>116</v>
      </c>
      <c r="F87" s="53" t="s">
        <v>178</v>
      </c>
      <c r="G87" s="14" t="s">
        <v>117</v>
      </c>
      <c r="H87" s="53" t="s">
        <v>14</v>
      </c>
      <c r="I87" s="55" cm="1">
        <f t="array" aca="1" ref="I87" ca="1">INDEX(_xlfn._xlws.SORT(INDIRECT(STR_LIST[[#This Row],[Symbol]]),1,1),1,0)</f>
        <v>46125</v>
      </c>
      <c r="J87" s="56">
        <v>0.54513888888888895</v>
      </c>
      <c r="K87" s="56">
        <v>0.57291666666666685</v>
      </c>
      <c r="L87" s="14" t="s">
        <v>122</v>
      </c>
      <c r="M87" s="1" t="s">
        <v>119</v>
      </c>
      <c r="N87" s="14" t="s">
        <v>120</v>
      </c>
      <c r="O87" s="57">
        <v>0.6</v>
      </c>
    </row>
    <row r="88" spans="3:15" x14ac:dyDescent="0.25">
      <c r="C88" s="5" t="s">
        <v>1</v>
      </c>
      <c r="D88" s="14">
        <v>0</v>
      </c>
      <c r="E88" s="1" t="s">
        <v>116</v>
      </c>
      <c r="F88" s="53" t="s">
        <v>179</v>
      </c>
      <c r="G88" s="14" t="s">
        <v>117</v>
      </c>
      <c r="H88" s="53" t="s">
        <v>14</v>
      </c>
      <c r="I88" s="55" cm="1">
        <f t="array" aca="1" ref="I88" ca="1">INDEX(_xlfn._xlws.SORT(INDIRECT(STR_LIST[[#This Row],[Symbol]]),1,1),1,0)</f>
        <v>46125</v>
      </c>
      <c r="J88" s="56">
        <v>0.55208333333333404</v>
      </c>
      <c r="K88" s="56">
        <v>0.57986111111111194</v>
      </c>
      <c r="L88" s="14" t="s">
        <v>122</v>
      </c>
      <c r="M88" s="1" t="s">
        <v>119</v>
      </c>
      <c r="N88" s="14" t="s">
        <v>120</v>
      </c>
      <c r="O88" s="57">
        <v>0.6</v>
      </c>
    </row>
    <row r="89" spans="3:15" x14ac:dyDescent="0.25">
      <c r="C89" s="5" t="s">
        <v>1</v>
      </c>
      <c r="D89" s="14">
        <v>0</v>
      </c>
      <c r="E89" s="1" t="s">
        <v>116</v>
      </c>
      <c r="F89" s="53" t="s">
        <v>180</v>
      </c>
      <c r="G89" s="14" t="s">
        <v>117</v>
      </c>
      <c r="H89" s="53" t="s">
        <v>14</v>
      </c>
      <c r="I89" s="55" cm="1">
        <f t="array" aca="1" ref="I89" ca="1">INDEX(_xlfn._xlws.SORT(INDIRECT(STR_LIST[[#This Row],[Symbol]]),1,1),1,0)</f>
        <v>46125</v>
      </c>
      <c r="J89" s="56">
        <v>0.55902777777777801</v>
      </c>
      <c r="K89" s="56">
        <v>0.58680555555555591</v>
      </c>
      <c r="L89" s="14" t="s">
        <v>122</v>
      </c>
      <c r="M89" s="1" t="s">
        <v>119</v>
      </c>
      <c r="N89" s="14" t="s">
        <v>120</v>
      </c>
      <c r="O89" s="57">
        <v>0.6</v>
      </c>
    </row>
    <row r="90" spans="3:15" x14ac:dyDescent="0.25">
      <c r="C90" s="5" t="s">
        <v>1</v>
      </c>
      <c r="D90" s="14">
        <v>0</v>
      </c>
      <c r="E90" s="1" t="s">
        <v>116</v>
      </c>
      <c r="F90" s="53" t="s">
        <v>181</v>
      </c>
      <c r="G90" s="14" t="s">
        <v>117</v>
      </c>
      <c r="H90" s="53" t="s">
        <v>14</v>
      </c>
      <c r="I90" s="55" cm="1">
        <f t="array" aca="1" ref="I90" ca="1">INDEX(_xlfn._xlws.SORT(INDIRECT(STR_LIST[[#This Row],[Symbol]]),1,1),1,0)</f>
        <v>46125</v>
      </c>
      <c r="J90" s="56">
        <v>0.56597222222222299</v>
      </c>
      <c r="K90" s="56">
        <v>0.59375000000000089</v>
      </c>
      <c r="L90" s="14" t="s">
        <v>122</v>
      </c>
      <c r="M90" s="1" t="s">
        <v>119</v>
      </c>
      <c r="N90" s="14" t="s">
        <v>120</v>
      </c>
      <c r="O90" s="57">
        <v>0.6</v>
      </c>
    </row>
    <row r="91" spans="3:15" x14ac:dyDescent="0.25">
      <c r="C91" s="5" t="s">
        <v>1</v>
      </c>
      <c r="D91" s="14">
        <v>0</v>
      </c>
      <c r="E91" s="1" t="s">
        <v>116</v>
      </c>
      <c r="F91" s="53" t="s">
        <v>182</v>
      </c>
      <c r="G91" s="14" t="s">
        <v>117</v>
      </c>
      <c r="H91" s="53" t="s">
        <v>14</v>
      </c>
      <c r="I91" s="55" cm="1">
        <f t="array" aca="1" ref="I91" ca="1">INDEX(_xlfn._xlws.SORT(INDIRECT(STR_LIST[[#This Row],[Symbol]]),1,1),1,0)</f>
        <v>46125</v>
      </c>
      <c r="J91" s="56">
        <v>0.57291666666666696</v>
      </c>
      <c r="K91" s="56">
        <v>0.60069444444444486</v>
      </c>
      <c r="L91" s="14" t="s">
        <v>122</v>
      </c>
      <c r="M91" s="1" t="s">
        <v>119</v>
      </c>
      <c r="N91" s="14" t="s">
        <v>120</v>
      </c>
      <c r="O91" s="57">
        <v>0.6</v>
      </c>
    </row>
    <row r="92" spans="3:15" x14ac:dyDescent="0.25">
      <c r="C92" s="5" t="s">
        <v>1</v>
      </c>
      <c r="D92" s="14">
        <v>0</v>
      </c>
      <c r="E92" s="1" t="s">
        <v>116</v>
      </c>
      <c r="F92" s="53" t="s">
        <v>183</v>
      </c>
      <c r="G92" s="14" t="s">
        <v>117</v>
      </c>
      <c r="H92" s="53" t="s">
        <v>14</v>
      </c>
      <c r="I92" s="55" cm="1">
        <f t="array" aca="1" ref="I92" ca="1">INDEX(_xlfn._xlws.SORT(INDIRECT(STR_LIST[[#This Row],[Symbol]]),1,1),1,0)</f>
        <v>46125</v>
      </c>
      <c r="J92" s="56">
        <v>0.57986111111111205</v>
      </c>
      <c r="K92" s="56">
        <v>0.60763888888888995</v>
      </c>
      <c r="L92" s="14" t="s">
        <v>122</v>
      </c>
      <c r="M92" s="1" t="s">
        <v>119</v>
      </c>
      <c r="N92" s="14" t="s">
        <v>120</v>
      </c>
      <c r="O92" s="57">
        <v>0.6</v>
      </c>
    </row>
    <row r="93" spans="3:15" x14ac:dyDescent="0.25">
      <c r="C93" s="5" t="s">
        <v>1</v>
      </c>
      <c r="D93" s="14">
        <v>0</v>
      </c>
      <c r="E93" s="1" t="s">
        <v>116</v>
      </c>
      <c r="F93" s="53" t="s">
        <v>184</v>
      </c>
      <c r="G93" s="14" t="s">
        <v>117</v>
      </c>
      <c r="H93" s="53" t="s">
        <v>14</v>
      </c>
      <c r="I93" s="55" cm="1">
        <f t="array" aca="1" ref="I93" ca="1">INDEX(_xlfn._xlws.SORT(INDIRECT(STR_LIST[[#This Row],[Symbol]]),1,1),1,0)</f>
        <v>46125</v>
      </c>
      <c r="J93" s="56">
        <v>0.58680555555555602</v>
      </c>
      <c r="K93" s="56">
        <v>0.61458333333333393</v>
      </c>
      <c r="L93" s="14" t="s">
        <v>122</v>
      </c>
      <c r="M93" s="1" t="s">
        <v>119</v>
      </c>
      <c r="N93" s="14" t="s">
        <v>120</v>
      </c>
      <c r="O93" s="57">
        <v>1.5</v>
      </c>
    </row>
    <row r="94" spans="3:15" x14ac:dyDescent="0.25">
      <c r="C94" s="5" t="s">
        <v>1</v>
      </c>
      <c r="D94" s="14">
        <v>0</v>
      </c>
      <c r="E94" s="1" t="s">
        <v>116</v>
      </c>
      <c r="F94" s="53" t="s">
        <v>185</v>
      </c>
      <c r="G94" s="14" t="s">
        <v>117</v>
      </c>
      <c r="H94" s="53" t="s">
        <v>14</v>
      </c>
      <c r="I94" s="55" cm="1">
        <f t="array" aca="1" ref="I94" ca="1">INDEX(_xlfn._xlws.SORT(INDIRECT(STR_LIST[[#This Row],[Symbol]]),1,1),1,0)</f>
        <v>46125</v>
      </c>
      <c r="J94" s="56">
        <v>0.593750000000001</v>
      </c>
      <c r="K94" s="56">
        <v>0.6215277777777789</v>
      </c>
      <c r="L94" s="14" t="s">
        <v>122</v>
      </c>
      <c r="M94" s="1" t="s">
        <v>119</v>
      </c>
      <c r="N94" s="14" t="s">
        <v>120</v>
      </c>
      <c r="O94" s="57">
        <v>1.5</v>
      </c>
    </row>
    <row r="95" spans="3:15" x14ac:dyDescent="0.25">
      <c r="C95" s="5" t="s">
        <v>1</v>
      </c>
      <c r="D95" s="14">
        <v>0</v>
      </c>
      <c r="E95" s="1" t="s">
        <v>116</v>
      </c>
      <c r="F95" s="53" t="s">
        <v>186</v>
      </c>
      <c r="G95" s="14" t="s">
        <v>117</v>
      </c>
      <c r="H95" s="53" t="s">
        <v>14</v>
      </c>
      <c r="I95" s="55" cm="1">
        <f t="array" aca="1" ref="I95" ca="1">INDEX(_xlfn._xlws.SORT(INDIRECT(STR_LIST[[#This Row],[Symbol]]),1,1),1,0)</f>
        <v>46125</v>
      </c>
      <c r="J95" s="56">
        <v>0.60069444444444497</v>
      </c>
      <c r="K95" s="56">
        <v>0.62847222222222288</v>
      </c>
      <c r="L95" s="14" t="s">
        <v>122</v>
      </c>
      <c r="M95" s="1" t="s">
        <v>119</v>
      </c>
      <c r="N95" s="14" t="s">
        <v>120</v>
      </c>
      <c r="O95" s="57">
        <v>1.5</v>
      </c>
    </row>
    <row r="96" spans="3:15" x14ac:dyDescent="0.25">
      <c r="C96" s="5" t="s">
        <v>1</v>
      </c>
      <c r="D96" s="14">
        <v>0</v>
      </c>
      <c r="E96" s="1" t="s">
        <v>116</v>
      </c>
      <c r="F96" s="53" t="s">
        <v>187</v>
      </c>
      <c r="G96" s="14" t="s">
        <v>117</v>
      </c>
      <c r="H96" s="53" t="s">
        <v>14</v>
      </c>
      <c r="I96" s="55" cm="1">
        <f t="array" aca="1" ref="I96" ca="1">INDEX(_xlfn._xlws.SORT(INDIRECT(STR_LIST[[#This Row],[Symbol]]),1,1),1,0)</f>
        <v>46125</v>
      </c>
      <c r="J96" s="56">
        <v>0.60763888888888995</v>
      </c>
      <c r="K96" s="56">
        <v>0.63541666666666785</v>
      </c>
      <c r="L96" s="14" t="s">
        <v>122</v>
      </c>
      <c r="M96" s="1" t="s">
        <v>119</v>
      </c>
      <c r="N96" s="14" t="s">
        <v>120</v>
      </c>
      <c r="O96" s="57">
        <v>1.5</v>
      </c>
    </row>
    <row r="97" spans="3:15" x14ac:dyDescent="0.25">
      <c r="C97" s="5" t="s">
        <v>1</v>
      </c>
      <c r="D97" s="14">
        <v>0</v>
      </c>
      <c r="E97" s="1" t="s">
        <v>116</v>
      </c>
      <c r="F97" s="53" t="s">
        <v>188</v>
      </c>
      <c r="G97" s="14" t="s">
        <v>117</v>
      </c>
      <c r="H97" s="53" t="s">
        <v>14</v>
      </c>
      <c r="I97" s="55" cm="1">
        <f t="array" aca="1" ref="I97" ca="1">INDEX(_xlfn._xlws.SORT(INDIRECT(STR_LIST[[#This Row],[Symbol]]),1,1),1,0)</f>
        <v>46125</v>
      </c>
      <c r="J97" s="56">
        <v>0.61458333333333404</v>
      </c>
      <c r="K97" s="56">
        <v>0.64236111111111194</v>
      </c>
      <c r="L97" s="14" t="s">
        <v>122</v>
      </c>
      <c r="M97" s="1" t="s">
        <v>119</v>
      </c>
      <c r="N97" s="14" t="s">
        <v>120</v>
      </c>
      <c r="O97" s="57">
        <v>0.6</v>
      </c>
    </row>
    <row r="98" spans="3:15" x14ac:dyDescent="0.25">
      <c r="C98" s="5" t="s">
        <v>1</v>
      </c>
      <c r="D98" s="14">
        <v>0</v>
      </c>
      <c r="E98" s="1" t="s">
        <v>116</v>
      </c>
      <c r="F98" s="53" t="s">
        <v>189</v>
      </c>
      <c r="G98" s="14" t="s">
        <v>117</v>
      </c>
      <c r="H98" s="53" t="s">
        <v>14</v>
      </c>
      <c r="I98" s="55" cm="1">
        <f t="array" aca="1" ref="I98" ca="1">INDEX(_xlfn._xlws.SORT(INDIRECT(STR_LIST[[#This Row],[Symbol]]),1,1),1,0)</f>
        <v>46125</v>
      </c>
      <c r="J98" s="56">
        <v>0.62152777777777901</v>
      </c>
      <c r="K98" s="56">
        <v>0.64930555555555691</v>
      </c>
      <c r="L98" s="14" t="s">
        <v>122</v>
      </c>
      <c r="M98" s="1" t="s">
        <v>119</v>
      </c>
      <c r="N98" s="14" t="s">
        <v>120</v>
      </c>
      <c r="O98" s="57">
        <v>0.6</v>
      </c>
    </row>
    <row r="99" spans="3:15" x14ac:dyDescent="0.25">
      <c r="C99" s="5" t="s">
        <v>5</v>
      </c>
      <c r="D99" s="14">
        <v>4</v>
      </c>
      <c r="E99" s="14" t="s">
        <v>116</v>
      </c>
      <c r="F99" s="1" t="s">
        <v>5</v>
      </c>
      <c r="G99" s="14" t="s">
        <v>117</v>
      </c>
      <c r="H99" s="1" t="s">
        <v>14</v>
      </c>
      <c r="I99" s="55" cm="1">
        <f t="array" aca="1" ref="I99" ca="1">INDEX(_xlfn._xlws.SORT(INDIRECT(STR_LIST[[#This Row],[Symbol]]),1,1),1,0)</f>
        <v>46125</v>
      </c>
      <c r="J99" s="56">
        <v>0.38611111111111113</v>
      </c>
      <c r="K99" s="56">
        <v>0.1423611111111111</v>
      </c>
      <c r="L99" s="14" t="s">
        <v>122</v>
      </c>
      <c r="M99" s="14" t="s">
        <v>119</v>
      </c>
      <c r="N99" s="14" t="s">
        <v>120</v>
      </c>
      <c r="O99" s="57" t="s">
        <v>191</v>
      </c>
    </row>
    <row r="100" spans="3:15" x14ac:dyDescent="0.25">
      <c r="C100" s="5" t="s">
        <v>6</v>
      </c>
      <c r="D100" s="14">
        <v>4</v>
      </c>
      <c r="E100" s="14" t="s">
        <v>116</v>
      </c>
      <c r="F100" s="1" t="s">
        <v>6</v>
      </c>
      <c r="G100" s="14" t="s">
        <v>117</v>
      </c>
      <c r="H100" s="1" t="s">
        <v>14</v>
      </c>
      <c r="I100" s="55" cm="1">
        <f t="array" aca="1" ref="I100" ca="1">INDEX(_xlfn._xlws.SORT(INDIRECT(STR_LIST[[#This Row],[Symbol]]),1,1),1,0)</f>
        <v>46125</v>
      </c>
      <c r="J100" s="56">
        <v>0.38611111111111113</v>
      </c>
      <c r="K100" s="56">
        <v>0.1423611111111111</v>
      </c>
      <c r="L100" s="14" t="s">
        <v>190</v>
      </c>
      <c r="M100" s="14" t="s">
        <v>119</v>
      </c>
      <c r="N100" s="14" t="s">
        <v>120</v>
      </c>
      <c r="O100" s="57" t="s">
        <v>191</v>
      </c>
    </row>
    <row r="101" spans="3:15" x14ac:dyDescent="0.25">
      <c r="C101" s="5" t="s">
        <v>5</v>
      </c>
      <c r="D101" s="14">
        <v>3</v>
      </c>
      <c r="E101" s="14" t="s">
        <v>116</v>
      </c>
      <c r="F101" s="1" t="s">
        <v>5</v>
      </c>
      <c r="G101" s="14" t="s">
        <v>117</v>
      </c>
      <c r="H101" s="1" t="s">
        <v>14</v>
      </c>
      <c r="I101" s="55" cm="1">
        <f t="array" aca="1" ref="I101" ca="1">INDEX(_xlfn._xlws.SORT(INDIRECT(STR_LIST[[#This Row],[Symbol]]),1,1),1,0)</f>
        <v>46125</v>
      </c>
      <c r="J101" s="56">
        <v>0.38611111111111113</v>
      </c>
      <c r="K101" s="56">
        <v>0.1423611111111111</v>
      </c>
      <c r="L101" s="14" t="s">
        <v>122</v>
      </c>
      <c r="M101" s="14" t="s">
        <v>119</v>
      </c>
      <c r="N101" s="14" t="s">
        <v>120</v>
      </c>
      <c r="O101" s="57" t="s">
        <v>191</v>
      </c>
    </row>
    <row r="102" spans="3:15" x14ac:dyDescent="0.25">
      <c r="C102" s="5" t="s">
        <v>6</v>
      </c>
      <c r="D102" s="14">
        <v>3</v>
      </c>
      <c r="E102" s="14" t="s">
        <v>116</v>
      </c>
      <c r="F102" s="1" t="s">
        <v>6</v>
      </c>
      <c r="G102" s="14" t="s">
        <v>117</v>
      </c>
      <c r="H102" s="1" t="s">
        <v>14</v>
      </c>
      <c r="I102" s="55" cm="1">
        <f t="array" aca="1" ref="I102" ca="1">INDEX(_xlfn._xlws.SORT(INDIRECT(STR_LIST[[#This Row],[Symbol]]),1,1),1,0)</f>
        <v>46125</v>
      </c>
      <c r="J102" s="56">
        <v>0.38611111111111113</v>
      </c>
      <c r="K102" s="56">
        <v>0.1423611111111111</v>
      </c>
      <c r="L102" s="14" t="s">
        <v>190</v>
      </c>
      <c r="M102" s="14" t="s">
        <v>119</v>
      </c>
      <c r="N102" s="14" t="s">
        <v>120</v>
      </c>
      <c r="O102" s="57" t="s">
        <v>191</v>
      </c>
    </row>
    <row r="103" spans="3:15" x14ac:dyDescent="0.25">
      <c r="C103" s="5" t="s">
        <v>5</v>
      </c>
      <c r="D103" s="14">
        <v>2</v>
      </c>
      <c r="E103" s="14" t="s">
        <v>116</v>
      </c>
      <c r="F103" s="1" t="s">
        <v>5</v>
      </c>
      <c r="G103" s="14" t="s">
        <v>117</v>
      </c>
      <c r="H103" s="1" t="s">
        <v>14</v>
      </c>
      <c r="I103" s="55" cm="1">
        <f t="array" aca="1" ref="I103" ca="1">INDEX(_xlfn._xlws.SORT(INDIRECT(STR_LIST[[#This Row],[Symbol]]),1,1),1,0)</f>
        <v>46125</v>
      </c>
      <c r="J103" s="56">
        <v>0.38611111111111113</v>
      </c>
      <c r="K103" s="56">
        <v>0.1423611111111111</v>
      </c>
      <c r="L103" s="14" t="s">
        <v>122</v>
      </c>
      <c r="M103" s="14" t="s">
        <v>119</v>
      </c>
      <c r="N103" s="14" t="s">
        <v>120</v>
      </c>
      <c r="O103" s="57" t="s">
        <v>191</v>
      </c>
    </row>
    <row r="104" spans="3:15" x14ac:dyDescent="0.25">
      <c r="C104" s="5" t="s">
        <v>6</v>
      </c>
      <c r="D104" s="14">
        <v>2</v>
      </c>
      <c r="E104" s="14" t="s">
        <v>116</v>
      </c>
      <c r="F104" s="1" t="s">
        <v>6</v>
      </c>
      <c r="G104" s="14" t="s">
        <v>117</v>
      </c>
      <c r="H104" s="1" t="s">
        <v>14</v>
      </c>
      <c r="I104" s="55" cm="1">
        <f t="array" aca="1" ref="I104" ca="1">INDEX(_xlfn._xlws.SORT(INDIRECT(STR_LIST[[#This Row],[Symbol]]),1,1),1,0)</f>
        <v>46125</v>
      </c>
      <c r="J104" s="56">
        <v>0.38611111111111113</v>
      </c>
      <c r="K104" s="56">
        <v>0.1423611111111111</v>
      </c>
      <c r="L104" s="14" t="s">
        <v>190</v>
      </c>
      <c r="M104" s="14" t="s">
        <v>119</v>
      </c>
      <c r="N104" s="14" t="s">
        <v>120</v>
      </c>
      <c r="O104" s="57" t="s">
        <v>191</v>
      </c>
    </row>
    <row r="105" spans="3:15" x14ac:dyDescent="0.25">
      <c r="C105" s="5" t="s">
        <v>69</v>
      </c>
      <c r="D105" s="14">
        <v>1</v>
      </c>
      <c r="E105" s="14" t="s">
        <v>116</v>
      </c>
      <c r="F105" s="14" t="s">
        <v>121</v>
      </c>
      <c r="G105" s="14" t="s">
        <v>117</v>
      </c>
      <c r="H105" s="14" t="s">
        <v>81</v>
      </c>
      <c r="I105" s="55" cm="1">
        <f t="array" aca="1" ref="I105" ca="1">INDEX(_xlfn._xlws.SORT(INDIRECT(STR_LIST[[#This Row],[Symbol]]),1,1),1,0)</f>
        <v>46140</v>
      </c>
      <c r="J105" s="56">
        <v>0.39583333333333331</v>
      </c>
      <c r="K105" s="56">
        <v>0.1423611111111111</v>
      </c>
      <c r="L105" s="14" t="s">
        <v>122</v>
      </c>
      <c r="M105" s="14" t="s">
        <v>119</v>
      </c>
      <c r="N105" s="14" t="s">
        <v>120</v>
      </c>
      <c r="O105" s="57">
        <v>0.3</v>
      </c>
    </row>
    <row r="106" spans="3:15" x14ac:dyDescent="0.25">
      <c r="C106" s="5" t="s">
        <v>69</v>
      </c>
      <c r="D106" s="14">
        <v>1</v>
      </c>
      <c r="E106" s="14" t="s">
        <v>116</v>
      </c>
      <c r="F106" s="14" t="s">
        <v>123</v>
      </c>
      <c r="G106" s="14" t="s">
        <v>117</v>
      </c>
      <c r="H106" s="14" t="s">
        <v>81</v>
      </c>
      <c r="I106" s="55" cm="1">
        <f t="array" aca="1" ref="I106" ca="1">INDEX(_xlfn._xlws.SORT(INDIRECT(STR_LIST[[#This Row],[Symbol]]),1,1),1,0)</f>
        <v>46140</v>
      </c>
      <c r="J106" s="56">
        <v>0.40625</v>
      </c>
      <c r="K106" s="56">
        <v>0.1423611111111111</v>
      </c>
      <c r="L106" s="14" t="s">
        <v>122</v>
      </c>
      <c r="M106" s="14" t="s">
        <v>119</v>
      </c>
      <c r="N106" s="14" t="s">
        <v>120</v>
      </c>
      <c r="O106" s="57">
        <v>0.3</v>
      </c>
    </row>
    <row r="107" spans="3:15" x14ac:dyDescent="0.25">
      <c r="C107" s="5" t="s">
        <v>69</v>
      </c>
      <c r="D107" s="14">
        <v>1</v>
      </c>
      <c r="E107" s="14" t="s">
        <v>116</v>
      </c>
      <c r="F107" s="14" t="s">
        <v>124</v>
      </c>
      <c r="G107" s="14" t="s">
        <v>117</v>
      </c>
      <c r="H107" s="14" t="s">
        <v>81</v>
      </c>
      <c r="I107" s="55" cm="1">
        <f t="array" aca="1" ref="I107" ca="1">INDEX(_xlfn._xlws.SORT(INDIRECT(STR_LIST[[#This Row],[Symbol]]),1,1),1,0)</f>
        <v>46140</v>
      </c>
      <c r="J107" s="56">
        <v>0.41666666666666669</v>
      </c>
      <c r="K107" s="56">
        <v>0.1423611111111111</v>
      </c>
      <c r="L107" s="14" t="s">
        <v>122</v>
      </c>
      <c r="M107" s="14" t="s">
        <v>119</v>
      </c>
      <c r="N107" s="14" t="s">
        <v>120</v>
      </c>
      <c r="O107" s="57">
        <v>0.3</v>
      </c>
    </row>
    <row r="108" spans="3:15" x14ac:dyDescent="0.25">
      <c r="C108" s="5" t="s">
        <v>69</v>
      </c>
      <c r="D108" s="14">
        <v>1</v>
      </c>
      <c r="E108" s="14" t="s">
        <v>116</v>
      </c>
      <c r="F108" s="14" t="s">
        <v>290</v>
      </c>
      <c r="G108" s="14" t="s">
        <v>117</v>
      </c>
      <c r="H108" s="14" t="s">
        <v>81</v>
      </c>
      <c r="I108" s="55" cm="1">
        <f t="array" aca="1" ref="I108" ca="1">INDEX(_xlfn._xlws.SORT(INDIRECT(STR_LIST[[#This Row],[Symbol]]),1,1),1,0)</f>
        <v>46140</v>
      </c>
      <c r="J108" s="56">
        <v>0.5</v>
      </c>
      <c r="K108" s="56">
        <v>0.1423611111111111</v>
      </c>
      <c r="L108" s="14" t="s">
        <v>143</v>
      </c>
      <c r="M108" s="14" t="s">
        <v>119</v>
      </c>
      <c r="N108" s="14" t="s">
        <v>120</v>
      </c>
      <c r="O108" s="57">
        <v>0.3</v>
      </c>
    </row>
    <row r="109" spans="3:15" x14ac:dyDescent="0.25">
      <c r="C109" s="5" t="s">
        <v>69</v>
      </c>
      <c r="D109" s="14">
        <v>1</v>
      </c>
      <c r="E109" s="14" t="s">
        <v>116</v>
      </c>
      <c r="F109" s="14" t="s">
        <v>291</v>
      </c>
      <c r="G109" s="14" t="s">
        <v>117</v>
      </c>
      <c r="H109" s="14" t="s">
        <v>81</v>
      </c>
      <c r="I109" s="55" cm="1">
        <f t="array" aca="1" ref="I109" ca="1">INDEX(_xlfn._xlws.SORT(INDIRECT(STR_LIST[[#This Row],[Symbol]]),1,1),1,0)</f>
        <v>46140</v>
      </c>
      <c r="J109" s="56">
        <v>0.51041666666666663</v>
      </c>
      <c r="K109" s="56">
        <v>0.1423611111111111</v>
      </c>
      <c r="L109" s="14" t="s">
        <v>143</v>
      </c>
      <c r="M109" s="14" t="s">
        <v>119</v>
      </c>
      <c r="N109" s="14" t="s">
        <v>120</v>
      </c>
      <c r="O109" s="57">
        <v>0.3</v>
      </c>
    </row>
    <row r="110" spans="3:15" x14ac:dyDescent="0.25">
      <c r="C110" s="5" t="s">
        <v>69</v>
      </c>
      <c r="D110" s="14">
        <v>1</v>
      </c>
      <c r="E110" s="14" t="s">
        <v>116</v>
      </c>
      <c r="F110" s="14" t="s">
        <v>292</v>
      </c>
      <c r="G110" s="14" t="s">
        <v>117</v>
      </c>
      <c r="H110" s="14" t="s">
        <v>81</v>
      </c>
      <c r="I110" s="55" cm="1">
        <f t="array" aca="1" ref="I110" ca="1">INDEX(_xlfn._xlws.SORT(INDIRECT(STR_LIST[[#This Row],[Symbol]]),1,1),1,0)</f>
        <v>46140</v>
      </c>
      <c r="J110" s="56">
        <v>0.52083333333333337</v>
      </c>
      <c r="K110" s="56">
        <v>0.1423611111111111</v>
      </c>
      <c r="L110" s="14" t="s">
        <v>143</v>
      </c>
      <c r="M110" s="14" t="s">
        <v>119</v>
      </c>
      <c r="N110" s="14" t="s">
        <v>120</v>
      </c>
      <c r="O110" s="57">
        <v>0.3</v>
      </c>
    </row>
    <row r="111" spans="3:15" x14ac:dyDescent="0.25">
      <c r="C111" s="5" t="s">
        <v>69</v>
      </c>
      <c r="D111" s="14">
        <v>4</v>
      </c>
      <c r="E111" s="14" t="s">
        <v>116</v>
      </c>
      <c r="F111" t="s">
        <v>244</v>
      </c>
      <c r="G111" s="14" t="s">
        <v>117</v>
      </c>
      <c r="H111" s="14" t="s">
        <v>81</v>
      </c>
      <c r="I111" s="55" cm="1">
        <f t="array" aca="1" ref="I111" ca="1">INDEX(_xlfn._xlws.SORT(INDIRECT(STR_LIST[[#This Row],[Symbol]]),1,1),1,0)</f>
        <v>46140</v>
      </c>
      <c r="J111" s="56">
        <v>0.39583333333333331</v>
      </c>
      <c r="K111" s="56">
        <v>0.1423611111111111</v>
      </c>
      <c r="L111" s="14" t="s">
        <v>193</v>
      </c>
      <c r="M111" s="14" t="s">
        <v>119</v>
      </c>
      <c r="N111" s="14" t="s">
        <v>120</v>
      </c>
      <c r="O111" s="57">
        <v>0.3</v>
      </c>
    </row>
    <row r="112" spans="3:15" x14ac:dyDescent="0.25">
      <c r="C112" s="5" t="s">
        <v>69</v>
      </c>
      <c r="D112" s="14">
        <v>4</v>
      </c>
      <c r="E112" s="14" t="s">
        <v>116</v>
      </c>
      <c r="F112" t="s">
        <v>243</v>
      </c>
      <c r="G112" s="14" t="s">
        <v>117</v>
      </c>
      <c r="H112" s="14" t="s">
        <v>81</v>
      </c>
      <c r="I112" s="55" cm="1">
        <f t="array" aca="1" ref="I112" ca="1">INDEX(_xlfn._xlws.SORT(INDIRECT(STR_LIST[[#This Row],[Symbol]]),1,1),1,0)</f>
        <v>46140</v>
      </c>
      <c r="J112" s="56">
        <v>0.40625</v>
      </c>
      <c r="K112" s="56">
        <v>0.1423611111111111</v>
      </c>
      <c r="L112" s="14" t="s">
        <v>193</v>
      </c>
      <c r="M112" s="14" t="s">
        <v>119</v>
      </c>
      <c r="N112" s="14" t="s">
        <v>120</v>
      </c>
      <c r="O112" s="57">
        <v>0.3</v>
      </c>
    </row>
    <row r="113" spans="3:15" x14ac:dyDescent="0.25">
      <c r="C113" s="5" t="s">
        <v>69</v>
      </c>
      <c r="D113" s="14">
        <v>4</v>
      </c>
      <c r="E113" s="14" t="s">
        <v>116</v>
      </c>
      <c r="F113" t="s">
        <v>245</v>
      </c>
      <c r="G113" s="14" t="s">
        <v>117</v>
      </c>
      <c r="H113" s="14" t="s">
        <v>81</v>
      </c>
      <c r="I113" s="55" cm="1">
        <f t="array" aca="1" ref="I113" ca="1">INDEX(_xlfn._xlws.SORT(INDIRECT(STR_LIST[[#This Row],[Symbol]]),1,1),1,0)</f>
        <v>46140</v>
      </c>
      <c r="J113" s="56">
        <v>0.41666666666666669</v>
      </c>
      <c r="K113" s="56">
        <v>0.1423611111111111</v>
      </c>
      <c r="L113" s="14" t="s">
        <v>193</v>
      </c>
      <c r="M113" s="14" t="s">
        <v>119</v>
      </c>
      <c r="N113" s="14" t="s">
        <v>120</v>
      </c>
      <c r="O113" s="57">
        <v>0.3</v>
      </c>
    </row>
    <row r="114" spans="3:15" x14ac:dyDescent="0.25">
      <c r="C114" s="5" t="s">
        <v>69</v>
      </c>
      <c r="D114" s="14">
        <v>4</v>
      </c>
      <c r="E114" s="14" t="s">
        <v>116</v>
      </c>
      <c r="F114" t="s">
        <v>121</v>
      </c>
      <c r="G114" s="14" t="s">
        <v>117</v>
      </c>
      <c r="H114" s="14" t="s">
        <v>81</v>
      </c>
      <c r="I114" s="55" cm="1">
        <f t="array" aca="1" ref="I114" ca="1">INDEX(_xlfn._xlws.SORT(INDIRECT(STR_LIST[[#This Row],[Symbol]]),1,1),1,0)</f>
        <v>46140</v>
      </c>
      <c r="J114" s="56">
        <v>0.39583333333333331</v>
      </c>
      <c r="K114" s="56">
        <v>0.1423611111111111</v>
      </c>
      <c r="L114" s="14" t="s">
        <v>122</v>
      </c>
      <c r="M114" s="14" t="s">
        <v>119</v>
      </c>
      <c r="N114" s="14" t="s">
        <v>120</v>
      </c>
      <c r="O114" s="57">
        <v>0.3</v>
      </c>
    </row>
    <row r="115" spans="3:15" x14ac:dyDescent="0.25">
      <c r="C115" s="5" t="s">
        <v>69</v>
      </c>
      <c r="D115" s="14">
        <v>4</v>
      </c>
      <c r="E115" s="14" t="s">
        <v>116</v>
      </c>
      <c r="F115" t="s">
        <v>123</v>
      </c>
      <c r="G115" s="14" t="s">
        <v>117</v>
      </c>
      <c r="H115" s="14" t="s">
        <v>81</v>
      </c>
      <c r="I115" s="55" cm="1">
        <f t="array" aca="1" ref="I115" ca="1">INDEX(_xlfn._xlws.SORT(INDIRECT(STR_LIST[[#This Row],[Symbol]]),1,1),1,0)</f>
        <v>46140</v>
      </c>
      <c r="J115" s="56">
        <v>0.40625</v>
      </c>
      <c r="K115" s="56">
        <v>0.1423611111111111</v>
      </c>
      <c r="L115" s="14" t="s">
        <v>122</v>
      </c>
      <c r="M115" s="14" t="s">
        <v>119</v>
      </c>
      <c r="N115" s="14" t="s">
        <v>120</v>
      </c>
      <c r="O115" s="57">
        <v>0.3</v>
      </c>
    </row>
    <row r="116" spans="3:15" x14ac:dyDescent="0.25">
      <c r="C116" s="5" t="s">
        <v>69</v>
      </c>
      <c r="D116" s="14">
        <v>4</v>
      </c>
      <c r="E116" s="14" t="s">
        <v>116</v>
      </c>
      <c r="F116" t="s">
        <v>124</v>
      </c>
      <c r="G116" s="14" t="s">
        <v>117</v>
      </c>
      <c r="H116" s="14" t="s">
        <v>81</v>
      </c>
      <c r="I116" s="55" cm="1">
        <f t="array" aca="1" ref="I116" ca="1">INDEX(_xlfn._xlws.SORT(INDIRECT(STR_LIST[[#This Row],[Symbol]]),1,1),1,0)</f>
        <v>46140</v>
      </c>
      <c r="J116" s="56">
        <v>0.41666666666666669</v>
      </c>
      <c r="K116" s="56">
        <v>0.1423611111111111</v>
      </c>
      <c r="L116" s="14" t="s">
        <v>122</v>
      </c>
      <c r="M116" s="14" t="s">
        <v>119</v>
      </c>
      <c r="N116" s="14" t="s">
        <v>120</v>
      </c>
      <c r="O116" s="57">
        <v>0.3</v>
      </c>
    </row>
    <row r="117" spans="3:15" x14ac:dyDescent="0.25">
      <c r="C117" s="5" t="s">
        <v>69</v>
      </c>
      <c r="D117" s="14">
        <v>3</v>
      </c>
      <c r="E117" s="14" t="s">
        <v>116</v>
      </c>
      <c r="F117" t="s">
        <v>192</v>
      </c>
      <c r="G117" s="14" t="s">
        <v>117</v>
      </c>
      <c r="H117" s="53" t="s">
        <v>81</v>
      </c>
      <c r="I117" s="55" cm="1">
        <f t="array" aca="1" ref="I117" ca="1">INDEX(_xlfn._xlws.SORT(INDIRECT(STR_LIST[[#This Row],[Symbol]]),1,1),1,0)</f>
        <v>46140</v>
      </c>
      <c r="J117" s="56">
        <v>0.42708333333333331</v>
      </c>
      <c r="K117" s="56">
        <v>0.1423611111111111</v>
      </c>
      <c r="L117" s="14" t="s">
        <v>122</v>
      </c>
      <c r="M117" s="14" t="s">
        <v>119</v>
      </c>
      <c r="N117" s="14" t="s">
        <v>120</v>
      </c>
      <c r="O117" s="57">
        <v>0.3</v>
      </c>
    </row>
    <row r="118" spans="3:15" x14ac:dyDescent="0.25">
      <c r="C118" s="5" t="s">
        <v>69</v>
      </c>
      <c r="D118" s="14">
        <v>3</v>
      </c>
      <c r="E118" s="14" t="s">
        <v>116</v>
      </c>
      <c r="F118" t="s">
        <v>254</v>
      </c>
      <c r="G118" s="14" t="s">
        <v>117</v>
      </c>
      <c r="H118" s="53" t="s">
        <v>81</v>
      </c>
      <c r="I118" s="55" cm="1">
        <f t="array" aca="1" ref="I118" ca="1">INDEX(_xlfn._xlws.SORT(INDIRECT(STR_LIST[[#This Row],[Symbol]]),1,1),1,0)</f>
        <v>46140</v>
      </c>
      <c r="J118" s="56">
        <v>0.4375</v>
      </c>
      <c r="K118" s="56">
        <v>0.1423611111111111</v>
      </c>
      <c r="L118" s="14" t="s">
        <v>122</v>
      </c>
      <c r="M118" s="14" t="s">
        <v>119</v>
      </c>
      <c r="N118" s="14" t="s">
        <v>120</v>
      </c>
      <c r="O118" s="57">
        <v>0.3</v>
      </c>
    </row>
    <row r="119" spans="3:15" x14ac:dyDescent="0.25">
      <c r="C119" s="5" t="s">
        <v>69</v>
      </c>
      <c r="D119" s="14">
        <v>3</v>
      </c>
      <c r="E119" s="14" t="s">
        <v>116</v>
      </c>
      <c r="F119" t="s">
        <v>255</v>
      </c>
      <c r="G119" s="14" t="s">
        <v>117</v>
      </c>
      <c r="H119" s="53" t="s">
        <v>81</v>
      </c>
      <c r="I119" s="55" cm="1">
        <f t="array" aca="1" ref="I119" ca="1">INDEX(_xlfn._xlws.SORT(INDIRECT(STR_LIST[[#This Row],[Symbol]]),1,1),1,0)</f>
        <v>46140</v>
      </c>
      <c r="J119" s="56">
        <v>0.44791666666666669</v>
      </c>
      <c r="K119" s="56">
        <v>0.1423611111111111</v>
      </c>
      <c r="L119" s="14" t="s">
        <v>122</v>
      </c>
      <c r="M119" s="14" t="s">
        <v>119</v>
      </c>
      <c r="N119" s="14" t="s">
        <v>120</v>
      </c>
      <c r="O119" s="57">
        <v>0.3</v>
      </c>
    </row>
    <row r="120" spans="3:15" x14ac:dyDescent="0.25">
      <c r="C120" s="5" t="s">
        <v>69</v>
      </c>
      <c r="D120" s="14">
        <v>3</v>
      </c>
      <c r="E120" s="14" t="s">
        <v>116</v>
      </c>
      <c r="F120" t="s">
        <v>244</v>
      </c>
      <c r="G120" s="14" t="s">
        <v>117</v>
      </c>
      <c r="H120" s="53" t="s">
        <v>81</v>
      </c>
      <c r="I120" s="55" cm="1">
        <f t="array" aca="1" ref="I120" ca="1">INDEX(_xlfn._xlws.SORT(INDIRECT(STR_LIST[[#This Row],[Symbol]]),1,1),1,0)</f>
        <v>46140</v>
      </c>
      <c r="J120" s="56">
        <v>0.39583333333333331</v>
      </c>
      <c r="K120" s="56">
        <v>0.1423611111111111</v>
      </c>
      <c r="L120" s="14" t="s">
        <v>193</v>
      </c>
      <c r="M120" s="14" t="s">
        <v>119</v>
      </c>
      <c r="N120" s="14" t="s">
        <v>120</v>
      </c>
      <c r="O120" s="57">
        <v>0.5</v>
      </c>
    </row>
    <row r="121" spans="3:15" x14ac:dyDescent="0.25">
      <c r="C121" s="5" t="s">
        <v>69</v>
      </c>
      <c r="D121" s="14">
        <v>3</v>
      </c>
      <c r="E121" s="14" t="s">
        <v>116</v>
      </c>
      <c r="F121" t="s">
        <v>243</v>
      </c>
      <c r="G121" s="14" t="s">
        <v>117</v>
      </c>
      <c r="H121" s="53" t="s">
        <v>81</v>
      </c>
      <c r="I121" s="55" cm="1">
        <f t="array" aca="1" ref="I121" ca="1">INDEX(_xlfn._xlws.SORT(INDIRECT(STR_LIST[[#This Row],[Symbol]]),1,1),1,0)</f>
        <v>46140</v>
      </c>
      <c r="J121" s="56">
        <v>0.40625</v>
      </c>
      <c r="K121" s="56">
        <v>0.1423611111111111</v>
      </c>
      <c r="L121" s="14" t="s">
        <v>193</v>
      </c>
      <c r="M121" s="14" t="s">
        <v>119</v>
      </c>
      <c r="N121" s="14" t="s">
        <v>120</v>
      </c>
      <c r="O121" s="57">
        <v>0.5</v>
      </c>
    </row>
    <row r="122" spans="3:15" x14ac:dyDescent="0.25">
      <c r="C122" s="5" t="s">
        <v>69</v>
      </c>
      <c r="D122" s="14">
        <v>3</v>
      </c>
      <c r="E122" s="14" t="s">
        <v>116</v>
      </c>
      <c r="F122" t="s">
        <v>245</v>
      </c>
      <c r="G122" s="14" t="s">
        <v>117</v>
      </c>
      <c r="H122" s="53" t="s">
        <v>81</v>
      </c>
      <c r="I122" s="55" cm="1">
        <f t="array" aca="1" ref="I122" ca="1">INDEX(_xlfn._xlws.SORT(INDIRECT(STR_LIST[[#This Row],[Symbol]]),1,1),1,0)</f>
        <v>46140</v>
      </c>
      <c r="J122" s="56">
        <v>0.41666666666666669</v>
      </c>
      <c r="K122" s="56">
        <v>0.1423611111111111</v>
      </c>
      <c r="L122" s="14" t="s">
        <v>193</v>
      </c>
      <c r="M122" s="14" t="s">
        <v>119</v>
      </c>
      <c r="N122" s="14" t="s">
        <v>120</v>
      </c>
      <c r="O122" s="57">
        <v>0.5</v>
      </c>
    </row>
    <row r="123" spans="3:15" x14ac:dyDescent="0.25">
      <c r="C123" s="5" t="s">
        <v>69</v>
      </c>
      <c r="D123" s="14">
        <v>2</v>
      </c>
      <c r="E123" s="14" t="s">
        <v>116</v>
      </c>
      <c r="F123" s="14" t="s">
        <v>245</v>
      </c>
      <c r="G123" s="14" t="s">
        <v>117</v>
      </c>
      <c r="H123" s="14" t="s">
        <v>81</v>
      </c>
      <c r="I123" s="55" cm="1">
        <f t="array" aca="1" ref="I123" ca="1">INDEX(_xlfn._xlws.SORT(INDIRECT(STR_LIST[[#This Row],[Symbol]]),1,1),1,0)</f>
        <v>46140</v>
      </c>
      <c r="J123" s="56">
        <v>0.41666666666666669</v>
      </c>
      <c r="K123" s="56">
        <v>0.1423611111111111</v>
      </c>
      <c r="L123" s="14" t="s">
        <v>143</v>
      </c>
      <c r="M123" s="14" t="s">
        <v>119</v>
      </c>
      <c r="N123" s="14" t="s">
        <v>120</v>
      </c>
      <c r="O123" s="57">
        <v>0.7</v>
      </c>
    </row>
    <row r="124" spans="3:15" x14ac:dyDescent="0.25">
      <c r="C124" s="5" t="s">
        <v>69</v>
      </c>
      <c r="D124" s="14">
        <v>2</v>
      </c>
      <c r="E124" s="14" t="s">
        <v>116</v>
      </c>
      <c r="F124" s="14" t="s">
        <v>288</v>
      </c>
      <c r="G124" s="14" t="s">
        <v>117</v>
      </c>
      <c r="H124" s="14" t="s">
        <v>81</v>
      </c>
      <c r="I124" s="55" cm="1">
        <f t="array" aca="1" ref="I124" ca="1">INDEX(_xlfn._xlws.SORT(INDIRECT(STR_LIST[[#This Row],[Symbol]]),1,1),1,0)</f>
        <v>46140</v>
      </c>
      <c r="J124" s="56">
        <v>0.42708333333333331</v>
      </c>
      <c r="K124" s="56">
        <v>0.1423611111111111</v>
      </c>
      <c r="L124" s="14" t="s">
        <v>143</v>
      </c>
      <c r="M124" s="14" t="s">
        <v>119</v>
      </c>
      <c r="N124" s="14" t="s">
        <v>120</v>
      </c>
      <c r="O124" s="57">
        <v>0.7</v>
      </c>
    </row>
    <row r="125" spans="3:15" x14ac:dyDescent="0.25">
      <c r="C125" s="5" t="s">
        <v>69</v>
      </c>
      <c r="D125" s="14">
        <v>2</v>
      </c>
      <c r="E125" s="14" t="s">
        <v>116</v>
      </c>
      <c r="F125" s="14" t="s">
        <v>289</v>
      </c>
      <c r="G125" s="14" t="s">
        <v>117</v>
      </c>
      <c r="H125" s="14" t="s">
        <v>81</v>
      </c>
      <c r="I125" s="55" cm="1">
        <f t="array" aca="1" ref="I125" ca="1">INDEX(_xlfn._xlws.SORT(INDIRECT(STR_LIST[[#This Row],[Symbol]]),1,1),1,0)</f>
        <v>46140</v>
      </c>
      <c r="J125" s="56">
        <v>0.4375</v>
      </c>
      <c r="K125" s="56">
        <v>0.1423611111111111</v>
      </c>
      <c r="L125" s="14" t="s">
        <v>143</v>
      </c>
      <c r="M125" s="14" t="s">
        <v>119</v>
      </c>
      <c r="N125" s="14" t="s">
        <v>120</v>
      </c>
      <c r="O125" s="57">
        <v>0.7</v>
      </c>
    </row>
    <row r="126" spans="3:15" x14ac:dyDescent="0.25">
      <c r="C126" s="5" t="s">
        <v>69</v>
      </c>
      <c r="D126" s="14">
        <v>2</v>
      </c>
      <c r="E126" s="14" t="s">
        <v>116</v>
      </c>
      <c r="F126" s="14" t="s">
        <v>124</v>
      </c>
      <c r="G126" s="14" t="s">
        <v>117</v>
      </c>
      <c r="H126" s="14" t="s">
        <v>81</v>
      </c>
      <c r="I126" s="55" cm="1">
        <f t="array" aca="1" ref="I126" ca="1">INDEX(_xlfn._xlws.SORT(INDIRECT(STR_LIST[[#This Row],[Symbol]]),1,1),1,0)</f>
        <v>46140</v>
      </c>
      <c r="J126" s="56">
        <v>0.41666666666666669</v>
      </c>
      <c r="K126" s="56">
        <v>0.1423611111111111</v>
      </c>
      <c r="L126" s="14" t="s">
        <v>122</v>
      </c>
      <c r="M126" s="14" t="s">
        <v>119</v>
      </c>
      <c r="N126" s="14" t="s">
        <v>120</v>
      </c>
      <c r="O126" s="57">
        <v>0.7</v>
      </c>
    </row>
    <row r="127" spans="3:15" x14ac:dyDescent="0.25">
      <c r="C127" s="5" t="s">
        <v>69</v>
      </c>
      <c r="D127" s="14">
        <v>2</v>
      </c>
      <c r="E127" s="14" t="s">
        <v>116</v>
      </c>
      <c r="F127" s="14" t="s">
        <v>192</v>
      </c>
      <c r="G127" s="14" t="s">
        <v>117</v>
      </c>
      <c r="H127" s="14" t="s">
        <v>81</v>
      </c>
      <c r="I127" s="55" cm="1">
        <f t="array" aca="1" ref="I127" ca="1">INDEX(_xlfn._xlws.SORT(INDIRECT(STR_LIST[[#This Row],[Symbol]]),1,1),1,0)</f>
        <v>46140</v>
      </c>
      <c r="J127" s="56">
        <v>0.42708333333333331</v>
      </c>
      <c r="K127" s="56">
        <v>0.1423611111111111</v>
      </c>
      <c r="L127" s="14" t="s">
        <v>122</v>
      </c>
      <c r="M127" s="14" t="s">
        <v>119</v>
      </c>
      <c r="N127" s="14" t="s">
        <v>120</v>
      </c>
      <c r="O127" s="57">
        <v>0.7</v>
      </c>
    </row>
    <row r="128" spans="3:15" x14ac:dyDescent="0.25">
      <c r="C128" s="5" t="s">
        <v>69</v>
      </c>
      <c r="D128" s="14">
        <v>2</v>
      </c>
      <c r="E128" s="14" t="s">
        <v>116</v>
      </c>
      <c r="F128" s="14" t="s">
        <v>254</v>
      </c>
      <c r="G128" s="14" t="s">
        <v>117</v>
      </c>
      <c r="H128" s="14" t="s">
        <v>81</v>
      </c>
      <c r="I128" s="55" cm="1">
        <f t="array" aca="1" ref="I128" ca="1">INDEX(_xlfn._xlws.SORT(INDIRECT(STR_LIST[[#This Row],[Symbol]]),1,1),1,0)</f>
        <v>46140</v>
      </c>
      <c r="J128" s="56">
        <v>0.4375</v>
      </c>
      <c r="K128" s="56">
        <v>0.1423611111111111</v>
      </c>
      <c r="L128" s="14" t="s">
        <v>122</v>
      </c>
      <c r="M128" s="14" t="s">
        <v>119</v>
      </c>
      <c r="N128" s="14" t="s">
        <v>120</v>
      </c>
      <c r="O128" s="57">
        <v>0.7</v>
      </c>
    </row>
    <row r="129" spans="3:15" x14ac:dyDescent="0.25">
      <c r="C129" s="5" t="s">
        <v>1</v>
      </c>
      <c r="D129" s="14">
        <v>0</v>
      </c>
      <c r="E129" s="1" t="s">
        <v>116</v>
      </c>
      <c r="F129" s="53" t="s">
        <v>155</v>
      </c>
      <c r="G129" s="14" t="s">
        <v>194</v>
      </c>
      <c r="H129" s="53" t="s">
        <v>15</v>
      </c>
      <c r="I129" s="55" cm="1">
        <f t="array" aca="1" ref="I129" ca="1">INDEX(_xlfn._xlws.SORT(INDIRECT(STR_LIST[[#This Row],[Symbol]]),1,1),1,0)</f>
        <v>46128</v>
      </c>
      <c r="J129" s="56">
        <v>0.38611111111111113</v>
      </c>
      <c r="K129" s="56">
        <v>0.40625</v>
      </c>
      <c r="L129" s="14" t="s">
        <v>122</v>
      </c>
      <c r="M129" s="1" t="s">
        <v>119</v>
      </c>
      <c r="N129" s="14" t="s">
        <v>120</v>
      </c>
      <c r="O129" s="57">
        <v>0.3</v>
      </c>
    </row>
    <row r="130" spans="3:15" x14ac:dyDescent="0.25">
      <c r="C130" s="5" t="s">
        <v>1</v>
      </c>
      <c r="D130" s="14">
        <v>0</v>
      </c>
      <c r="E130" s="1" t="s">
        <v>116</v>
      </c>
      <c r="F130" s="53" t="s">
        <v>156</v>
      </c>
      <c r="G130" s="14" t="s">
        <v>194</v>
      </c>
      <c r="H130" s="53" t="s">
        <v>15</v>
      </c>
      <c r="I130" s="55" cm="1">
        <f t="array" aca="1" ref="I130" ca="1">INDEX(_xlfn._xlws.SORT(INDIRECT(STR_LIST[[#This Row],[Symbol]]),1,1),1,0)</f>
        <v>46128</v>
      </c>
      <c r="J130" s="56">
        <v>0.3923611111111111</v>
      </c>
      <c r="K130" s="56">
        <v>0.41319444444444453</v>
      </c>
      <c r="L130" s="14" t="s">
        <v>122</v>
      </c>
      <c r="M130" s="1" t="s">
        <v>119</v>
      </c>
      <c r="N130" s="14" t="s">
        <v>120</v>
      </c>
      <c r="O130" s="57">
        <v>0.3</v>
      </c>
    </row>
    <row r="131" spans="3:15" x14ac:dyDescent="0.25">
      <c r="C131" s="5" t="s">
        <v>1</v>
      </c>
      <c r="D131" s="14">
        <v>0</v>
      </c>
      <c r="E131" s="1" t="s">
        <v>116</v>
      </c>
      <c r="F131" s="53" t="s">
        <v>157</v>
      </c>
      <c r="G131" s="14" t="s">
        <v>194</v>
      </c>
      <c r="H131" s="53" t="s">
        <v>15</v>
      </c>
      <c r="I131" s="55" cm="1">
        <f t="array" aca="1" ref="I131" ca="1">INDEX(_xlfn._xlws.SORT(INDIRECT(STR_LIST[[#This Row],[Symbol]]),1,1),1,0)</f>
        <v>46128</v>
      </c>
      <c r="J131" s="56">
        <v>0.39930555555555558</v>
      </c>
      <c r="K131" s="56">
        <v>0.42013888888888901</v>
      </c>
      <c r="L131" s="14" t="s">
        <v>122</v>
      </c>
      <c r="M131" s="1" t="s">
        <v>119</v>
      </c>
      <c r="N131" s="14" t="s">
        <v>120</v>
      </c>
      <c r="O131" s="57">
        <v>0.3</v>
      </c>
    </row>
    <row r="132" spans="3:15" x14ac:dyDescent="0.25">
      <c r="C132" s="5" t="s">
        <v>1</v>
      </c>
      <c r="D132" s="14">
        <v>0</v>
      </c>
      <c r="E132" s="1" t="s">
        <v>116</v>
      </c>
      <c r="F132" s="53" t="s">
        <v>158</v>
      </c>
      <c r="G132" s="14" t="s">
        <v>194</v>
      </c>
      <c r="H132" s="53" t="s">
        <v>15</v>
      </c>
      <c r="I132" s="55" cm="1">
        <f t="array" aca="1" ref="I132" ca="1">INDEX(_xlfn._xlws.SORT(INDIRECT(STR_LIST[[#This Row],[Symbol]]),1,1),1,0)</f>
        <v>46128</v>
      </c>
      <c r="J132" s="56">
        <v>0.40625</v>
      </c>
      <c r="K132" s="56">
        <v>0.42708333333333343</v>
      </c>
      <c r="L132" s="14" t="s">
        <v>122</v>
      </c>
      <c r="M132" s="1" t="s">
        <v>119</v>
      </c>
      <c r="N132" s="14" t="s">
        <v>120</v>
      </c>
      <c r="O132" s="57">
        <v>0.3</v>
      </c>
    </row>
    <row r="133" spans="3:15" x14ac:dyDescent="0.25">
      <c r="C133" s="5" t="s">
        <v>1</v>
      </c>
      <c r="D133" s="14">
        <v>0</v>
      </c>
      <c r="E133" s="1" t="s">
        <v>116</v>
      </c>
      <c r="F133" s="53" t="s">
        <v>159</v>
      </c>
      <c r="G133" s="14" t="s">
        <v>194</v>
      </c>
      <c r="H133" s="53" t="s">
        <v>15</v>
      </c>
      <c r="I133" s="55" cm="1">
        <f t="array" aca="1" ref="I133" ca="1">INDEX(_xlfn._xlws.SORT(INDIRECT(STR_LIST[[#This Row],[Symbol]]),1,1),1,0)</f>
        <v>46128</v>
      </c>
      <c r="J133" s="56">
        <v>0.41319444444444497</v>
      </c>
      <c r="K133" s="56">
        <v>0.4340277777777784</v>
      </c>
      <c r="L133" s="14" t="s">
        <v>122</v>
      </c>
      <c r="M133" s="1" t="s">
        <v>119</v>
      </c>
      <c r="N133" s="14" t="s">
        <v>120</v>
      </c>
      <c r="O133" s="57">
        <v>0.3</v>
      </c>
    </row>
    <row r="134" spans="3:15" x14ac:dyDescent="0.25">
      <c r="C134" s="5" t="s">
        <v>1</v>
      </c>
      <c r="D134" s="14">
        <v>0</v>
      </c>
      <c r="E134" s="1" t="s">
        <v>116</v>
      </c>
      <c r="F134" s="53" t="s">
        <v>160</v>
      </c>
      <c r="G134" s="14" t="s">
        <v>194</v>
      </c>
      <c r="H134" s="53" t="s">
        <v>15</v>
      </c>
      <c r="I134" s="55" cm="1">
        <f t="array" aca="1" ref="I134" ca="1">INDEX(_xlfn._xlws.SORT(INDIRECT(STR_LIST[[#This Row],[Symbol]]),1,1),1,0)</f>
        <v>46128</v>
      </c>
      <c r="J134" s="56">
        <v>0.42013888888888901</v>
      </c>
      <c r="K134" s="56">
        <v>0.44097222222222243</v>
      </c>
      <c r="L134" s="14" t="s">
        <v>122</v>
      </c>
      <c r="M134" s="1" t="s">
        <v>119</v>
      </c>
      <c r="N134" s="14" t="s">
        <v>120</v>
      </c>
      <c r="O134" s="57">
        <v>0.3</v>
      </c>
    </row>
    <row r="135" spans="3:15" x14ac:dyDescent="0.25">
      <c r="C135" s="5" t="s">
        <v>1</v>
      </c>
      <c r="D135" s="14">
        <v>0</v>
      </c>
      <c r="E135" s="1" t="s">
        <v>116</v>
      </c>
      <c r="F135" s="53" t="s">
        <v>161</v>
      </c>
      <c r="G135" s="14" t="s">
        <v>194</v>
      </c>
      <c r="H135" s="53" t="s">
        <v>15</v>
      </c>
      <c r="I135" s="55" cm="1">
        <f t="array" aca="1" ref="I135" ca="1">INDEX(_xlfn._xlws.SORT(INDIRECT(STR_LIST[[#This Row],[Symbol]]),1,1),1,0)</f>
        <v>46128</v>
      </c>
      <c r="J135" s="56">
        <v>0.42708333333333298</v>
      </c>
      <c r="K135" s="56">
        <v>0.44791666666666641</v>
      </c>
      <c r="L135" s="14" t="s">
        <v>122</v>
      </c>
      <c r="M135" s="1" t="s">
        <v>119</v>
      </c>
      <c r="N135" s="14" t="s">
        <v>120</v>
      </c>
      <c r="O135" s="57">
        <v>0.3</v>
      </c>
    </row>
    <row r="136" spans="3:15" x14ac:dyDescent="0.25">
      <c r="C136" s="5" t="s">
        <v>1</v>
      </c>
      <c r="D136" s="14">
        <v>0</v>
      </c>
      <c r="E136" s="1" t="s">
        <v>116</v>
      </c>
      <c r="F136" s="53" t="s">
        <v>162</v>
      </c>
      <c r="G136" s="14" t="s">
        <v>194</v>
      </c>
      <c r="H136" s="53" t="s">
        <v>15</v>
      </c>
      <c r="I136" s="55" cm="1">
        <f t="array" aca="1" ref="I136" ca="1">INDEX(_xlfn._xlws.SORT(INDIRECT(STR_LIST[[#This Row],[Symbol]]),1,1),1,0)</f>
        <v>46128</v>
      </c>
      <c r="J136" s="56">
        <v>0.43402777777777801</v>
      </c>
      <c r="K136" s="56">
        <v>0.45486111111111144</v>
      </c>
      <c r="L136" s="14" t="s">
        <v>122</v>
      </c>
      <c r="M136" s="1" t="s">
        <v>119</v>
      </c>
      <c r="N136" s="14" t="s">
        <v>120</v>
      </c>
      <c r="O136" s="57">
        <v>0.3</v>
      </c>
    </row>
    <row r="137" spans="3:15" x14ac:dyDescent="0.25">
      <c r="C137" s="5" t="s">
        <v>1</v>
      </c>
      <c r="D137" s="14">
        <v>0</v>
      </c>
      <c r="E137" s="1" t="s">
        <v>116</v>
      </c>
      <c r="F137" s="53" t="s">
        <v>163</v>
      </c>
      <c r="G137" s="14" t="s">
        <v>194</v>
      </c>
      <c r="H137" s="53" t="s">
        <v>15</v>
      </c>
      <c r="I137" s="55" cm="1">
        <f t="array" aca="1" ref="I137" ca="1">INDEX(_xlfn._xlws.SORT(INDIRECT(STR_LIST[[#This Row],[Symbol]]),1,1),1,0)</f>
        <v>46128</v>
      </c>
      <c r="J137" s="56">
        <v>0.44097222222222199</v>
      </c>
      <c r="K137" s="56">
        <v>0.46180555555555541</v>
      </c>
      <c r="L137" s="14" t="s">
        <v>122</v>
      </c>
      <c r="M137" s="1" t="s">
        <v>119</v>
      </c>
      <c r="N137" s="14" t="s">
        <v>120</v>
      </c>
      <c r="O137" s="57">
        <v>0.3</v>
      </c>
    </row>
    <row r="138" spans="3:15" x14ac:dyDescent="0.25">
      <c r="C138" s="5" t="s">
        <v>1</v>
      </c>
      <c r="D138" s="14">
        <v>0</v>
      </c>
      <c r="E138" s="1" t="s">
        <v>116</v>
      </c>
      <c r="F138" s="53" t="s">
        <v>164</v>
      </c>
      <c r="G138" s="14" t="s">
        <v>194</v>
      </c>
      <c r="H138" s="53" t="s">
        <v>15</v>
      </c>
      <c r="I138" s="55" cm="1">
        <f t="array" aca="1" ref="I138" ca="1">INDEX(_xlfn._xlws.SORT(INDIRECT(STR_LIST[[#This Row],[Symbol]]),1,1),1,0)</f>
        <v>46128</v>
      </c>
      <c r="J138" s="56">
        <v>0.44791666666666702</v>
      </c>
      <c r="K138" s="56">
        <v>0.46875000000000044</v>
      </c>
      <c r="L138" s="14" t="s">
        <v>122</v>
      </c>
      <c r="M138" s="1" t="s">
        <v>119</v>
      </c>
      <c r="N138" s="14" t="s">
        <v>120</v>
      </c>
      <c r="O138" s="57">
        <v>0.3</v>
      </c>
    </row>
    <row r="139" spans="3:15" x14ac:dyDescent="0.25">
      <c r="C139" s="5" t="s">
        <v>1</v>
      </c>
      <c r="D139" s="14">
        <v>0</v>
      </c>
      <c r="E139" s="1" t="s">
        <v>116</v>
      </c>
      <c r="F139" s="53" t="s">
        <v>165</v>
      </c>
      <c r="G139" s="14" t="s">
        <v>194</v>
      </c>
      <c r="H139" s="53" t="s">
        <v>15</v>
      </c>
      <c r="I139" s="55" cm="1">
        <f t="array" aca="1" ref="I139" ca="1">INDEX(_xlfn._xlws.SORT(INDIRECT(STR_LIST[[#This Row],[Symbol]]),1,1),1,0)</f>
        <v>46128</v>
      </c>
      <c r="J139" s="56">
        <v>0.45486111111111099</v>
      </c>
      <c r="K139" s="56">
        <v>0.47569444444444442</v>
      </c>
      <c r="L139" s="14" t="s">
        <v>122</v>
      </c>
      <c r="M139" s="1" t="s">
        <v>119</v>
      </c>
      <c r="N139" s="14" t="s">
        <v>120</v>
      </c>
      <c r="O139" s="57">
        <v>0.3</v>
      </c>
    </row>
    <row r="140" spans="3:15" x14ac:dyDescent="0.25">
      <c r="C140" s="5" t="s">
        <v>1</v>
      </c>
      <c r="D140" s="14">
        <v>0</v>
      </c>
      <c r="E140" s="1" t="s">
        <v>116</v>
      </c>
      <c r="F140" s="53" t="s">
        <v>166</v>
      </c>
      <c r="G140" s="14" t="s">
        <v>194</v>
      </c>
      <c r="H140" s="53" t="s">
        <v>15</v>
      </c>
      <c r="I140" s="55" cm="1">
        <f t="array" aca="1" ref="I140" ca="1">INDEX(_xlfn._xlws.SORT(INDIRECT(STR_LIST[[#This Row],[Symbol]]),1,1),1,0)</f>
        <v>46128</v>
      </c>
      <c r="J140" s="56">
        <v>0.46180555555555602</v>
      </c>
      <c r="K140" s="56">
        <v>0.48263888888888945</v>
      </c>
      <c r="L140" s="14" t="s">
        <v>122</v>
      </c>
      <c r="M140" s="1" t="s">
        <v>119</v>
      </c>
      <c r="N140" s="14" t="s">
        <v>120</v>
      </c>
      <c r="O140" s="57">
        <v>0.3</v>
      </c>
    </row>
    <row r="141" spans="3:15" x14ac:dyDescent="0.25">
      <c r="C141" s="5" t="s">
        <v>1</v>
      </c>
      <c r="D141" s="14">
        <v>0</v>
      </c>
      <c r="E141" s="1" t="s">
        <v>116</v>
      </c>
      <c r="F141" s="53" t="s">
        <v>167</v>
      </c>
      <c r="G141" s="14" t="s">
        <v>194</v>
      </c>
      <c r="H141" s="53" t="s">
        <v>15</v>
      </c>
      <c r="I141" s="55" cm="1">
        <f t="array" aca="1" ref="I141" ca="1">INDEX(_xlfn._xlws.SORT(INDIRECT(STR_LIST[[#This Row],[Symbol]]),1,1),1,0)</f>
        <v>46128</v>
      </c>
      <c r="J141" s="56">
        <v>0.46875</v>
      </c>
      <c r="K141" s="56">
        <v>0.48958333333333343</v>
      </c>
      <c r="L141" s="14" t="s">
        <v>122</v>
      </c>
      <c r="M141" s="1" t="s">
        <v>119</v>
      </c>
      <c r="N141" s="14" t="s">
        <v>120</v>
      </c>
      <c r="O141" s="57">
        <v>0.3</v>
      </c>
    </row>
    <row r="142" spans="3:15" x14ac:dyDescent="0.25">
      <c r="C142" s="5" t="s">
        <v>1</v>
      </c>
      <c r="D142" s="14">
        <v>0</v>
      </c>
      <c r="E142" s="1" t="s">
        <v>116</v>
      </c>
      <c r="F142" s="53" t="s">
        <v>168</v>
      </c>
      <c r="G142" s="14" t="s">
        <v>194</v>
      </c>
      <c r="H142" s="53" t="s">
        <v>15</v>
      </c>
      <c r="I142" s="55" cm="1">
        <f t="array" aca="1" ref="I142" ca="1">INDEX(_xlfn._xlws.SORT(INDIRECT(STR_LIST[[#This Row],[Symbol]]),1,1),1,0)</f>
        <v>46128</v>
      </c>
      <c r="J142" s="56">
        <v>0.47569444444444497</v>
      </c>
      <c r="K142" s="56">
        <v>0.4965277777777784</v>
      </c>
      <c r="L142" s="14" t="s">
        <v>122</v>
      </c>
      <c r="M142" s="1" t="s">
        <v>119</v>
      </c>
      <c r="N142" s="14" t="s">
        <v>120</v>
      </c>
      <c r="O142" s="57">
        <v>0.3</v>
      </c>
    </row>
    <row r="143" spans="3:15" x14ac:dyDescent="0.25">
      <c r="C143" s="5" t="s">
        <v>1</v>
      </c>
      <c r="D143" s="14">
        <v>0</v>
      </c>
      <c r="E143" s="1" t="s">
        <v>116</v>
      </c>
      <c r="F143" s="53" t="s">
        <v>169</v>
      </c>
      <c r="G143" s="14" t="s">
        <v>194</v>
      </c>
      <c r="H143" s="53" t="s">
        <v>15</v>
      </c>
      <c r="I143" s="55" cm="1">
        <f t="array" aca="1" ref="I143" ca="1">INDEX(_xlfn._xlws.SORT(INDIRECT(STR_LIST[[#This Row],[Symbol]]),1,1),1,0)</f>
        <v>46128</v>
      </c>
      <c r="J143" s="56">
        <v>0.48263888888888901</v>
      </c>
      <c r="K143" s="56">
        <v>0.50347222222222243</v>
      </c>
      <c r="L143" s="14" t="s">
        <v>122</v>
      </c>
      <c r="M143" s="1" t="s">
        <v>119</v>
      </c>
      <c r="N143" s="14" t="s">
        <v>120</v>
      </c>
      <c r="O143" s="57">
        <v>0.3</v>
      </c>
    </row>
    <row r="144" spans="3:15" x14ac:dyDescent="0.25">
      <c r="C144" s="5" t="s">
        <v>1</v>
      </c>
      <c r="D144" s="14">
        <v>0</v>
      </c>
      <c r="E144" s="1" t="s">
        <v>116</v>
      </c>
      <c r="F144" s="53" t="s">
        <v>170</v>
      </c>
      <c r="G144" s="14" t="s">
        <v>194</v>
      </c>
      <c r="H144" s="53" t="s">
        <v>15</v>
      </c>
      <c r="I144" s="55" cm="1">
        <f t="array" aca="1" ref="I144" ca="1">INDEX(_xlfn._xlws.SORT(INDIRECT(STR_LIST[[#This Row],[Symbol]]),1,1),1,0)</f>
        <v>46128</v>
      </c>
      <c r="J144" s="56">
        <v>0.48958333333333398</v>
      </c>
      <c r="K144" s="56">
        <v>0.51041666666666741</v>
      </c>
      <c r="L144" s="14" t="s">
        <v>122</v>
      </c>
      <c r="M144" s="1" t="s">
        <v>119</v>
      </c>
      <c r="N144" s="14" t="s">
        <v>120</v>
      </c>
      <c r="O144" s="57">
        <v>0.3</v>
      </c>
    </row>
    <row r="145" spans="3:15" x14ac:dyDescent="0.25">
      <c r="C145" s="5" t="s">
        <v>1</v>
      </c>
      <c r="D145" s="14">
        <v>0</v>
      </c>
      <c r="E145" s="1" t="s">
        <v>116</v>
      </c>
      <c r="F145" s="53" t="s">
        <v>171</v>
      </c>
      <c r="G145" s="14" t="s">
        <v>194</v>
      </c>
      <c r="H145" s="53" t="s">
        <v>15</v>
      </c>
      <c r="I145" s="55" cm="1">
        <f t="array" aca="1" ref="I145" ca="1">INDEX(_xlfn._xlws.SORT(INDIRECT(STR_LIST[[#This Row],[Symbol]]),1,1),1,0)</f>
        <v>46128</v>
      </c>
      <c r="J145" s="56">
        <v>0.49652777777777801</v>
      </c>
      <c r="K145" s="56">
        <v>0.51736111111111138</v>
      </c>
      <c r="L145" s="14" t="s">
        <v>122</v>
      </c>
      <c r="M145" s="1" t="s">
        <v>119</v>
      </c>
      <c r="N145" s="14" t="s">
        <v>120</v>
      </c>
      <c r="O145" s="57">
        <v>0.3</v>
      </c>
    </row>
    <row r="146" spans="3:15" x14ac:dyDescent="0.25">
      <c r="C146" s="5" t="s">
        <v>1</v>
      </c>
      <c r="D146" s="14">
        <v>0</v>
      </c>
      <c r="E146" s="1" t="s">
        <v>116</v>
      </c>
      <c r="F146" s="53" t="s">
        <v>172</v>
      </c>
      <c r="G146" s="14" t="s">
        <v>194</v>
      </c>
      <c r="H146" s="53" t="s">
        <v>15</v>
      </c>
      <c r="I146" s="55" cm="1">
        <f t="array" aca="1" ref="I146" ca="1">INDEX(_xlfn._xlws.SORT(INDIRECT(STR_LIST[[#This Row],[Symbol]]),1,1),1,0)</f>
        <v>46128</v>
      </c>
      <c r="J146" s="56">
        <v>0.50347222222222299</v>
      </c>
      <c r="K146" s="56">
        <v>0.52430555555555636</v>
      </c>
      <c r="L146" s="14" t="s">
        <v>122</v>
      </c>
      <c r="M146" s="1" t="s">
        <v>119</v>
      </c>
      <c r="N146" s="14" t="s">
        <v>120</v>
      </c>
      <c r="O146" s="57">
        <v>0.3</v>
      </c>
    </row>
    <row r="147" spans="3:15" x14ac:dyDescent="0.25">
      <c r="C147" s="5" t="s">
        <v>1</v>
      </c>
      <c r="D147" s="14">
        <v>0</v>
      </c>
      <c r="E147" s="1" t="s">
        <v>116</v>
      </c>
      <c r="F147" s="53" t="s">
        <v>173</v>
      </c>
      <c r="G147" s="14" t="s">
        <v>194</v>
      </c>
      <c r="H147" s="53" t="s">
        <v>15</v>
      </c>
      <c r="I147" s="55" cm="1">
        <f t="array" aca="1" ref="I147" ca="1">INDEX(_xlfn._xlws.SORT(INDIRECT(STR_LIST[[#This Row],[Symbol]]),1,1),1,0)</f>
        <v>46128</v>
      </c>
      <c r="J147" s="56">
        <v>0.51041666666666696</v>
      </c>
      <c r="K147" s="56">
        <v>0.53125000000000033</v>
      </c>
      <c r="L147" s="14" t="s">
        <v>122</v>
      </c>
      <c r="M147" s="1" t="s">
        <v>119</v>
      </c>
      <c r="N147" s="14" t="s">
        <v>120</v>
      </c>
      <c r="O147" s="57">
        <v>1</v>
      </c>
    </row>
    <row r="148" spans="3:15" x14ac:dyDescent="0.25">
      <c r="C148" s="5" t="s">
        <v>1</v>
      </c>
      <c r="D148" s="14">
        <v>0</v>
      </c>
      <c r="E148" s="1" t="s">
        <v>116</v>
      </c>
      <c r="F148" s="53" t="s">
        <v>174</v>
      </c>
      <c r="G148" s="14" t="s">
        <v>194</v>
      </c>
      <c r="H148" s="53" t="s">
        <v>15</v>
      </c>
      <c r="I148" s="55" cm="1">
        <f t="array" aca="1" ref="I148" ca="1">INDEX(_xlfn._xlws.SORT(INDIRECT(STR_LIST[[#This Row],[Symbol]]),1,1),1,0)</f>
        <v>46128</v>
      </c>
      <c r="J148" s="56">
        <v>0.51736111111111205</v>
      </c>
      <c r="K148" s="56">
        <v>0.53819444444444542</v>
      </c>
      <c r="L148" s="14" t="s">
        <v>122</v>
      </c>
      <c r="M148" s="1" t="s">
        <v>119</v>
      </c>
      <c r="N148" s="14" t="s">
        <v>120</v>
      </c>
      <c r="O148" s="57">
        <v>1</v>
      </c>
    </row>
    <row r="149" spans="3:15" x14ac:dyDescent="0.25">
      <c r="C149" s="5" t="s">
        <v>1</v>
      </c>
      <c r="D149" s="14">
        <v>0</v>
      </c>
      <c r="E149" s="1" t="s">
        <v>116</v>
      </c>
      <c r="F149" s="53" t="s">
        <v>175</v>
      </c>
      <c r="G149" s="14" t="s">
        <v>194</v>
      </c>
      <c r="H149" s="53" t="s">
        <v>15</v>
      </c>
      <c r="I149" s="55" cm="1">
        <f t="array" aca="1" ref="I149" ca="1">INDEX(_xlfn._xlws.SORT(INDIRECT(STR_LIST[[#This Row],[Symbol]]),1,1),1,0)</f>
        <v>46128</v>
      </c>
      <c r="J149" s="56">
        <v>0.52430555555555602</v>
      </c>
      <c r="K149" s="56">
        <v>0.54513888888888939</v>
      </c>
      <c r="L149" s="14" t="s">
        <v>122</v>
      </c>
      <c r="M149" s="1" t="s">
        <v>119</v>
      </c>
      <c r="N149" s="14" t="s">
        <v>120</v>
      </c>
      <c r="O149" s="57">
        <v>1</v>
      </c>
    </row>
    <row r="150" spans="3:15" x14ac:dyDescent="0.25">
      <c r="C150" s="5" t="s">
        <v>1</v>
      </c>
      <c r="D150" s="14">
        <v>0</v>
      </c>
      <c r="E150" s="1" t="s">
        <v>116</v>
      </c>
      <c r="F150" s="53" t="s">
        <v>176</v>
      </c>
      <c r="G150" s="14" t="s">
        <v>194</v>
      </c>
      <c r="H150" s="53" t="s">
        <v>15</v>
      </c>
      <c r="I150" s="55" cm="1">
        <f t="array" aca="1" ref="I150" ca="1">INDEX(_xlfn._xlws.SORT(INDIRECT(STR_LIST[[#This Row],[Symbol]]),1,1),1,0)</f>
        <v>46128</v>
      </c>
      <c r="J150" s="56">
        <v>0.531250000000001</v>
      </c>
      <c r="K150" s="56">
        <v>0.55208333333333437</v>
      </c>
      <c r="L150" s="14" t="s">
        <v>122</v>
      </c>
      <c r="M150" s="1" t="s">
        <v>119</v>
      </c>
      <c r="N150" s="14" t="s">
        <v>120</v>
      </c>
      <c r="O150" s="57">
        <v>1</v>
      </c>
    </row>
    <row r="151" spans="3:15" x14ac:dyDescent="0.25">
      <c r="C151" s="5" t="s">
        <v>1</v>
      </c>
      <c r="D151" s="14">
        <v>0</v>
      </c>
      <c r="E151" s="1" t="s">
        <v>116</v>
      </c>
      <c r="F151" s="53" t="s">
        <v>177</v>
      </c>
      <c r="G151" s="14" t="s">
        <v>194</v>
      </c>
      <c r="H151" s="53" t="s">
        <v>15</v>
      </c>
      <c r="I151" s="55" cm="1">
        <f t="array" aca="1" ref="I151" ca="1">INDEX(_xlfn._xlws.SORT(INDIRECT(STR_LIST[[#This Row],[Symbol]]),1,1),1,0)</f>
        <v>46128</v>
      </c>
      <c r="J151" s="56">
        <v>0.53819444444444497</v>
      </c>
      <c r="K151" s="56">
        <v>0.55902777777777835</v>
      </c>
      <c r="L151" s="14" t="s">
        <v>122</v>
      </c>
      <c r="M151" s="1" t="s">
        <v>119</v>
      </c>
      <c r="N151" s="14" t="s">
        <v>120</v>
      </c>
      <c r="O151" s="57">
        <v>1</v>
      </c>
    </row>
    <row r="152" spans="3:15" x14ac:dyDescent="0.25">
      <c r="C152" s="5" t="s">
        <v>1</v>
      </c>
      <c r="D152" s="14">
        <v>0</v>
      </c>
      <c r="E152" s="1" t="s">
        <v>116</v>
      </c>
      <c r="F152" s="53" t="s">
        <v>178</v>
      </c>
      <c r="G152" s="14" t="s">
        <v>194</v>
      </c>
      <c r="H152" s="53" t="s">
        <v>15</v>
      </c>
      <c r="I152" s="55" cm="1">
        <f t="array" aca="1" ref="I152" ca="1">INDEX(_xlfn._xlws.SORT(INDIRECT(STR_LIST[[#This Row],[Symbol]]),1,1),1,0)</f>
        <v>46128</v>
      </c>
      <c r="J152" s="56">
        <v>0.54513888888888895</v>
      </c>
      <c r="K152" s="56">
        <v>0.56597222222222232</v>
      </c>
      <c r="L152" s="14" t="s">
        <v>122</v>
      </c>
      <c r="M152" s="1" t="s">
        <v>119</v>
      </c>
      <c r="N152" s="14" t="s">
        <v>120</v>
      </c>
      <c r="O152" s="57">
        <v>1</v>
      </c>
    </row>
    <row r="153" spans="3:15" x14ac:dyDescent="0.25">
      <c r="C153" s="5" t="s">
        <v>1</v>
      </c>
      <c r="D153" s="14">
        <v>0</v>
      </c>
      <c r="E153" s="1" t="s">
        <v>116</v>
      </c>
      <c r="F153" s="53" t="s">
        <v>179</v>
      </c>
      <c r="G153" s="14" t="s">
        <v>194</v>
      </c>
      <c r="H153" s="53" t="s">
        <v>15</v>
      </c>
      <c r="I153" s="55" cm="1">
        <f t="array" aca="1" ref="I153" ca="1">INDEX(_xlfn._xlws.SORT(INDIRECT(STR_LIST[[#This Row],[Symbol]]),1,1),1,0)</f>
        <v>46128</v>
      </c>
      <c r="J153" s="56">
        <v>0.55208333333333404</v>
      </c>
      <c r="K153" s="56">
        <v>0.57291666666666741</v>
      </c>
      <c r="L153" s="14" t="s">
        <v>122</v>
      </c>
      <c r="M153" s="1" t="s">
        <v>119</v>
      </c>
      <c r="N153" s="14" t="s">
        <v>120</v>
      </c>
      <c r="O153" s="57">
        <v>1</v>
      </c>
    </row>
    <row r="154" spans="3:15" x14ac:dyDescent="0.25">
      <c r="C154" s="5" t="s">
        <v>1</v>
      </c>
      <c r="D154" s="14">
        <v>0</v>
      </c>
      <c r="E154" s="1" t="s">
        <v>116</v>
      </c>
      <c r="F154" s="53" t="s">
        <v>180</v>
      </c>
      <c r="G154" s="14" t="s">
        <v>194</v>
      </c>
      <c r="H154" s="53" t="s">
        <v>15</v>
      </c>
      <c r="I154" s="55" cm="1">
        <f t="array" aca="1" ref="I154" ca="1">INDEX(_xlfn._xlws.SORT(INDIRECT(STR_LIST[[#This Row],[Symbol]]),1,1),1,0)</f>
        <v>46128</v>
      </c>
      <c r="J154" s="56">
        <v>0.55902777777777801</v>
      </c>
      <c r="K154" s="56">
        <v>0.57986111111111138</v>
      </c>
      <c r="L154" s="14" t="s">
        <v>122</v>
      </c>
      <c r="M154" s="1" t="s">
        <v>119</v>
      </c>
      <c r="N154" s="14" t="s">
        <v>120</v>
      </c>
      <c r="O154" s="57">
        <v>1</v>
      </c>
    </row>
    <row r="155" spans="3:15" x14ac:dyDescent="0.25">
      <c r="C155" s="5" t="s">
        <v>1</v>
      </c>
      <c r="D155" s="14">
        <v>0</v>
      </c>
      <c r="E155" s="1" t="s">
        <v>116</v>
      </c>
      <c r="F155" s="53" t="s">
        <v>181</v>
      </c>
      <c r="G155" s="14" t="s">
        <v>194</v>
      </c>
      <c r="H155" s="53" t="s">
        <v>15</v>
      </c>
      <c r="I155" s="55" cm="1">
        <f t="array" aca="1" ref="I155" ca="1">INDEX(_xlfn._xlws.SORT(INDIRECT(STR_LIST[[#This Row],[Symbol]]),1,1),1,0)</f>
        <v>46128</v>
      </c>
      <c r="J155" s="56">
        <v>0.56597222222222299</v>
      </c>
      <c r="K155" s="56">
        <v>0.58680555555555636</v>
      </c>
      <c r="L155" s="14" t="s">
        <v>122</v>
      </c>
      <c r="M155" s="1" t="s">
        <v>119</v>
      </c>
      <c r="N155" s="14" t="s">
        <v>120</v>
      </c>
      <c r="O155" s="57">
        <v>1</v>
      </c>
    </row>
    <row r="156" spans="3:15" x14ac:dyDescent="0.25">
      <c r="C156" s="5" t="s">
        <v>1</v>
      </c>
      <c r="D156" s="14">
        <v>0</v>
      </c>
      <c r="E156" s="1" t="s">
        <v>116</v>
      </c>
      <c r="F156" s="53" t="s">
        <v>182</v>
      </c>
      <c r="G156" s="14" t="s">
        <v>194</v>
      </c>
      <c r="H156" s="53" t="s">
        <v>15</v>
      </c>
      <c r="I156" s="55" cm="1">
        <f t="array" aca="1" ref="I156" ca="1">INDEX(_xlfn._xlws.SORT(INDIRECT(STR_LIST[[#This Row],[Symbol]]),1,1),1,0)</f>
        <v>46128</v>
      </c>
      <c r="J156" s="56">
        <v>0.57291666666666696</v>
      </c>
      <c r="K156" s="56">
        <v>0.59375000000000033</v>
      </c>
      <c r="L156" s="14" t="s">
        <v>122</v>
      </c>
      <c r="M156" s="1" t="s">
        <v>119</v>
      </c>
      <c r="N156" s="14" t="s">
        <v>120</v>
      </c>
      <c r="O156" s="57">
        <v>0.7</v>
      </c>
    </row>
    <row r="157" spans="3:15" x14ac:dyDescent="0.25">
      <c r="C157" s="5" t="s">
        <v>1</v>
      </c>
      <c r="D157" s="14">
        <v>0</v>
      </c>
      <c r="E157" s="1" t="s">
        <v>116</v>
      </c>
      <c r="F157" s="53" t="s">
        <v>183</v>
      </c>
      <c r="G157" s="14" t="s">
        <v>194</v>
      </c>
      <c r="H157" s="53" t="s">
        <v>15</v>
      </c>
      <c r="I157" s="55" cm="1">
        <f t="array" aca="1" ref="I157" ca="1">INDEX(_xlfn._xlws.SORT(INDIRECT(STR_LIST[[#This Row],[Symbol]]),1,1),1,0)</f>
        <v>46128</v>
      </c>
      <c r="J157" s="56">
        <v>0.57986111111111205</v>
      </c>
      <c r="K157" s="56">
        <v>0.60069444444444542</v>
      </c>
      <c r="L157" s="14" t="s">
        <v>122</v>
      </c>
      <c r="M157" s="1" t="s">
        <v>119</v>
      </c>
      <c r="N157" s="14" t="s">
        <v>120</v>
      </c>
      <c r="O157" s="57">
        <v>0.7</v>
      </c>
    </row>
    <row r="158" spans="3:15" x14ac:dyDescent="0.25">
      <c r="C158" s="5" t="s">
        <v>1</v>
      </c>
      <c r="D158" s="14">
        <v>0</v>
      </c>
      <c r="E158" s="1" t="s">
        <v>116</v>
      </c>
      <c r="F158" s="53" t="s">
        <v>184</v>
      </c>
      <c r="G158" s="14" t="s">
        <v>194</v>
      </c>
      <c r="H158" s="53" t="s">
        <v>15</v>
      </c>
      <c r="I158" s="55" cm="1">
        <f t="array" aca="1" ref="I158" ca="1">INDEX(_xlfn._xlws.SORT(INDIRECT(STR_LIST[[#This Row],[Symbol]]),1,1),1,0)</f>
        <v>46128</v>
      </c>
      <c r="J158" s="56">
        <v>0.58680555555555602</v>
      </c>
      <c r="K158" s="56">
        <v>0.60763888888888939</v>
      </c>
      <c r="L158" s="14" t="s">
        <v>122</v>
      </c>
      <c r="M158" s="1" t="s">
        <v>119</v>
      </c>
      <c r="N158" s="14" t="s">
        <v>120</v>
      </c>
      <c r="O158" s="57">
        <v>0.7</v>
      </c>
    </row>
    <row r="159" spans="3:15" x14ac:dyDescent="0.25">
      <c r="C159" s="5" t="s">
        <v>1</v>
      </c>
      <c r="D159" s="14">
        <v>0</v>
      </c>
      <c r="E159" s="1" t="s">
        <v>116</v>
      </c>
      <c r="F159" s="53" t="s">
        <v>185</v>
      </c>
      <c r="G159" s="14" t="s">
        <v>194</v>
      </c>
      <c r="H159" s="53" t="s">
        <v>15</v>
      </c>
      <c r="I159" s="55" cm="1">
        <f t="array" aca="1" ref="I159" ca="1">INDEX(_xlfn._xlws.SORT(INDIRECT(STR_LIST[[#This Row],[Symbol]]),1,1),1,0)</f>
        <v>46128</v>
      </c>
      <c r="J159" s="56">
        <v>0.593750000000001</v>
      </c>
      <c r="K159" s="56">
        <v>0.61458333333333437</v>
      </c>
      <c r="L159" s="14" t="s">
        <v>122</v>
      </c>
      <c r="M159" s="1" t="s">
        <v>119</v>
      </c>
      <c r="N159" s="14" t="s">
        <v>120</v>
      </c>
      <c r="O159" s="57">
        <v>0.7</v>
      </c>
    </row>
    <row r="160" spans="3:15" x14ac:dyDescent="0.25">
      <c r="C160" s="5" t="s">
        <v>1</v>
      </c>
      <c r="D160" s="14">
        <v>0</v>
      </c>
      <c r="E160" s="1" t="s">
        <v>116</v>
      </c>
      <c r="F160" s="53" t="s">
        <v>186</v>
      </c>
      <c r="G160" s="14" t="s">
        <v>194</v>
      </c>
      <c r="H160" s="53" t="s">
        <v>15</v>
      </c>
      <c r="I160" s="55" cm="1">
        <f t="array" aca="1" ref="I160" ca="1">INDEX(_xlfn._xlws.SORT(INDIRECT(STR_LIST[[#This Row],[Symbol]]),1,1),1,0)</f>
        <v>46128</v>
      </c>
      <c r="J160" s="56">
        <v>0.60069444444444497</v>
      </c>
      <c r="K160" s="56">
        <v>0.62152777777777835</v>
      </c>
      <c r="L160" s="14" t="s">
        <v>122</v>
      </c>
      <c r="M160" s="1" t="s">
        <v>119</v>
      </c>
      <c r="N160" s="14" t="s">
        <v>120</v>
      </c>
      <c r="O160" s="57">
        <v>0.7</v>
      </c>
    </row>
    <row r="161" spans="3:15" x14ac:dyDescent="0.25">
      <c r="C161" s="5" t="s">
        <v>1</v>
      </c>
      <c r="D161" s="14">
        <v>0</v>
      </c>
      <c r="E161" s="1" t="s">
        <v>116</v>
      </c>
      <c r="F161" s="53" t="s">
        <v>187</v>
      </c>
      <c r="G161" s="14" t="s">
        <v>194</v>
      </c>
      <c r="H161" s="53" t="s">
        <v>15</v>
      </c>
      <c r="I161" s="55" cm="1">
        <f t="array" aca="1" ref="I161" ca="1">INDEX(_xlfn._xlws.SORT(INDIRECT(STR_LIST[[#This Row],[Symbol]]),1,1),1,0)</f>
        <v>46128</v>
      </c>
      <c r="J161" s="56">
        <v>0.60763888888888995</v>
      </c>
      <c r="K161" s="56">
        <v>0.62847222222222332</v>
      </c>
      <c r="L161" s="14" t="s">
        <v>122</v>
      </c>
      <c r="M161" s="1" t="s">
        <v>119</v>
      </c>
      <c r="N161" s="14" t="s">
        <v>120</v>
      </c>
      <c r="O161" s="57">
        <v>0.7</v>
      </c>
    </row>
    <row r="162" spans="3:15" x14ac:dyDescent="0.25">
      <c r="C162" s="5" t="s">
        <v>1</v>
      </c>
      <c r="D162" s="14">
        <v>0</v>
      </c>
      <c r="E162" s="1" t="s">
        <v>116</v>
      </c>
      <c r="F162" s="53" t="s">
        <v>188</v>
      </c>
      <c r="G162" s="14" t="s">
        <v>194</v>
      </c>
      <c r="H162" s="53" t="s">
        <v>15</v>
      </c>
      <c r="I162" s="55" cm="1">
        <f t="array" aca="1" ref="I162" ca="1">INDEX(_xlfn._xlws.SORT(INDIRECT(STR_LIST[[#This Row],[Symbol]]),1,1),1,0)</f>
        <v>46128</v>
      </c>
      <c r="J162" s="56">
        <v>0.61458333333333404</v>
      </c>
      <c r="K162" s="56">
        <v>0.63541666666666741</v>
      </c>
      <c r="L162" s="14" t="s">
        <v>122</v>
      </c>
      <c r="M162" s="1" t="s">
        <v>119</v>
      </c>
      <c r="N162" s="14" t="s">
        <v>120</v>
      </c>
      <c r="O162" s="57">
        <v>0.7</v>
      </c>
    </row>
    <row r="163" spans="3:15" x14ac:dyDescent="0.25">
      <c r="C163" s="5" t="s">
        <v>1</v>
      </c>
      <c r="D163" s="14">
        <v>0</v>
      </c>
      <c r="E163" s="1" t="s">
        <v>116</v>
      </c>
      <c r="F163" s="53" t="s">
        <v>189</v>
      </c>
      <c r="G163" s="14" t="s">
        <v>194</v>
      </c>
      <c r="H163" s="53" t="s">
        <v>15</v>
      </c>
      <c r="I163" s="55" cm="1">
        <f t="array" aca="1" ref="I163" ca="1">INDEX(_xlfn._xlws.SORT(INDIRECT(STR_LIST[[#This Row],[Symbol]]),1,1),1,0)</f>
        <v>46128</v>
      </c>
      <c r="J163" s="56">
        <v>0.62152777777777901</v>
      </c>
      <c r="K163" s="56">
        <v>0.64236111111111238</v>
      </c>
      <c r="L163" s="14" t="s">
        <v>122</v>
      </c>
      <c r="M163" s="1" t="s">
        <v>119</v>
      </c>
      <c r="N163" s="14" t="s">
        <v>120</v>
      </c>
      <c r="O163" s="57">
        <v>0.7</v>
      </c>
    </row>
    <row r="164" spans="3:15" x14ac:dyDescent="0.25">
      <c r="C164" s="5" t="s">
        <v>69</v>
      </c>
      <c r="D164" s="14">
        <v>0</v>
      </c>
      <c r="E164" s="14" t="s">
        <v>116</v>
      </c>
      <c r="F164" t="s">
        <v>271</v>
      </c>
      <c r="G164" s="14" t="s">
        <v>194</v>
      </c>
      <c r="H164" s="53" t="s">
        <v>15</v>
      </c>
      <c r="I164" s="55" cm="1">
        <f t="array" aca="1" ref="I164" ca="1">INDEX(_xlfn._xlws.SORT(INDIRECT(STR_LIST[[#This Row],[Symbol]]),1,1),1,0)</f>
        <v>46128</v>
      </c>
      <c r="J164" s="56">
        <v>0.40625</v>
      </c>
      <c r="K164" s="56">
        <v>0.1423611111111111</v>
      </c>
      <c r="L164" s="14" t="s">
        <v>195</v>
      </c>
      <c r="M164" s="14" t="s">
        <v>119</v>
      </c>
      <c r="N164" s="14" t="s">
        <v>120</v>
      </c>
      <c r="O164" s="57">
        <v>0.3</v>
      </c>
    </row>
    <row r="165" spans="3:15" x14ac:dyDescent="0.25">
      <c r="C165" s="5" t="s">
        <v>69</v>
      </c>
      <c r="D165" s="14">
        <v>0</v>
      </c>
      <c r="E165" s="14" t="s">
        <v>116</v>
      </c>
      <c r="F165" t="s">
        <v>272</v>
      </c>
      <c r="G165" s="14" t="s">
        <v>194</v>
      </c>
      <c r="H165" s="53" t="s">
        <v>15</v>
      </c>
      <c r="I165" s="55" cm="1">
        <f t="array" aca="1" ref="I165" ca="1">INDEX(_xlfn._xlws.SORT(INDIRECT(STR_LIST[[#This Row],[Symbol]]),1,1),1,0)</f>
        <v>46128</v>
      </c>
      <c r="J165" s="56">
        <v>0.41666666666666669</v>
      </c>
      <c r="K165" s="56">
        <v>0.1423611111111111</v>
      </c>
      <c r="L165" s="14" t="s">
        <v>195</v>
      </c>
      <c r="M165" s="14" t="s">
        <v>119</v>
      </c>
      <c r="N165" s="14" t="s">
        <v>120</v>
      </c>
      <c r="O165" s="57">
        <v>0.3</v>
      </c>
    </row>
    <row r="166" spans="3:15" x14ac:dyDescent="0.25">
      <c r="C166" s="5" t="s">
        <v>69</v>
      </c>
      <c r="D166" s="14">
        <v>0</v>
      </c>
      <c r="E166" s="14" t="s">
        <v>116</v>
      </c>
      <c r="F166" t="s">
        <v>273</v>
      </c>
      <c r="G166" s="14" t="s">
        <v>194</v>
      </c>
      <c r="H166" s="53" t="s">
        <v>15</v>
      </c>
      <c r="I166" s="55" cm="1">
        <f t="array" aca="1" ref="I166" ca="1">INDEX(_xlfn._xlws.SORT(INDIRECT(STR_LIST[[#This Row],[Symbol]]),1,1),1,0)</f>
        <v>46128</v>
      </c>
      <c r="J166" s="56">
        <v>0.42708333333333331</v>
      </c>
      <c r="K166" s="56">
        <v>0.1423611111111111</v>
      </c>
      <c r="L166" s="14" t="s">
        <v>195</v>
      </c>
      <c r="M166" s="14" t="s">
        <v>119</v>
      </c>
      <c r="N166" s="14" t="s">
        <v>120</v>
      </c>
      <c r="O166" s="57">
        <v>0.3</v>
      </c>
    </row>
    <row r="167" spans="3:15" x14ac:dyDescent="0.25">
      <c r="C167" s="5" t="s">
        <v>69</v>
      </c>
      <c r="D167" s="14">
        <v>0</v>
      </c>
      <c r="E167" s="14" t="s">
        <v>116</v>
      </c>
      <c r="F167" t="s">
        <v>274</v>
      </c>
      <c r="G167" s="14" t="s">
        <v>194</v>
      </c>
      <c r="H167" s="53" t="s">
        <v>15</v>
      </c>
      <c r="I167" s="55" cm="1">
        <f t="array" aca="1" ref="I167" ca="1">INDEX(_xlfn._xlws.SORT(INDIRECT(STR_LIST[[#This Row],[Symbol]]),1,1),1,0)</f>
        <v>46128</v>
      </c>
      <c r="J167" s="56">
        <v>0.40625</v>
      </c>
      <c r="K167" s="56">
        <v>0.1423611111111111</v>
      </c>
      <c r="L167" s="14" t="s">
        <v>139</v>
      </c>
      <c r="M167" s="14" t="s">
        <v>119</v>
      </c>
      <c r="N167" s="14" t="s">
        <v>120</v>
      </c>
      <c r="O167" s="57">
        <v>0.5</v>
      </c>
    </row>
    <row r="168" spans="3:15" x14ac:dyDescent="0.25">
      <c r="C168" s="5" t="s">
        <v>69</v>
      </c>
      <c r="D168" s="14">
        <v>0</v>
      </c>
      <c r="E168" s="14" t="s">
        <v>116</v>
      </c>
      <c r="F168" t="s">
        <v>275</v>
      </c>
      <c r="G168" s="14" t="s">
        <v>194</v>
      </c>
      <c r="H168" s="53" t="s">
        <v>15</v>
      </c>
      <c r="I168" s="55" cm="1">
        <f t="array" aca="1" ref="I168" ca="1">INDEX(_xlfn._xlws.SORT(INDIRECT(STR_LIST[[#This Row],[Symbol]]),1,1),1,0)</f>
        <v>46128</v>
      </c>
      <c r="J168" s="56">
        <v>0.41666666666666669</v>
      </c>
      <c r="K168" s="56">
        <v>0.1423611111111111</v>
      </c>
      <c r="L168" s="14" t="s">
        <v>139</v>
      </c>
      <c r="M168" s="14" t="s">
        <v>119</v>
      </c>
      <c r="N168" s="14" t="s">
        <v>120</v>
      </c>
      <c r="O168" s="57">
        <v>0.5</v>
      </c>
    </row>
    <row r="169" spans="3:15" x14ac:dyDescent="0.25">
      <c r="C169" s="5" t="s">
        <v>69</v>
      </c>
      <c r="D169" s="14">
        <v>0</v>
      </c>
      <c r="E169" s="14" t="s">
        <v>116</v>
      </c>
      <c r="F169" t="s">
        <v>276</v>
      </c>
      <c r="G169" s="14" t="s">
        <v>194</v>
      </c>
      <c r="H169" s="53" t="s">
        <v>15</v>
      </c>
      <c r="I169" s="55" cm="1">
        <f t="array" aca="1" ref="I169" ca="1">INDEX(_xlfn._xlws.SORT(INDIRECT(STR_LIST[[#This Row],[Symbol]]),1,1),1,0)</f>
        <v>46128</v>
      </c>
      <c r="J169" s="56">
        <v>0.42708333333333331</v>
      </c>
      <c r="K169" s="56">
        <v>0.1423611111111111</v>
      </c>
      <c r="L169" s="14" t="s">
        <v>139</v>
      </c>
      <c r="M169" s="14" t="s">
        <v>119</v>
      </c>
      <c r="N169" s="14" t="s">
        <v>120</v>
      </c>
      <c r="O169" s="57">
        <v>0.5</v>
      </c>
    </row>
    <row r="170" spans="3:15" x14ac:dyDescent="0.25">
      <c r="C170" s="5" t="s">
        <v>69</v>
      </c>
      <c r="D170" s="14">
        <v>4</v>
      </c>
      <c r="E170" s="14" t="s">
        <v>116</v>
      </c>
      <c r="F170" s="1" t="s">
        <v>293</v>
      </c>
      <c r="G170" s="14" t="s">
        <v>194</v>
      </c>
      <c r="H170" s="53" t="s">
        <v>15</v>
      </c>
      <c r="I170" s="55" cm="1">
        <f t="array" aca="1" ref="I170" ca="1">INDEX(_xlfn._xlws.SORT(INDIRECT(STR_LIST[[#This Row],[Symbol]]),1,1),1,0)</f>
        <v>46128</v>
      </c>
      <c r="J170" s="56">
        <v>0.60416666666666663</v>
      </c>
      <c r="K170" s="56">
        <v>0.1423611111111111</v>
      </c>
      <c r="L170" s="14" t="s">
        <v>139</v>
      </c>
      <c r="M170" s="14" t="s">
        <v>119</v>
      </c>
      <c r="N170" s="14" t="s">
        <v>120</v>
      </c>
      <c r="O170" s="57">
        <v>0.7</v>
      </c>
    </row>
    <row r="171" spans="3:15" x14ac:dyDescent="0.25">
      <c r="C171" s="5" t="s">
        <v>69</v>
      </c>
      <c r="D171" s="14">
        <v>4</v>
      </c>
      <c r="E171" s="14" t="s">
        <v>116</v>
      </c>
      <c r="F171" s="1" t="s">
        <v>294</v>
      </c>
      <c r="G171" s="14" t="s">
        <v>194</v>
      </c>
      <c r="H171" s="53" t="s">
        <v>15</v>
      </c>
      <c r="I171" s="55" cm="1">
        <f t="array" aca="1" ref="I171" ca="1">INDEX(_xlfn._xlws.SORT(INDIRECT(STR_LIST[[#This Row],[Symbol]]),1,1),1,0)</f>
        <v>46128</v>
      </c>
      <c r="J171" s="56">
        <v>0.61458333333333337</v>
      </c>
      <c r="K171" s="56">
        <v>0.1423611111111111</v>
      </c>
      <c r="L171" s="14" t="s">
        <v>139</v>
      </c>
      <c r="M171" s="14" t="s">
        <v>119</v>
      </c>
      <c r="N171" s="14" t="s">
        <v>120</v>
      </c>
      <c r="O171" s="57">
        <v>0.7</v>
      </c>
    </row>
    <row r="172" spans="3:15" x14ac:dyDescent="0.25">
      <c r="C172" s="5" t="s">
        <v>69</v>
      </c>
      <c r="D172" s="14">
        <v>4</v>
      </c>
      <c r="E172" s="14" t="s">
        <v>116</v>
      </c>
      <c r="F172" s="1" t="s">
        <v>295</v>
      </c>
      <c r="G172" s="14" t="s">
        <v>194</v>
      </c>
      <c r="H172" s="53" t="s">
        <v>15</v>
      </c>
      <c r="I172" s="55" cm="1">
        <f t="array" aca="1" ref="I172" ca="1">INDEX(_xlfn._xlws.SORT(INDIRECT(STR_LIST[[#This Row],[Symbol]]),1,1),1,0)</f>
        <v>46128</v>
      </c>
      <c r="J172" s="56">
        <v>0.625</v>
      </c>
      <c r="K172" s="56">
        <v>0.1423611111111111</v>
      </c>
      <c r="L172" s="14" t="s">
        <v>139</v>
      </c>
      <c r="M172" s="14" t="s">
        <v>119</v>
      </c>
      <c r="N172" s="14" t="s">
        <v>120</v>
      </c>
      <c r="O172" s="57">
        <v>0.7</v>
      </c>
    </row>
    <row r="173" spans="3:15" x14ac:dyDescent="0.25">
      <c r="C173" s="5" t="s">
        <v>69</v>
      </c>
      <c r="D173" s="14">
        <v>4</v>
      </c>
      <c r="E173" s="14" t="s">
        <v>116</v>
      </c>
      <c r="F173" s="1" t="s">
        <v>237</v>
      </c>
      <c r="G173" s="14" t="s">
        <v>194</v>
      </c>
      <c r="H173" s="53" t="s">
        <v>15</v>
      </c>
      <c r="I173" s="55" cm="1">
        <f t="array" aca="1" ref="I173" ca="1">INDEX(_xlfn._xlws.SORT(INDIRECT(STR_LIST[[#This Row],[Symbol]]),1,1),1,0)</f>
        <v>46128</v>
      </c>
      <c r="J173" s="56">
        <v>0.60416666666666663</v>
      </c>
      <c r="K173" s="56">
        <v>0.1423611111111111</v>
      </c>
      <c r="L173" s="14" t="s">
        <v>143</v>
      </c>
      <c r="M173" s="14" t="s">
        <v>119</v>
      </c>
      <c r="N173" s="14" t="s">
        <v>120</v>
      </c>
      <c r="O173" s="57">
        <v>0.7</v>
      </c>
    </row>
    <row r="174" spans="3:15" x14ac:dyDescent="0.25">
      <c r="C174" s="5" t="s">
        <v>69</v>
      </c>
      <c r="D174" s="14">
        <v>4</v>
      </c>
      <c r="E174" s="14" t="s">
        <v>116</v>
      </c>
      <c r="F174" s="1" t="s">
        <v>238</v>
      </c>
      <c r="G174" s="14" t="s">
        <v>194</v>
      </c>
      <c r="H174" s="53" t="s">
        <v>15</v>
      </c>
      <c r="I174" s="55" cm="1">
        <f t="array" aca="1" ref="I174" ca="1">INDEX(_xlfn._xlws.SORT(INDIRECT(STR_LIST[[#This Row],[Symbol]]),1,1),1,0)</f>
        <v>46128</v>
      </c>
      <c r="J174" s="56">
        <v>0.61458333333333337</v>
      </c>
      <c r="K174" s="56">
        <v>0.1423611111111111</v>
      </c>
      <c r="L174" s="14" t="s">
        <v>143</v>
      </c>
      <c r="M174" s="14" t="s">
        <v>119</v>
      </c>
      <c r="N174" s="14" t="s">
        <v>120</v>
      </c>
      <c r="O174" s="57">
        <v>0.7</v>
      </c>
    </row>
    <row r="175" spans="3:15" x14ac:dyDescent="0.25">
      <c r="C175" s="5" t="s">
        <v>69</v>
      </c>
      <c r="D175" s="14">
        <v>4</v>
      </c>
      <c r="E175" s="14" t="s">
        <v>116</v>
      </c>
      <c r="F175" s="1" t="s">
        <v>239</v>
      </c>
      <c r="G175" s="14" t="s">
        <v>194</v>
      </c>
      <c r="H175" s="53" t="s">
        <v>15</v>
      </c>
      <c r="I175" s="55" cm="1">
        <f t="array" aca="1" ref="I175" ca="1">INDEX(_xlfn._xlws.SORT(INDIRECT(STR_LIST[[#This Row],[Symbol]]),1,1),1,0)</f>
        <v>46128</v>
      </c>
      <c r="J175" s="56">
        <v>0.625</v>
      </c>
      <c r="K175" s="56">
        <v>0.1423611111111111</v>
      </c>
      <c r="L175" s="14" t="s">
        <v>143</v>
      </c>
      <c r="M175" s="14" t="s">
        <v>119</v>
      </c>
      <c r="N175" s="14" t="s">
        <v>120</v>
      </c>
      <c r="O175" s="57">
        <v>0.7</v>
      </c>
    </row>
    <row r="176" spans="3:15" x14ac:dyDescent="0.25">
      <c r="C176" s="5" t="s">
        <v>69</v>
      </c>
      <c r="D176" s="14">
        <v>3</v>
      </c>
      <c r="E176" s="14" t="s">
        <v>116</v>
      </c>
      <c r="F176" t="s">
        <v>265</v>
      </c>
      <c r="G176" s="14" t="s">
        <v>194</v>
      </c>
      <c r="H176" s="53" t="s">
        <v>15</v>
      </c>
      <c r="I176" s="55" cm="1">
        <f t="array" aca="1" ref="I176" ca="1">INDEX(_xlfn._xlws.SORT(INDIRECT(STR_LIST[[#This Row],[Symbol]]),1,1),1,0)</f>
        <v>46128</v>
      </c>
      <c r="J176" s="56">
        <v>0.4375</v>
      </c>
      <c r="K176" s="56">
        <v>0.1423611111111111</v>
      </c>
      <c r="L176" s="14" t="s">
        <v>122</v>
      </c>
      <c r="M176" s="14" t="s">
        <v>119</v>
      </c>
      <c r="N176" s="14" t="s">
        <v>120</v>
      </c>
      <c r="O176" s="57">
        <v>0.3</v>
      </c>
    </row>
    <row r="177" spans="3:15" x14ac:dyDescent="0.25">
      <c r="C177" s="5" t="s">
        <v>69</v>
      </c>
      <c r="D177" s="14">
        <v>3</v>
      </c>
      <c r="E177" s="14" t="s">
        <v>116</v>
      </c>
      <c r="F177" t="s">
        <v>266</v>
      </c>
      <c r="G177" s="14" t="s">
        <v>194</v>
      </c>
      <c r="H177" s="53" t="s">
        <v>15</v>
      </c>
      <c r="I177" s="55" cm="1">
        <f t="array" aca="1" ref="I177" ca="1">INDEX(_xlfn._xlws.SORT(INDIRECT(STR_LIST[[#This Row],[Symbol]]),1,1),1,0)</f>
        <v>46128</v>
      </c>
      <c r="J177" s="56">
        <v>0.44791666666666669</v>
      </c>
      <c r="K177" s="56">
        <v>0.1423611111111111</v>
      </c>
      <c r="L177" s="14" t="s">
        <v>122</v>
      </c>
      <c r="M177" s="14" t="s">
        <v>119</v>
      </c>
      <c r="N177" s="14" t="s">
        <v>120</v>
      </c>
      <c r="O177" s="57">
        <v>0.3</v>
      </c>
    </row>
    <row r="178" spans="3:15" x14ac:dyDescent="0.25">
      <c r="C178" s="5" t="s">
        <v>69</v>
      </c>
      <c r="D178" s="14">
        <v>3</v>
      </c>
      <c r="E178" s="14" t="s">
        <v>116</v>
      </c>
      <c r="F178" t="s">
        <v>267</v>
      </c>
      <c r="G178" s="14" t="s">
        <v>194</v>
      </c>
      <c r="H178" s="53" t="s">
        <v>15</v>
      </c>
      <c r="I178" s="55" cm="1">
        <f t="array" aca="1" ref="I178" ca="1">INDEX(_xlfn._xlws.SORT(INDIRECT(STR_LIST[[#This Row],[Symbol]]),1,1),1,0)</f>
        <v>46128</v>
      </c>
      <c r="J178" s="56">
        <v>0.45833333333333331</v>
      </c>
      <c r="K178" s="56">
        <v>0.1423611111111111</v>
      </c>
      <c r="L178" s="14" t="s">
        <v>122</v>
      </c>
      <c r="M178" s="14" t="s">
        <v>119</v>
      </c>
      <c r="N178" s="14" t="s">
        <v>120</v>
      </c>
      <c r="O178" s="57">
        <v>0.3</v>
      </c>
    </row>
    <row r="179" spans="3:15" x14ac:dyDescent="0.25">
      <c r="C179" s="5" t="s">
        <v>69</v>
      </c>
      <c r="D179" s="14">
        <v>3</v>
      </c>
      <c r="E179" s="14" t="s">
        <v>116</v>
      </c>
      <c r="F179" t="s">
        <v>268</v>
      </c>
      <c r="G179" s="14" t="s">
        <v>194</v>
      </c>
      <c r="H179" s="53" t="s">
        <v>15</v>
      </c>
      <c r="I179" s="55" cm="1">
        <f t="array" aca="1" ref="I179" ca="1">INDEX(_xlfn._xlws.SORT(INDIRECT(STR_LIST[[#This Row],[Symbol]]),1,1),1,0)</f>
        <v>46128</v>
      </c>
      <c r="J179" s="56">
        <v>0.4375</v>
      </c>
      <c r="K179" s="56">
        <v>0.1423611111111111</v>
      </c>
      <c r="L179" s="14" t="s">
        <v>143</v>
      </c>
      <c r="M179" s="14" t="s">
        <v>119</v>
      </c>
      <c r="N179" s="14" t="s">
        <v>120</v>
      </c>
      <c r="O179" s="57">
        <v>0.3</v>
      </c>
    </row>
    <row r="180" spans="3:15" x14ac:dyDescent="0.25">
      <c r="C180" s="5" t="s">
        <v>69</v>
      </c>
      <c r="D180" s="14">
        <v>3</v>
      </c>
      <c r="E180" s="14" t="s">
        <v>116</v>
      </c>
      <c r="F180" t="s">
        <v>269</v>
      </c>
      <c r="G180" s="14" t="s">
        <v>194</v>
      </c>
      <c r="H180" s="53" t="s">
        <v>15</v>
      </c>
      <c r="I180" s="55" cm="1">
        <f t="array" aca="1" ref="I180" ca="1">INDEX(_xlfn._xlws.SORT(INDIRECT(STR_LIST[[#This Row],[Symbol]]),1,1),1,0)</f>
        <v>46128</v>
      </c>
      <c r="J180" s="56">
        <v>0.44791666666666669</v>
      </c>
      <c r="K180" s="56">
        <v>0.1423611111111111</v>
      </c>
      <c r="L180" s="14" t="s">
        <v>143</v>
      </c>
      <c r="M180" s="14" t="s">
        <v>119</v>
      </c>
      <c r="N180" s="14" t="s">
        <v>120</v>
      </c>
      <c r="O180" s="57">
        <v>0.3</v>
      </c>
    </row>
    <row r="181" spans="3:15" x14ac:dyDescent="0.25">
      <c r="C181" s="5" t="s">
        <v>69</v>
      </c>
      <c r="D181" s="14">
        <v>3</v>
      </c>
      <c r="E181" s="14" t="s">
        <v>116</v>
      </c>
      <c r="F181" t="s">
        <v>270</v>
      </c>
      <c r="G181" s="14" t="s">
        <v>194</v>
      </c>
      <c r="H181" s="53" t="s">
        <v>15</v>
      </c>
      <c r="I181" s="55" cm="1">
        <f t="array" aca="1" ref="I181" ca="1">INDEX(_xlfn._xlws.SORT(INDIRECT(STR_LIST[[#This Row],[Symbol]]),1,1),1,0)</f>
        <v>46128</v>
      </c>
      <c r="J181" s="56">
        <v>0.45833333333333331</v>
      </c>
      <c r="K181" s="56">
        <v>0.1423611111111111</v>
      </c>
      <c r="L181" s="14" t="s">
        <v>143</v>
      </c>
      <c r="M181" s="14" t="s">
        <v>119</v>
      </c>
      <c r="N181" s="14" t="s">
        <v>120</v>
      </c>
      <c r="O181" s="57">
        <v>0.3</v>
      </c>
    </row>
    <row r="182" spans="3:15" x14ac:dyDescent="0.25">
      <c r="C182" s="5" t="s">
        <v>69</v>
      </c>
      <c r="D182" s="14">
        <v>2</v>
      </c>
      <c r="E182" s="14" t="s">
        <v>116</v>
      </c>
      <c r="F182" t="s">
        <v>240</v>
      </c>
      <c r="G182" s="14" t="s">
        <v>194</v>
      </c>
      <c r="H182" s="53" t="s">
        <v>15</v>
      </c>
      <c r="I182" s="55" cm="1">
        <f t="array" aca="1" ref="I182" ca="1">INDEX(_xlfn._xlws.SORT(INDIRECT(STR_LIST[[#This Row],[Symbol]]),1,1),1,0)</f>
        <v>46128</v>
      </c>
      <c r="J182" s="56">
        <v>0.40625</v>
      </c>
      <c r="K182" s="56">
        <v>0.1423611111111111</v>
      </c>
      <c r="L182" s="14" t="s">
        <v>122</v>
      </c>
      <c r="M182" s="14" t="s">
        <v>119</v>
      </c>
      <c r="N182" s="14" t="s">
        <v>120</v>
      </c>
      <c r="O182" s="57">
        <v>0.7</v>
      </c>
    </row>
    <row r="183" spans="3:15" x14ac:dyDescent="0.25">
      <c r="C183" s="5" t="s">
        <v>69</v>
      </c>
      <c r="D183" s="14">
        <v>2</v>
      </c>
      <c r="E183" s="14" t="s">
        <v>116</v>
      </c>
      <c r="F183" t="s">
        <v>197</v>
      </c>
      <c r="G183" s="14" t="s">
        <v>194</v>
      </c>
      <c r="H183" s="53" t="s">
        <v>15</v>
      </c>
      <c r="I183" s="55" cm="1">
        <f t="array" aca="1" ref="I183" ca="1">INDEX(_xlfn._xlws.SORT(INDIRECT(STR_LIST[[#This Row],[Symbol]]),1,1),1,0)</f>
        <v>46128</v>
      </c>
      <c r="J183" s="56">
        <v>0.41666666666666669</v>
      </c>
      <c r="K183" s="56">
        <v>0.1423611111111111</v>
      </c>
      <c r="L183" s="14" t="s">
        <v>122</v>
      </c>
      <c r="M183" s="14" t="s">
        <v>119</v>
      </c>
      <c r="N183" s="14" t="s">
        <v>120</v>
      </c>
      <c r="O183" s="57">
        <v>0.7</v>
      </c>
    </row>
    <row r="184" spans="3:15" x14ac:dyDescent="0.25">
      <c r="C184" s="5" t="s">
        <v>69</v>
      </c>
      <c r="D184" s="14">
        <v>2</v>
      </c>
      <c r="E184" s="14" t="s">
        <v>116</v>
      </c>
      <c r="F184" t="s">
        <v>198</v>
      </c>
      <c r="G184" s="14" t="s">
        <v>194</v>
      </c>
      <c r="H184" s="53" t="s">
        <v>15</v>
      </c>
      <c r="I184" s="55" cm="1">
        <f t="array" aca="1" ref="I184" ca="1">INDEX(_xlfn._xlws.SORT(INDIRECT(STR_LIST[[#This Row],[Symbol]]),1,1),1,0)</f>
        <v>46128</v>
      </c>
      <c r="J184" s="56">
        <v>0.42708333333333331</v>
      </c>
      <c r="K184" s="56">
        <v>0.1423611111111111</v>
      </c>
      <c r="L184" s="14" t="s">
        <v>122</v>
      </c>
      <c r="M184" s="14" t="s">
        <v>119</v>
      </c>
      <c r="N184" s="14" t="s">
        <v>120</v>
      </c>
      <c r="O184" s="57">
        <v>0.7</v>
      </c>
    </row>
    <row r="185" spans="3:15" x14ac:dyDescent="0.25">
      <c r="C185" s="5" t="s">
        <v>69</v>
      </c>
      <c r="D185" s="14">
        <v>2</v>
      </c>
      <c r="E185" s="14" t="s">
        <v>116</v>
      </c>
      <c r="F185" t="s">
        <v>241</v>
      </c>
      <c r="G185" s="14" t="s">
        <v>194</v>
      </c>
      <c r="H185" s="53" t="s">
        <v>15</v>
      </c>
      <c r="I185" s="55" cm="1">
        <f t="array" aca="1" ref="I185" ca="1">INDEX(_xlfn._xlws.SORT(INDIRECT(STR_LIST[[#This Row],[Symbol]]),1,1),1,0)</f>
        <v>46128</v>
      </c>
      <c r="J185" s="56">
        <v>0.40625</v>
      </c>
      <c r="K185" s="56">
        <v>0.1423611111111111</v>
      </c>
      <c r="L185" s="14" t="s">
        <v>143</v>
      </c>
      <c r="M185" s="14" t="s">
        <v>119</v>
      </c>
      <c r="N185" s="14" t="s">
        <v>120</v>
      </c>
      <c r="O185" s="57">
        <v>0.7</v>
      </c>
    </row>
    <row r="186" spans="3:15" x14ac:dyDescent="0.25">
      <c r="C186" s="5" t="s">
        <v>69</v>
      </c>
      <c r="D186" s="14">
        <v>2</v>
      </c>
      <c r="E186" s="14" t="s">
        <v>116</v>
      </c>
      <c r="F186" t="s">
        <v>242</v>
      </c>
      <c r="G186" s="14" t="s">
        <v>194</v>
      </c>
      <c r="H186" s="53" t="s">
        <v>15</v>
      </c>
      <c r="I186" s="55" cm="1">
        <f t="array" aca="1" ref="I186" ca="1">INDEX(_xlfn._xlws.SORT(INDIRECT(STR_LIST[[#This Row],[Symbol]]),1,1),1,0)</f>
        <v>46128</v>
      </c>
      <c r="J186" s="56">
        <v>0.41666666666666669</v>
      </c>
      <c r="K186" s="56">
        <v>0.1423611111111111</v>
      </c>
      <c r="L186" s="14" t="s">
        <v>143</v>
      </c>
      <c r="M186" s="14" t="s">
        <v>119</v>
      </c>
      <c r="N186" s="14" t="s">
        <v>120</v>
      </c>
      <c r="O186" s="57">
        <v>0.7</v>
      </c>
    </row>
    <row r="187" spans="3:15" x14ac:dyDescent="0.25">
      <c r="C187" s="5" t="s">
        <v>69</v>
      </c>
      <c r="D187" s="14">
        <v>2</v>
      </c>
      <c r="E187" s="14" t="s">
        <v>116</v>
      </c>
      <c r="F187" t="s">
        <v>196</v>
      </c>
      <c r="G187" s="14" t="s">
        <v>194</v>
      </c>
      <c r="H187" s="53" t="s">
        <v>15</v>
      </c>
      <c r="I187" s="55" cm="1">
        <f t="array" aca="1" ref="I187" ca="1">INDEX(_xlfn._xlws.SORT(INDIRECT(STR_LIST[[#This Row],[Symbol]]),1,1),1,0)</f>
        <v>46128</v>
      </c>
      <c r="J187" s="56">
        <v>0.42708333333333331</v>
      </c>
      <c r="K187" s="56">
        <v>0.1423611111111111</v>
      </c>
      <c r="L187" s="14" t="s">
        <v>143</v>
      </c>
      <c r="M187" s="14" t="s">
        <v>119</v>
      </c>
      <c r="N187" s="14" t="s">
        <v>120</v>
      </c>
      <c r="O187" s="57">
        <v>0.7</v>
      </c>
    </row>
    <row r="188" spans="3:15" x14ac:dyDescent="0.25">
      <c r="C188" s="5" t="s">
        <v>69</v>
      </c>
      <c r="D188" s="14">
        <v>1</v>
      </c>
      <c r="E188" s="14" t="s">
        <v>116</v>
      </c>
      <c r="F188" t="s">
        <v>256</v>
      </c>
      <c r="G188" s="14" t="s">
        <v>194</v>
      </c>
      <c r="H188" s="53" t="s">
        <v>15</v>
      </c>
      <c r="I188" s="55" cm="1">
        <f t="array" aca="1" ref="I188" ca="1">INDEX(_xlfn._xlws.SORT(INDIRECT(STR_LIST[[#This Row],[Symbol]]),1,1),1,0)</f>
        <v>46128</v>
      </c>
      <c r="J188" s="56">
        <v>0.53125</v>
      </c>
      <c r="K188" s="56">
        <v>0.1423611111111111</v>
      </c>
      <c r="L188" s="14" t="s">
        <v>143</v>
      </c>
      <c r="M188" s="14" t="s">
        <v>119</v>
      </c>
      <c r="N188" s="14" t="s">
        <v>120</v>
      </c>
      <c r="O188" s="57">
        <v>1</v>
      </c>
    </row>
    <row r="189" spans="3:15" x14ac:dyDescent="0.25">
      <c r="C189" s="5" t="s">
        <v>69</v>
      </c>
      <c r="D189" s="14">
        <v>1</v>
      </c>
      <c r="E189" s="14" t="s">
        <v>116</v>
      </c>
      <c r="F189" t="s">
        <v>257</v>
      </c>
      <c r="G189" s="14" t="s">
        <v>194</v>
      </c>
      <c r="H189" s="53" t="s">
        <v>15</v>
      </c>
      <c r="I189" s="55" cm="1">
        <f t="array" aca="1" ref="I189" ca="1">INDEX(_xlfn._xlws.SORT(INDIRECT(STR_LIST[[#This Row],[Symbol]]),1,1),1,0)</f>
        <v>46128</v>
      </c>
      <c r="J189" s="56">
        <v>0.54166666666666663</v>
      </c>
      <c r="K189" s="56">
        <v>0.1423611111111111</v>
      </c>
      <c r="L189" s="14" t="s">
        <v>143</v>
      </c>
      <c r="M189" s="14" t="s">
        <v>119</v>
      </c>
      <c r="N189" s="14" t="s">
        <v>120</v>
      </c>
      <c r="O189" s="57">
        <v>1</v>
      </c>
    </row>
    <row r="190" spans="3:15" x14ac:dyDescent="0.25">
      <c r="C190" s="5" t="s">
        <v>69</v>
      </c>
      <c r="D190" s="14">
        <v>1</v>
      </c>
      <c r="E190" s="14" t="s">
        <v>116</v>
      </c>
      <c r="F190" t="s">
        <v>258</v>
      </c>
      <c r="G190" s="14" t="s">
        <v>194</v>
      </c>
      <c r="H190" s="53" t="s">
        <v>15</v>
      </c>
      <c r="I190" s="55" cm="1">
        <f t="array" aca="1" ref="I190" ca="1">INDEX(_xlfn._xlws.SORT(INDIRECT(STR_LIST[[#This Row],[Symbol]]),1,1),1,0)</f>
        <v>46128</v>
      </c>
      <c r="J190" s="56">
        <v>0.55208333333333337</v>
      </c>
      <c r="K190" s="56">
        <v>0.1423611111111111</v>
      </c>
      <c r="L190" s="14" t="s">
        <v>143</v>
      </c>
      <c r="M190" s="14" t="s">
        <v>119</v>
      </c>
      <c r="N190" s="14" t="s">
        <v>120</v>
      </c>
      <c r="O190" s="57">
        <v>1</v>
      </c>
    </row>
    <row r="191" spans="3:15" x14ac:dyDescent="0.25">
      <c r="C191" s="5" t="s">
        <v>69</v>
      </c>
      <c r="D191" s="14">
        <v>1</v>
      </c>
      <c r="E191" s="14" t="s">
        <v>116</v>
      </c>
      <c r="F191" t="s">
        <v>259</v>
      </c>
      <c r="G191" s="14" t="s">
        <v>194</v>
      </c>
      <c r="H191" s="53" t="s">
        <v>15</v>
      </c>
      <c r="I191" s="55" cm="1">
        <f t="array" aca="1" ref="I191" ca="1">INDEX(_xlfn._xlws.SORT(INDIRECT(STR_LIST[[#This Row],[Symbol]]),1,1),1,0)</f>
        <v>46128</v>
      </c>
      <c r="J191" s="56">
        <v>0.54166666666666663</v>
      </c>
      <c r="K191" s="56">
        <v>0.1423611111111111</v>
      </c>
      <c r="L191" s="14" t="s">
        <v>195</v>
      </c>
      <c r="M191" s="14" t="s">
        <v>119</v>
      </c>
      <c r="N191" s="14" t="s">
        <v>120</v>
      </c>
      <c r="O191" s="57">
        <v>1</v>
      </c>
    </row>
    <row r="192" spans="3:15" x14ac:dyDescent="0.25">
      <c r="C192" s="5" t="s">
        <v>69</v>
      </c>
      <c r="D192" s="14">
        <v>1</v>
      </c>
      <c r="E192" s="14" t="s">
        <v>116</v>
      </c>
      <c r="F192" t="s">
        <v>260</v>
      </c>
      <c r="G192" s="14" t="s">
        <v>194</v>
      </c>
      <c r="H192" s="53" t="s">
        <v>15</v>
      </c>
      <c r="I192" s="55" cm="1">
        <f t="array" aca="1" ref="I192" ca="1">INDEX(_xlfn._xlws.SORT(INDIRECT(STR_LIST[[#This Row],[Symbol]]),1,1),1,0)</f>
        <v>46128</v>
      </c>
      <c r="J192" s="56">
        <v>0.55208333333333337</v>
      </c>
      <c r="K192" s="56">
        <v>0.1423611111111111</v>
      </c>
      <c r="L192" s="14" t="s">
        <v>195</v>
      </c>
      <c r="M192" s="14" t="s">
        <v>119</v>
      </c>
      <c r="N192" s="14" t="s">
        <v>120</v>
      </c>
      <c r="O192" s="57">
        <v>1</v>
      </c>
    </row>
    <row r="193" spans="3:15" x14ac:dyDescent="0.25">
      <c r="C193" s="5" t="s">
        <v>69</v>
      </c>
      <c r="D193" s="14">
        <v>1</v>
      </c>
      <c r="E193" s="14" t="s">
        <v>116</v>
      </c>
      <c r="F193" t="s">
        <v>261</v>
      </c>
      <c r="G193" s="14" t="s">
        <v>194</v>
      </c>
      <c r="H193" s="53" t="s">
        <v>15</v>
      </c>
      <c r="I193" s="55" cm="1">
        <f t="array" aca="1" ref="I193" ca="1">INDEX(_xlfn._xlws.SORT(INDIRECT(STR_LIST[[#This Row],[Symbol]]),1,1),1,0)</f>
        <v>46128</v>
      </c>
      <c r="J193" s="56">
        <v>0.5625</v>
      </c>
      <c r="K193" s="56">
        <v>0.1423611111111111</v>
      </c>
      <c r="L193" s="14" t="s">
        <v>195</v>
      </c>
      <c r="M193" s="14" t="s">
        <v>119</v>
      </c>
      <c r="N193" s="14" t="s">
        <v>120</v>
      </c>
      <c r="O193" s="57">
        <v>1</v>
      </c>
    </row>
    <row r="194" spans="3:15" x14ac:dyDescent="0.25">
      <c r="C194" s="5" t="s">
        <v>202</v>
      </c>
      <c r="D194" s="14">
        <v>0</v>
      </c>
      <c r="E194" s="14" t="s">
        <v>116</v>
      </c>
      <c r="F194" s="1" t="s">
        <v>203</v>
      </c>
      <c r="G194" s="14" t="s">
        <v>194</v>
      </c>
      <c r="H194" s="53" t="s">
        <v>15</v>
      </c>
      <c r="I194" s="55" cm="1">
        <f t="array" aca="1" ref="I194" ca="1">INDEX(_xlfn._xlws.SORT(INDIRECT(STR_LIST[[#This Row],[Symbol]]),1,1),1,0)</f>
        <v>46128</v>
      </c>
      <c r="J194" s="60">
        <v>0.58333333333333337</v>
      </c>
      <c r="K194" s="60">
        <v>0.59166666666666701</v>
      </c>
      <c r="L194" s="14" t="s">
        <v>122</v>
      </c>
      <c r="M194" s="14" t="s">
        <v>119</v>
      </c>
      <c r="N194" s="14" t="s">
        <v>120</v>
      </c>
      <c r="O194" s="57">
        <v>1.5</v>
      </c>
    </row>
    <row r="195" spans="3:15" x14ac:dyDescent="0.25">
      <c r="C195" s="5" t="s">
        <v>202</v>
      </c>
      <c r="D195" s="14">
        <v>0</v>
      </c>
      <c r="E195" s="14" t="s">
        <v>116</v>
      </c>
      <c r="F195" s="1" t="s">
        <v>204</v>
      </c>
      <c r="G195" s="14" t="s">
        <v>194</v>
      </c>
      <c r="H195" s="53" t="s">
        <v>15</v>
      </c>
      <c r="I195" s="55" cm="1">
        <f t="array" aca="1" ref="I195" ca="1">INDEX(_xlfn._xlws.SORT(INDIRECT(STR_LIST[[#This Row],[Symbol]]),1,1),1,0)</f>
        <v>46128</v>
      </c>
      <c r="J195" s="60">
        <v>0.58611111111111114</v>
      </c>
      <c r="K195" s="60">
        <v>0.594444444444444</v>
      </c>
      <c r="L195" s="14" t="s">
        <v>122</v>
      </c>
      <c r="M195" s="14" t="s">
        <v>119</v>
      </c>
      <c r="N195" s="14" t="s">
        <v>120</v>
      </c>
      <c r="O195" s="57">
        <v>1.5</v>
      </c>
    </row>
    <row r="196" spans="3:15" x14ac:dyDescent="0.25">
      <c r="C196" s="5" t="s">
        <v>202</v>
      </c>
      <c r="D196" s="14">
        <v>0</v>
      </c>
      <c r="E196" s="14" t="s">
        <v>116</v>
      </c>
      <c r="F196" s="1" t="s">
        <v>205</v>
      </c>
      <c r="G196" s="14" t="s">
        <v>194</v>
      </c>
      <c r="H196" s="53" t="s">
        <v>15</v>
      </c>
      <c r="I196" s="55" cm="1">
        <f t="array" aca="1" ref="I196" ca="1">INDEX(_xlfn._xlws.SORT(INDIRECT(STR_LIST[[#This Row],[Symbol]]),1,1),1,0)</f>
        <v>46128</v>
      </c>
      <c r="J196" s="60">
        <v>0.58888888888888891</v>
      </c>
      <c r="K196" s="60">
        <v>0.59722222222222199</v>
      </c>
      <c r="L196" s="14" t="s">
        <v>122</v>
      </c>
      <c r="M196" s="14" t="s">
        <v>119</v>
      </c>
      <c r="N196" s="14" t="s">
        <v>120</v>
      </c>
      <c r="O196" s="57">
        <v>1.5</v>
      </c>
    </row>
    <row r="197" spans="3:15" x14ac:dyDescent="0.25">
      <c r="C197" s="5" t="s">
        <v>202</v>
      </c>
      <c r="D197" s="14">
        <v>0</v>
      </c>
      <c r="E197" s="14" t="s">
        <v>116</v>
      </c>
      <c r="F197" s="1" t="s">
        <v>206</v>
      </c>
      <c r="G197" s="14" t="s">
        <v>194</v>
      </c>
      <c r="H197" s="53" t="s">
        <v>15</v>
      </c>
      <c r="I197" s="55" cm="1">
        <f t="array" aca="1" ref="I197" ca="1">INDEX(_xlfn._xlws.SORT(INDIRECT(STR_LIST[[#This Row],[Symbol]]),1,1),1,0)</f>
        <v>46128</v>
      </c>
      <c r="J197" s="60">
        <v>0.59166666666666701</v>
      </c>
      <c r="K197" s="60">
        <v>0.6</v>
      </c>
      <c r="L197" s="14" t="s">
        <v>122</v>
      </c>
      <c r="M197" s="14" t="s">
        <v>119</v>
      </c>
      <c r="N197" s="14" t="s">
        <v>120</v>
      </c>
      <c r="O197" s="57">
        <v>1.5</v>
      </c>
    </row>
    <row r="198" spans="3:15" x14ac:dyDescent="0.25">
      <c r="C198" s="5" t="s">
        <v>202</v>
      </c>
      <c r="D198" s="14">
        <v>0</v>
      </c>
      <c r="E198" s="14" t="s">
        <v>116</v>
      </c>
      <c r="F198" s="1" t="s">
        <v>207</v>
      </c>
      <c r="G198" s="14" t="s">
        <v>194</v>
      </c>
      <c r="H198" s="53" t="s">
        <v>15</v>
      </c>
      <c r="I198" s="55" cm="1">
        <f t="array" aca="1" ref="I198" ca="1">INDEX(_xlfn._xlws.SORT(INDIRECT(STR_LIST[[#This Row],[Symbol]]),1,1),1,0)</f>
        <v>46128</v>
      </c>
      <c r="J198" s="60">
        <v>0.594444444444444</v>
      </c>
      <c r="K198" s="60">
        <v>0.60277777777777797</v>
      </c>
      <c r="L198" s="14" t="s">
        <v>122</v>
      </c>
      <c r="M198" s="14" t="s">
        <v>119</v>
      </c>
      <c r="N198" s="14" t="s">
        <v>120</v>
      </c>
      <c r="O198" s="57">
        <v>1.5</v>
      </c>
    </row>
    <row r="199" spans="3:15" x14ac:dyDescent="0.25">
      <c r="C199" s="5" t="s">
        <v>202</v>
      </c>
      <c r="D199" s="14">
        <v>0</v>
      </c>
      <c r="E199" s="14" t="s">
        <v>116</v>
      </c>
      <c r="F199" s="1" t="s">
        <v>208</v>
      </c>
      <c r="G199" s="14" t="s">
        <v>194</v>
      </c>
      <c r="H199" s="53" t="s">
        <v>15</v>
      </c>
      <c r="I199" s="55" cm="1">
        <f t="array" aca="1" ref="I199" ca="1">INDEX(_xlfn._xlws.SORT(INDIRECT(STR_LIST[[#This Row],[Symbol]]),1,1),1,0)</f>
        <v>46128</v>
      </c>
      <c r="J199" s="60">
        <v>0.59722222222222199</v>
      </c>
      <c r="K199" s="60">
        <v>0.60555555555555596</v>
      </c>
      <c r="L199" s="14" t="s">
        <v>122</v>
      </c>
      <c r="M199" s="14" t="s">
        <v>119</v>
      </c>
      <c r="N199" s="14" t="s">
        <v>120</v>
      </c>
      <c r="O199" s="57">
        <v>1.5</v>
      </c>
    </row>
    <row r="200" spans="3:15" x14ac:dyDescent="0.25">
      <c r="C200" s="5" t="s">
        <v>202</v>
      </c>
      <c r="D200" s="14">
        <v>0</v>
      </c>
      <c r="E200" s="14" t="s">
        <v>116</v>
      </c>
      <c r="F200" s="1" t="s">
        <v>209</v>
      </c>
      <c r="G200" s="14" t="s">
        <v>194</v>
      </c>
      <c r="H200" s="53" t="s">
        <v>15</v>
      </c>
      <c r="I200" s="55" cm="1">
        <f t="array" aca="1" ref="I200" ca="1">INDEX(_xlfn._xlws.SORT(INDIRECT(STR_LIST[[#This Row],[Symbol]]),1,1),1,0)</f>
        <v>46128</v>
      </c>
      <c r="J200" s="60">
        <v>0.6</v>
      </c>
      <c r="K200" s="60">
        <v>0.60833333333333295</v>
      </c>
      <c r="L200" s="14" t="s">
        <v>122</v>
      </c>
      <c r="M200" s="14" t="s">
        <v>119</v>
      </c>
      <c r="N200" s="14" t="s">
        <v>120</v>
      </c>
      <c r="O200" s="57">
        <v>1.5</v>
      </c>
    </row>
    <row r="201" spans="3:15" x14ac:dyDescent="0.25">
      <c r="C201" s="5" t="s">
        <v>202</v>
      </c>
      <c r="D201" s="14">
        <v>0</v>
      </c>
      <c r="E201" s="14" t="s">
        <v>116</v>
      </c>
      <c r="F201" s="1" t="s">
        <v>210</v>
      </c>
      <c r="G201" s="14" t="s">
        <v>194</v>
      </c>
      <c r="H201" s="53" t="s">
        <v>15</v>
      </c>
      <c r="I201" s="55" cm="1">
        <f t="array" aca="1" ref="I201" ca="1">INDEX(_xlfn._xlws.SORT(INDIRECT(STR_LIST[[#This Row],[Symbol]]),1,1),1,0)</f>
        <v>46128</v>
      </c>
      <c r="J201" s="60">
        <v>0.60277777777777797</v>
      </c>
      <c r="K201" s="60">
        <v>0.61111111111111105</v>
      </c>
      <c r="L201" s="14" t="s">
        <v>122</v>
      </c>
      <c r="M201" s="14" t="s">
        <v>119</v>
      </c>
      <c r="N201" s="14" t="s">
        <v>120</v>
      </c>
      <c r="O201" s="57">
        <v>1.5</v>
      </c>
    </row>
    <row r="202" spans="3:15" x14ac:dyDescent="0.25">
      <c r="C202" s="5" t="s">
        <v>202</v>
      </c>
      <c r="D202" s="14">
        <v>0</v>
      </c>
      <c r="E202" s="14" t="s">
        <v>116</v>
      </c>
      <c r="F202" s="1" t="s">
        <v>211</v>
      </c>
      <c r="G202" s="14" t="s">
        <v>194</v>
      </c>
      <c r="H202" s="53" t="s">
        <v>15</v>
      </c>
      <c r="I202" s="55" cm="1">
        <f t="array" aca="1" ref="I202" ca="1">INDEX(_xlfn._xlws.SORT(INDIRECT(STR_LIST[[#This Row],[Symbol]]),1,1),1,0)</f>
        <v>46128</v>
      </c>
      <c r="J202" s="60">
        <v>0.60555555555555596</v>
      </c>
      <c r="K202" s="60">
        <v>0.61388888888888904</v>
      </c>
      <c r="L202" s="14" t="s">
        <v>122</v>
      </c>
      <c r="M202" s="14" t="s">
        <v>119</v>
      </c>
      <c r="N202" s="14" t="s">
        <v>120</v>
      </c>
      <c r="O202" s="57">
        <v>1.5</v>
      </c>
    </row>
    <row r="203" spans="3:15" x14ac:dyDescent="0.25">
      <c r="C203" s="5" t="s">
        <v>202</v>
      </c>
      <c r="D203" s="14">
        <v>0</v>
      </c>
      <c r="E203" s="14" t="s">
        <v>116</v>
      </c>
      <c r="F203" s="1" t="s">
        <v>212</v>
      </c>
      <c r="G203" s="14" t="s">
        <v>194</v>
      </c>
      <c r="H203" s="53" t="s">
        <v>15</v>
      </c>
      <c r="I203" s="55" cm="1">
        <f t="array" aca="1" ref="I203" ca="1">INDEX(_xlfn._xlws.SORT(INDIRECT(STR_LIST[[#This Row],[Symbol]]),1,1),1,0)</f>
        <v>46128</v>
      </c>
      <c r="J203" s="60">
        <v>0.60833333333333295</v>
      </c>
      <c r="K203" s="60">
        <v>0.61666666666666703</v>
      </c>
      <c r="L203" s="14" t="s">
        <v>122</v>
      </c>
      <c r="M203" s="14" t="s">
        <v>119</v>
      </c>
      <c r="N203" s="14" t="s">
        <v>120</v>
      </c>
      <c r="O203" s="57">
        <v>1.5</v>
      </c>
    </row>
    <row r="204" spans="3:15" x14ac:dyDescent="0.25">
      <c r="C204" s="5" t="s">
        <v>202</v>
      </c>
      <c r="D204" s="14">
        <v>0</v>
      </c>
      <c r="E204" s="14" t="s">
        <v>116</v>
      </c>
      <c r="F204" s="1" t="s">
        <v>213</v>
      </c>
      <c r="G204" s="14" t="s">
        <v>194</v>
      </c>
      <c r="H204" s="53" t="s">
        <v>15</v>
      </c>
      <c r="I204" s="55" cm="1">
        <f t="array" aca="1" ref="I204" ca="1">INDEX(_xlfn._xlws.SORT(INDIRECT(STR_LIST[[#This Row],[Symbol]]),1,1),1,0)</f>
        <v>46128</v>
      </c>
      <c r="J204" s="60">
        <v>0.61111111111111105</v>
      </c>
      <c r="K204" s="60">
        <v>0.61944444444444402</v>
      </c>
      <c r="L204" s="14" t="s">
        <v>122</v>
      </c>
      <c r="M204" s="14" t="s">
        <v>119</v>
      </c>
      <c r="N204" s="14" t="s">
        <v>120</v>
      </c>
      <c r="O204" s="57">
        <v>1.5</v>
      </c>
    </row>
    <row r="205" spans="3:15" x14ac:dyDescent="0.25">
      <c r="C205" s="5" t="s">
        <v>202</v>
      </c>
      <c r="D205" s="14">
        <v>0</v>
      </c>
      <c r="E205" s="14" t="s">
        <v>116</v>
      </c>
      <c r="F205" s="1" t="s">
        <v>214</v>
      </c>
      <c r="G205" s="14" t="s">
        <v>194</v>
      </c>
      <c r="H205" s="53" t="s">
        <v>15</v>
      </c>
      <c r="I205" s="55" cm="1">
        <f t="array" aca="1" ref="I205" ca="1">INDEX(_xlfn._xlws.SORT(INDIRECT(STR_LIST[[#This Row],[Symbol]]),1,1),1,0)</f>
        <v>46128</v>
      </c>
      <c r="J205" s="60">
        <v>0.61388888888888904</v>
      </c>
      <c r="K205" s="60">
        <v>0.62222222222222201</v>
      </c>
      <c r="L205" s="14" t="s">
        <v>122</v>
      </c>
      <c r="M205" s="14" t="s">
        <v>119</v>
      </c>
      <c r="N205" s="14" t="s">
        <v>120</v>
      </c>
      <c r="O205" s="57">
        <v>1.5</v>
      </c>
    </row>
    <row r="206" spans="3:15" x14ac:dyDescent="0.25">
      <c r="C206" s="5" t="s">
        <v>202</v>
      </c>
      <c r="D206" s="14">
        <v>0</v>
      </c>
      <c r="E206" s="14" t="s">
        <v>116</v>
      </c>
      <c r="F206" s="1" t="s">
        <v>215</v>
      </c>
      <c r="G206" s="14" t="s">
        <v>194</v>
      </c>
      <c r="H206" s="53" t="s">
        <v>15</v>
      </c>
      <c r="I206" s="55" cm="1">
        <f t="array" aca="1" ref="I206" ca="1">INDEX(_xlfn._xlws.SORT(INDIRECT(STR_LIST[[#This Row],[Symbol]]),1,1),1,0)</f>
        <v>46128</v>
      </c>
      <c r="J206" s="60">
        <v>0.61666666666666703</v>
      </c>
      <c r="K206" s="60">
        <v>0.625</v>
      </c>
      <c r="L206" s="14" t="s">
        <v>122</v>
      </c>
      <c r="M206" s="14" t="s">
        <v>119</v>
      </c>
      <c r="N206" s="14" t="s">
        <v>120</v>
      </c>
      <c r="O206" s="57">
        <v>1.5</v>
      </c>
    </row>
    <row r="207" spans="3:15" x14ac:dyDescent="0.25">
      <c r="C207" s="5" t="s">
        <v>202</v>
      </c>
      <c r="D207" s="14">
        <v>0</v>
      </c>
      <c r="E207" s="14" t="s">
        <v>116</v>
      </c>
      <c r="F207" s="1" t="s">
        <v>216</v>
      </c>
      <c r="G207" s="14" t="s">
        <v>194</v>
      </c>
      <c r="H207" s="53" t="s">
        <v>15</v>
      </c>
      <c r="I207" s="55" cm="1">
        <f t="array" aca="1" ref="I207" ca="1">INDEX(_xlfn._xlws.SORT(INDIRECT(STR_LIST[[#This Row],[Symbol]]),1,1),1,0)</f>
        <v>46128</v>
      </c>
      <c r="J207" s="60">
        <v>0.61944444444444402</v>
      </c>
      <c r="K207" s="60">
        <v>0.62777777777777499</v>
      </c>
      <c r="L207" s="14" t="s">
        <v>122</v>
      </c>
      <c r="M207" s="14" t="s">
        <v>119</v>
      </c>
      <c r="N207" s="14" t="s">
        <v>120</v>
      </c>
      <c r="O207" s="57">
        <v>1.5</v>
      </c>
    </row>
    <row r="208" spans="3:15" x14ac:dyDescent="0.25">
      <c r="C208" s="5" t="s">
        <v>202</v>
      </c>
      <c r="D208" s="14">
        <v>0</v>
      </c>
      <c r="E208" s="14" t="s">
        <v>116</v>
      </c>
      <c r="F208" s="1" t="s">
        <v>217</v>
      </c>
      <c r="G208" s="14" t="s">
        <v>194</v>
      </c>
      <c r="H208" s="53" t="s">
        <v>15</v>
      </c>
      <c r="I208" s="55" cm="1">
        <f t="array" aca="1" ref="I208" ca="1">INDEX(_xlfn._xlws.SORT(INDIRECT(STR_LIST[[#This Row],[Symbol]]),1,1),1,0)</f>
        <v>46128</v>
      </c>
      <c r="J208" s="60">
        <v>0.62222222222222201</v>
      </c>
      <c r="K208" s="60">
        <v>0.63055555555555198</v>
      </c>
      <c r="L208" s="14" t="s">
        <v>122</v>
      </c>
      <c r="M208" s="14" t="s">
        <v>119</v>
      </c>
      <c r="N208" s="14" t="s">
        <v>120</v>
      </c>
      <c r="O208" s="57">
        <v>1.5</v>
      </c>
    </row>
    <row r="209" spans="3:15" x14ac:dyDescent="0.25">
      <c r="C209" s="5" t="s">
        <v>202</v>
      </c>
      <c r="D209" s="58">
        <v>0</v>
      </c>
      <c r="E209" s="58" t="s">
        <v>116</v>
      </c>
      <c r="F209" s="7" t="s">
        <v>218</v>
      </c>
      <c r="G209" s="58" t="s">
        <v>194</v>
      </c>
      <c r="H209" s="61" t="s">
        <v>15</v>
      </c>
      <c r="I209" s="55" cm="1">
        <f t="array" aca="1" ref="I209" ca="1">INDEX(_xlfn._xlws.SORT(INDIRECT(STR_LIST[[#This Row],[Symbol]]),1,1),1,0)</f>
        <v>46128</v>
      </c>
      <c r="J209" s="62">
        <v>0.625</v>
      </c>
      <c r="K209" s="62">
        <v>0.63333333333332897</v>
      </c>
      <c r="L209" s="58" t="s">
        <v>122</v>
      </c>
      <c r="M209" s="58" t="s">
        <v>119</v>
      </c>
      <c r="N209" s="58" t="s">
        <v>120</v>
      </c>
      <c r="O209" s="59">
        <v>0.3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08F7-8949-439A-BDA4-C9A11249C01E}">
  <sheetPr codeName="Sheet3"/>
  <dimension ref="B1:J581"/>
  <sheetViews>
    <sheetView workbookViewId="0">
      <selection activeCell="E1" sqref="E1"/>
    </sheetView>
  </sheetViews>
  <sheetFormatPr defaultRowHeight="15" x14ac:dyDescent="0.25"/>
  <cols>
    <col min="2" max="2" width="11.42578125" bestFit="1" customWidth="1"/>
    <col min="3" max="3" width="11.42578125" customWidth="1"/>
    <col min="4" max="4" width="10.85546875" bestFit="1" customWidth="1"/>
    <col min="5" max="5" width="11.5703125" bestFit="1" customWidth="1"/>
    <col min="8" max="8" width="10.42578125" bestFit="1" customWidth="1"/>
    <col min="10" max="10" width="15.5703125" bestFit="1" customWidth="1"/>
  </cols>
  <sheetData>
    <row r="1" spans="2:10" x14ac:dyDescent="0.25">
      <c r="B1" s="63" t="s">
        <v>55</v>
      </c>
      <c r="C1" s="64" t="s">
        <v>114</v>
      </c>
      <c r="D1" s="64" t="s">
        <v>127</v>
      </c>
      <c r="E1" s="64" t="s">
        <v>200</v>
      </c>
      <c r="F1" s="65" t="s">
        <v>57</v>
      </c>
    </row>
    <row r="2" spans="2:10" x14ac:dyDescent="0.25">
      <c r="B2" s="68" t="s">
        <v>69</v>
      </c>
      <c r="C2" s="14">
        <v>0</v>
      </c>
      <c r="D2" s="14" t="s">
        <v>14</v>
      </c>
      <c r="E2" s="14" t="s">
        <v>20</v>
      </c>
      <c r="F2" s="69">
        <v>5</v>
      </c>
      <c r="J2" t="s">
        <v>20</v>
      </c>
    </row>
    <row r="3" spans="2:10" x14ac:dyDescent="0.25">
      <c r="B3" s="68" t="s">
        <v>69</v>
      </c>
      <c r="C3" s="14">
        <v>0</v>
      </c>
      <c r="D3" s="14" t="s">
        <v>15</v>
      </c>
      <c r="E3" s="14" t="s">
        <v>20</v>
      </c>
      <c r="F3" s="69">
        <v>11</v>
      </c>
      <c r="J3" t="s">
        <v>30</v>
      </c>
    </row>
    <row r="4" spans="2:10" x14ac:dyDescent="0.25">
      <c r="B4" s="68" t="s">
        <v>69</v>
      </c>
      <c r="C4" s="14">
        <v>1</v>
      </c>
      <c r="D4" s="14" t="s">
        <v>81</v>
      </c>
      <c r="E4" s="14" t="s">
        <v>20</v>
      </c>
      <c r="F4" s="69">
        <v>4</v>
      </c>
      <c r="J4" t="s">
        <v>22</v>
      </c>
    </row>
    <row r="5" spans="2:10" x14ac:dyDescent="0.25">
      <c r="B5" s="68" t="s">
        <v>69</v>
      </c>
      <c r="C5" s="14">
        <v>1</v>
      </c>
      <c r="D5" s="14" t="s">
        <v>14</v>
      </c>
      <c r="E5" s="14" t="s">
        <v>20</v>
      </c>
      <c r="F5" s="69">
        <v>5</v>
      </c>
      <c r="J5" t="s">
        <v>34</v>
      </c>
    </row>
    <row r="6" spans="2:10" x14ac:dyDescent="0.25">
      <c r="B6" s="68" t="s">
        <v>69</v>
      </c>
      <c r="C6" s="14">
        <v>1</v>
      </c>
      <c r="D6" s="14" t="s">
        <v>15</v>
      </c>
      <c r="E6" s="14" t="s">
        <v>20</v>
      </c>
      <c r="F6" s="69">
        <v>11</v>
      </c>
      <c r="J6" t="s">
        <v>28</v>
      </c>
    </row>
    <row r="7" spans="2:10" x14ac:dyDescent="0.25">
      <c r="B7" s="68" t="s">
        <v>69</v>
      </c>
      <c r="C7" s="14">
        <v>2</v>
      </c>
      <c r="D7" s="14" t="s">
        <v>81</v>
      </c>
      <c r="E7" s="14" t="s">
        <v>20</v>
      </c>
      <c r="F7" s="69">
        <v>4</v>
      </c>
      <c r="J7" t="s">
        <v>48</v>
      </c>
    </row>
    <row r="8" spans="2:10" x14ac:dyDescent="0.25">
      <c r="B8" s="68" t="s">
        <v>69</v>
      </c>
      <c r="C8" s="14">
        <v>2</v>
      </c>
      <c r="D8" s="14" t="s">
        <v>14</v>
      </c>
      <c r="E8" s="14" t="s">
        <v>20</v>
      </c>
      <c r="F8" s="69">
        <v>5</v>
      </c>
      <c r="J8" t="s">
        <v>46</v>
      </c>
    </row>
    <row r="9" spans="2:10" x14ac:dyDescent="0.25">
      <c r="B9" s="68" t="s">
        <v>69</v>
      </c>
      <c r="C9" s="14">
        <v>2</v>
      </c>
      <c r="D9" s="14" t="s">
        <v>15</v>
      </c>
      <c r="E9" s="14" t="s">
        <v>20</v>
      </c>
      <c r="F9" s="69">
        <v>11</v>
      </c>
      <c r="J9" t="s">
        <v>32</v>
      </c>
    </row>
    <row r="10" spans="2:10" x14ac:dyDescent="0.25">
      <c r="B10" s="68" t="s">
        <v>69</v>
      </c>
      <c r="C10" s="14">
        <v>3</v>
      </c>
      <c r="D10" s="14" t="s">
        <v>81</v>
      </c>
      <c r="E10" s="14" t="s">
        <v>20</v>
      </c>
      <c r="F10" s="69">
        <v>4</v>
      </c>
      <c r="J10" t="s">
        <v>44</v>
      </c>
    </row>
    <row r="11" spans="2:10" x14ac:dyDescent="0.25">
      <c r="B11" s="68" t="s">
        <v>69</v>
      </c>
      <c r="C11" s="14">
        <v>3</v>
      </c>
      <c r="D11" s="14" t="s">
        <v>14</v>
      </c>
      <c r="E11" s="14" t="s">
        <v>20</v>
      </c>
      <c r="F11" s="69">
        <v>5</v>
      </c>
      <c r="J11" t="s">
        <v>38</v>
      </c>
    </row>
    <row r="12" spans="2:10" x14ac:dyDescent="0.25">
      <c r="B12" s="68" t="s">
        <v>69</v>
      </c>
      <c r="C12" s="14">
        <v>3</v>
      </c>
      <c r="D12" s="14" t="s">
        <v>15</v>
      </c>
      <c r="E12" s="14" t="s">
        <v>20</v>
      </c>
      <c r="F12" s="69">
        <v>11</v>
      </c>
      <c r="J12" t="s">
        <v>40</v>
      </c>
    </row>
    <row r="13" spans="2:10" x14ac:dyDescent="0.25">
      <c r="B13" s="68" t="s">
        <v>69</v>
      </c>
      <c r="C13" s="14">
        <v>4</v>
      </c>
      <c r="D13" s="14" t="s">
        <v>81</v>
      </c>
      <c r="E13" s="14" t="s">
        <v>20</v>
      </c>
      <c r="F13" s="69">
        <v>4</v>
      </c>
      <c r="J13" t="s">
        <v>72</v>
      </c>
    </row>
    <row r="14" spans="2:10" x14ac:dyDescent="0.25">
      <c r="B14" s="68" t="s">
        <v>69</v>
      </c>
      <c r="C14" s="14">
        <v>4</v>
      </c>
      <c r="D14" s="14" t="s">
        <v>14</v>
      </c>
      <c r="E14" s="14" t="s">
        <v>20</v>
      </c>
      <c r="F14" s="69">
        <v>5</v>
      </c>
      <c r="J14" t="s">
        <v>53</v>
      </c>
    </row>
    <row r="15" spans="2:10" x14ac:dyDescent="0.25">
      <c r="B15" s="68" t="s">
        <v>69</v>
      </c>
      <c r="C15" s="14">
        <v>4</v>
      </c>
      <c r="D15" s="14" t="s">
        <v>15</v>
      </c>
      <c r="E15" s="14" t="s">
        <v>20</v>
      </c>
      <c r="F15" s="69">
        <v>11</v>
      </c>
      <c r="J15" t="s">
        <v>111</v>
      </c>
    </row>
    <row r="16" spans="2:10" x14ac:dyDescent="0.25">
      <c r="B16" s="68" t="s">
        <v>154</v>
      </c>
      <c r="C16" s="14">
        <v>0</v>
      </c>
      <c r="D16" s="14" t="s">
        <v>14</v>
      </c>
      <c r="E16" s="14" t="s">
        <v>20</v>
      </c>
      <c r="F16" s="69">
        <v>3</v>
      </c>
      <c r="J16" t="s">
        <v>112</v>
      </c>
    </row>
    <row r="17" spans="2:10" x14ac:dyDescent="0.25">
      <c r="B17" s="68" t="s">
        <v>5</v>
      </c>
      <c r="C17" s="14">
        <v>2</v>
      </c>
      <c r="D17" s="14" t="s">
        <v>14</v>
      </c>
      <c r="E17" s="14" t="s">
        <v>20</v>
      </c>
      <c r="F17" s="69">
        <v>12</v>
      </c>
      <c r="J17" t="s">
        <v>113</v>
      </c>
    </row>
    <row r="18" spans="2:10" x14ac:dyDescent="0.25">
      <c r="B18" s="68" t="s">
        <v>5</v>
      </c>
      <c r="C18" s="14">
        <v>3</v>
      </c>
      <c r="D18" s="14" t="s">
        <v>14</v>
      </c>
      <c r="E18" s="14" t="s">
        <v>20</v>
      </c>
      <c r="F18" s="69">
        <v>12</v>
      </c>
    </row>
    <row r="19" spans="2:10" x14ac:dyDescent="0.25">
      <c r="B19" s="68" t="s">
        <v>5</v>
      </c>
      <c r="C19" s="14">
        <v>4</v>
      </c>
      <c r="D19" s="14" t="s">
        <v>14</v>
      </c>
      <c r="E19" s="14" t="s">
        <v>20</v>
      </c>
      <c r="F19" s="69">
        <v>12</v>
      </c>
    </row>
    <row r="20" spans="2:10" x14ac:dyDescent="0.25">
      <c r="B20" s="68" t="s">
        <v>6</v>
      </c>
      <c r="C20" s="14">
        <v>2</v>
      </c>
      <c r="D20" s="14" t="s">
        <v>14</v>
      </c>
      <c r="E20" s="14" t="s">
        <v>20</v>
      </c>
      <c r="F20" s="69">
        <v>12</v>
      </c>
    </row>
    <row r="21" spans="2:10" x14ac:dyDescent="0.25">
      <c r="B21" s="68" t="s">
        <v>6</v>
      </c>
      <c r="C21" s="14">
        <v>3</v>
      </c>
      <c r="D21" s="14" t="s">
        <v>14</v>
      </c>
      <c r="E21" s="14" t="s">
        <v>20</v>
      </c>
      <c r="F21" s="69">
        <v>12</v>
      </c>
    </row>
    <row r="22" spans="2:10" x14ac:dyDescent="0.25">
      <c r="B22" s="68" t="s">
        <v>6</v>
      </c>
      <c r="C22" s="14">
        <v>4</v>
      </c>
      <c r="D22" s="14" t="s">
        <v>14</v>
      </c>
      <c r="E22" s="14" t="s">
        <v>20</v>
      </c>
      <c r="F22" s="69">
        <v>12</v>
      </c>
    </row>
    <row r="23" spans="2:10" x14ac:dyDescent="0.25">
      <c r="B23" s="68" t="s">
        <v>202</v>
      </c>
      <c r="C23" s="14">
        <v>0</v>
      </c>
      <c r="D23" s="14" t="s">
        <v>15</v>
      </c>
      <c r="E23" s="14" t="s">
        <v>20</v>
      </c>
      <c r="F23" s="69">
        <v>14</v>
      </c>
    </row>
    <row r="24" spans="2:10" x14ac:dyDescent="0.25">
      <c r="B24" s="68" t="s">
        <v>1</v>
      </c>
      <c r="C24" s="14">
        <v>0</v>
      </c>
      <c r="D24" s="14" t="s">
        <v>14</v>
      </c>
      <c r="E24" s="14" t="s">
        <v>20</v>
      </c>
      <c r="F24" s="69">
        <v>36</v>
      </c>
    </row>
    <row r="25" spans="2:10" x14ac:dyDescent="0.25">
      <c r="B25" s="68" t="s">
        <v>1</v>
      </c>
      <c r="C25" s="14">
        <v>0</v>
      </c>
      <c r="D25" s="14" t="s">
        <v>15</v>
      </c>
      <c r="E25" s="14" t="s">
        <v>20</v>
      </c>
      <c r="F25" s="69">
        <v>55</v>
      </c>
    </row>
    <row r="26" spans="2:10" x14ac:dyDescent="0.25">
      <c r="B26" s="68" t="s">
        <v>4</v>
      </c>
      <c r="C26" s="14">
        <v>4</v>
      </c>
      <c r="D26" s="14" t="s">
        <v>14</v>
      </c>
      <c r="E26" s="14" t="s">
        <v>20</v>
      </c>
      <c r="F26" s="69">
        <v>11</v>
      </c>
    </row>
    <row r="27" spans="2:10" x14ac:dyDescent="0.25">
      <c r="B27" s="68" t="s">
        <v>4</v>
      </c>
      <c r="C27" s="14">
        <v>3</v>
      </c>
      <c r="D27" s="14" t="s">
        <v>14</v>
      </c>
      <c r="E27" s="14" t="s">
        <v>20</v>
      </c>
      <c r="F27" s="69">
        <v>11</v>
      </c>
    </row>
    <row r="28" spans="2:10" x14ac:dyDescent="0.25">
      <c r="B28" s="68" t="s">
        <v>4</v>
      </c>
      <c r="C28" s="14">
        <v>2</v>
      </c>
      <c r="D28" s="14" t="s">
        <v>14</v>
      </c>
      <c r="E28" s="14" t="s">
        <v>20</v>
      </c>
      <c r="F28" s="69">
        <v>11</v>
      </c>
    </row>
    <row r="29" spans="2:10" x14ac:dyDescent="0.25">
      <c r="B29" s="68" t="s">
        <v>4</v>
      </c>
      <c r="C29" s="14">
        <v>1</v>
      </c>
      <c r="D29" s="14" t="s">
        <v>14</v>
      </c>
      <c r="E29" s="14" t="s">
        <v>20</v>
      </c>
      <c r="F29" s="69">
        <v>11</v>
      </c>
    </row>
    <row r="30" spans="2:10" x14ac:dyDescent="0.25">
      <c r="B30" s="68" t="s">
        <v>4</v>
      </c>
      <c r="C30" s="14">
        <v>0</v>
      </c>
      <c r="D30" s="14" t="s">
        <v>14</v>
      </c>
      <c r="E30" s="14" t="s">
        <v>20</v>
      </c>
      <c r="F30" s="69">
        <v>11</v>
      </c>
    </row>
    <row r="31" spans="2:10" x14ac:dyDescent="0.25">
      <c r="B31" s="68" t="s">
        <v>69</v>
      </c>
      <c r="C31" s="14">
        <v>0</v>
      </c>
      <c r="D31" s="14" t="s">
        <v>14</v>
      </c>
      <c r="E31" s="14" t="s">
        <v>248</v>
      </c>
      <c r="F31" s="69">
        <v>4</v>
      </c>
    </row>
    <row r="32" spans="2:10" x14ac:dyDescent="0.25">
      <c r="B32" s="68" t="s">
        <v>69</v>
      </c>
      <c r="C32" s="14">
        <v>0</v>
      </c>
      <c r="D32" s="14" t="s">
        <v>15</v>
      </c>
      <c r="E32" s="14" t="s">
        <v>248</v>
      </c>
      <c r="F32" s="69">
        <v>9</v>
      </c>
    </row>
    <row r="33" spans="2:6" x14ac:dyDescent="0.25">
      <c r="B33" s="68" t="s">
        <v>69</v>
      </c>
      <c r="C33" s="14">
        <v>1</v>
      </c>
      <c r="D33" s="14" t="s">
        <v>81</v>
      </c>
      <c r="E33" s="14" t="s">
        <v>248</v>
      </c>
      <c r="F33" s="69">
        <v>3</v>
      </c>
    </row>
    <row r="34" spans="2:6" x14ac:dyDescent="0.25">
      <c r="B34" s="68" t="s">
        <v>69</v>
      </c>
      <c r="C34" s="14">
        <v>1</v>
      </c>
      <c r="D34" s="14" t="s">
        <v>14</v>
      </c>
      <c r="E34" s="14" t="s">
        <v>248</v>
      </c>
      <c r="F34" s="69">
        <v>4</v>
      </c>
    </row>
    <row r="35" spans="2:6" x14ac:dyDescent="0.25">
      <c r="B35" s="68" t="s">
        <v>69</v>
      </c>
      <c r="C35" s="14">
        <v>1</v>
      </c>
      <c r="D35" s="14" t="s">
        <v>15</v>
      </c>
      <c r="E35" s="14" t="s">
        <v>248</v>
      </c>
      <c r="F35" s="69">
        <v>9</v>
      </c>
    </row>
    <row r="36" spans="2:6" x14ac:dyDescent="0.25">
      <c r="B36" s="68" t="s">
        <v>69</v>
      </c>
      <c r="C36" s="14">
        <v>2</v>
      </c>
      <c r="D36" s="14" t="s">
        <v>81</v>
      </c>
      <c r="E36" s="14" t="s">
        <v>248</v>
      </c>
      <c r="F36" s="69">
        <v>3</v>
      </c>
    </row>
    <row r="37" spans="2:6" x14ac:dyDescent="0.25">
      <c r="B37" s="68" t="s">
        <v>69</v>
      </c>
      <c r="C37" s="14">
        <v>2</v>
      </c>
      <c r="D37" s="14" t="s">
        <v>14</v>
      </c>
      <c r="E37" s="14" t="s">
        <v>248</v>
      </c>
      <c r="F37" s="69">
        <v>4</v>
      </c>
    </row>
    <row r="38" spans="2:6" x14ac:dyDescent="0.25">
      <c r="B38" s="68" t="s">
        <v>69</v>
      </c>
      <c r="C38" s="14">
        <v>2</v>
      </c>
      <c r="D38" s="14" t="s">
        <v>15</v>
      </c>
      <c r="E38" s="14" t="s">
        <v>248</v>
      </c>
      <c r="F38" s="69">
        <v>9</v>
      </c>
    </row>
    <row r="39" spans="2:6" x14ac:dyDescent="0.25">
      <c r="B39" s="68" t="s">
        <v>69</v>
      </c>
      <c r="C39" s="14">
        <v>3</v>
      </c>
      <c r="D39" s="14" t="s">
        <v>81</v>
      </c>
      <c r="E39" s="14" t="s">
        <v>248</v>
      </c>
      <c r="F39" s="69">
        <v>3</v>
      </c>
    </row>
    <row r="40" spans="2:6" x14ac:dyDescent="0.25">
      <c r="B40" s="68" t="s">
        <v>69</v>
      </c>
      <c r="C40" s="14">
        <v>3</v>
      </c>
      <c r="D40" s="14" t="s">
        <v>14</v>
      </c>
      <c r="E40" s="14" t="s">
        <v>248</v>
      </c>
      <c r="F40" s="69">
        <v>4</v>
      </c>
    </row>
    <row r="41" spans="2:6" x14ac:dyDescent="0.25">
      <c r="B41" s="68" t="s">
        <v>69</v>
      </c>
      <c r="C41" s="14">
        <v>3</v>
      </c>
      <c r="D41" s="14" t="s">
        <v>15</v>
      </c>
      <c r="E41" s="14" t="s">
        <v>248</v>
      </c>
      <c r="F41" s="69">
        <v>9</v>
      </c>
    </row>
    <row r="42" spans="2:6" x14ac:dyDescent="0.25">
      <c r="B42" s="68" t="s">
        <v>69</v>
      </c>
      <c r="C42" s="14">
        <v>4</v>
      </c>
      <c r="D42" s="14" t="s">
        <v>81</v>
      </c>
      <c r="E42" s="14" t="s">
        <v>248</v>
      </c>
      <c r="F42" s="69">
        <v>3</v>
      </c>
    </row>
    <row r="43" spans="2:6" x14ac:dyDescent="0.25">
      <c r="B43" s="68" t="s">
        <v>69</v>
      </c>
      <c r="C43" s="14">
        <v>4</v>
      </c>
      <c r="D43" s="14" t="s">
        <v>14</v>
      </c>
      <c r="E43" s="14" t="s">
        <v>248</v>
      </c>
      <c r="F43" s="69">
        <v>4</v>
      </c>
    </row>
    <row r="44" spans="2:6" x14ac:dyDescent="0.25">
      <c r="B44" s="68" t="s">
        <v>69</v>
      </c>
      <c r="C44" s="14">
        <v>4</v>
      </c>
      <c r="D44" s="14" t="s">
        <v>15</v>
      </c>
      <c r="E44" s="14" t="s">
        <v>248</v>
      </c>
      <c r="F44" s="69">
        <v>9</v>
      </c>
    </row>
    <row r="45" spans="2:6" x14ac:dyDescent="0.25">
      <c r="B45" s="68" t="s">
        <v>154</v>
      </c>
      <c r="C45" s="14">
        <v>0</v>
      </c>
      <c r="D45" s="14" t="s">
        <v>14</v>
      </c>
      <c r="E45" s="14" t="s">
        <v>248</v>
      </c>
      <c r="F45" s="69">
        <v>2</v>
      </c>
    </row>
    <row r="46" spans="2:6" x14ac:dyDescent="0.25">
      <c r="B46" s="68" t="s">
        <v>5</v>
      </c>
      <c r="C46" s="14">
        <v>2</v>
      </c>
      <c r="D46" s="14" t="s">
        <v>14</v>
      </c>
      <c r="E46" s="14" t="s">
        <v>248</v>
      </c>
      <c r="F46" s="69">
        <v>9</v>
      </c>
    </row>
    <row r="47" spans="2:6" x14ac:dyDescent="0.25">
      <c r="B47" s="68" t="s">
        <v>5</v>
      </c>
      <c r="C47" s="14">
        <v>3</v>
      </c>
      <c r="D47" s="14" t="s">
        <v>14</v>
      </c>
      <c r="E47" s="14" t="s">
        <v>248</v>
      </c>
      <c r="F47" s="69">
        <v>9</v>
      </c>
    </row>
    <row r="48" spans="2:6" x14ac:dyDescent="0.25">
      <c r="B48" s="68" t="s">
        <v>5</v>
      </c>
      <c r="C48" s="14">
        <v>4</v>
      </c>
      <c r="D48" s="14" t="s">
        <v>14</v>
      </c>
      <c r="E48" s="14" t="s">
        <v>248</v>
      </c>
      <c r="F48" s="69">
        <v>9</v>
      </c>
    </row>
    <row r="49" spans="2:6" x14ac:dyDescent="0.25">
      <c r="B49" s="68" t="s">
        <v>6</v>
      </c>
      <c r="C49" s="14">
        <v>2</v>
      </c>
      <c r="D49" s="14" t="s">
        <v>14</v>
      </c>
      <c r="E49" s="14" t="s">
        <v>248</v>
      </c>
      <c r="F49" s="69">
        <v>9</v>
      </c>
    </row>
    <row r="50" spans="2:6" x14ac:dyDescent="0.25">
      <c r="B50" s="68" t="s">
        <v>6</v>
      </c>
      <c r="C50" s="14">
        <v>3</v>
      </c>
      <c r="D50" s="14" t="s">
        <v>14</v>
      </c>
      <c r="E50" s="14" t="s">
        <v>248</v>
      </c>
      <c r="F50" s="69">
        <v>9</v>
      </c>
    </row>
    <row r="51" spans="2:6" x14ac:dyDescent="0.25">
      <c r="B51" s="68" t="s">
        <v>6</v>
      </c>
      <c r="C51" s="14">
        <v>4</v>
      </c>
      <c r="D51" s="14" t="s">
        <v>14</v>
      </c>
      <c r="E51" s="14" t="s">
        <v>248</v>
      </c>
      <c r="F51" s="69">
        <v>9</v>
      </c>
    </row>
    <row r="52" spans="2:6" x14ac:dyDescent="0.25">
      <c r="B52" s="68" t="s">
        <v>202</v>
      </c>
      <c r="C52" s="14">
        <v>0</v>
      </c>
      <c r="D52" s="14" t="s">
        <v>15</v>
      </c>
      <c r="E52" s="14" t="s">
        <v>248</v>
      </c>
      <c r="F52" s="69">
        <v>11</v>
      </c>
    </row>
    <row r="53" spans="2:6" x14ac:dyDescent="0.25">
      <c r="B53" s="68" t="s">
        <v>1</v>
      </c>
      <c r="C53" s="14">
        <v>0</v>
      </c>
      <c r="D53" s="14" t="s">
        <v>14</v>
      </c>
      <c r="E53" s="14" t="s">
        <v>248</v>
      </c>
      <c r="F53" s="69">
        <v>28</v>
      </c>
    </row>
    <row r="54" spans="2:6" x14ac:dyDescent="0.25">
      <c r="B54" s="68" t="s">
        <v>1</v>
      </c>
      <c r="C54" s="14">
        <v>0</v>
      </c>
      <c r="D54" s="14" t="s">
        <v>15</v>
      </c>
      <c r="E54" s="14" t="s">
        <v>248</v>
      </c>
      <c r="F54" s="69">
        <v>43</v>
      </c>
    </row>
    <row r="55" spans="2:6" x14ac:dyDescent="0.25">
      <c r="B55" s="68" t="s">
        <v>4</v>
      </c>
      <c r="C55" s="14">
        <v>4</v>
      </c>
      <c r="D55" s="14" t="s">
        <v>14</v>
      </c>
      <c r="E55" s="14" t="s">
        <v>248</v>
      </c>
      <c r="F55" s="69">
        <v>9</v>
      </c>
    </row>
    <row r="56" spans="2:6" x14ac:dyDescent="0.25">
      <c r="B56" s="68" t="s">
        <v>4</v>
      </c>
      <c r="C56" s="14">
        <v>3</v>
      </c>
      <c r="D56" s="14" t="s">
        <v>14</v>
      </c>
      <c r="E56" s="14" t="s">
        <v>248</v>
      </c>
      <c r="F56" s="69">
        <v>9</v>
      </c>
    </row>
    <row r="57" spans="2:6" x14ac:dyDescent="0.25">
      <c r="B57" s="68" t="s">
        <v>4</v>
      </c>
      <c r="C57" s="14">
        <v>2</v>
      </c>
      <c r="D57" s="14" t="s">
        <v>14</v>
      </c>
      <c r="E57" s="14" t="s">
        <v>248</v>
      </c>
      <c r="F57" s="69">
        <v>9</v>
      </c>
    </row>
    <row r="58" spans="2:6" x14ac:dyDescent="0.25">
      <c r="B58" s="68" t="s">
        <v>4</v>
      </c>
      <c r="C58" s="14">
        <v>1</v>
      </c>
      <c r="D58" s="14" t="s">
        <v>14</v>
      </c>
      <c r="E58" s="14" t="s">
        <v>248</v>
      </c>
      <c r="F58" s="69">
        <v>9</v>
      </c>
    </row>
    <row r="59" spans="2:6" x14ac:dyDescent="0.25">
      <c r="B59" s="68" t="s">
        <v>4</v>
      </c>
      <c r="C59" s="14">
        <v>0</v>
      </c>
      <c r="D59" s="14" t="s">
        <v>14</v>
      </c>
      <c r="E59" s="14" t="s">
        <v>248</v>
      </c>
      <c r="F59" s="69">
        <v>9</v>
      </c>
    </row>
    <row r="60" spans="2:6" x14ac:dyDescent="0.25">
      <c r="B60" s="68" t="s">
        <v>69</v>
      </c>
      <c r="C60" s="14">
        <v>0</v>
      </c>
      <c r="D60" s="14" t="s">
        <v>14</v>
      </c>
      <c r="E60" s="14" t="s">
        <v>247</v>
      </c>
      <c r="F60" s="69">
        <v>2</v>
      </c>
    </row>
    <row r="61" spans="2:6" x14ac:dyDescent="0.25">
      <c r="B61" s="68" t="s">
        <v>69</v>
      </c>
      <c r="C61" s="14">
        <v>0</v>
      </c>
      <c r="D61" s="14" t="s">
        <v>15</v>
      </c>
      <c r="E61" s="14" t="s">
        <v>247</v>
      </c>
      <c r="F61" s="69">
        <v>6</v>
      </c>
    </row>
    <row r="62" spans="2:6" x14ac:dyDescent="0.25">
      <c r="B62" s="68" t="s">
        <v>69</v>
      </c>
      <c r="C62" s="14">
        <v>1</v>
      </c>
      <c r="D62" s="14" t="s">
        <v>81</v>
      </c>
      <c r="E62" s="14" t="s">
        <v>247</v>
      </c>
      <c r="F62" s="69">
        <v>2</v>
      </c>
    </row>
    <row r="63" spans="2:6" x14ac:dyDescent="0.25">
      <c r="B63" s="68" t="s">
        <v>69</v>
      </c>
      <c r="C63" s="14">
        <v>1</v>
      </c>
      <c r="D63" s="14" t="s">
        <v>14</v>
      </c>
      <c r="E63" s="14" t="s">
        <v>247</v>
      </c>
      <c r="F63" s="69">
        <v>2</v>
      </c>
    </row>
    <row r="64" spans="2:6" x14ac:dyDescent="0.25">
      <c r="B64" s="68" t="s">
        <v>69</v>
      </c>
      <c r="C64" s="14">
        <v>1</v>
      </c>
      <c r="D64" s="14" t="s">
        <v>15</v>
      </c>
      <c r="E64" s="14" t="s">
        <v>247</v>
      </c>
      <c r="F64" s="69">
        <v>6</v>
      </c>
    </row>
    <row r="65" spans="2:6" x14ac:dyDescent="0.25">
      <c r="B65" s="68" t="s">
        <v>69</v>
      </c>
      <c r="C65" s="14">
        <v>2</v>
      </c>
      <c r="D65" s="14" t="s">
        <v>81</v>
      </c>
      <c r="E65" s="14" t="s">
        <v>247</v>
      </c>
      <c r="F65" s="69">
        <v>2</v>
      </c>
    </row>
    <row r="66" spans="2:6" x14ac:dyDescent="0.25">
      <c r="B66" s="68" t="s">
        <v>69</v>
      </c>
      <c r="C66" s="14">
        <v>2</v>
      </c>
      <c r="D66" s="14" t="s">
        <v>14</v>
      </c>
      <c r="E66" s="14" t="s">
        <v>247</v>
      </c>
      <c r="F66" s="69">
        <v>2</v>
      </c>
    </row>
    <row r="67" spans="2:6" x14ac:dyDescent="0.25">
      <c r="B67" s="68" t="s">
        <v>69</v>
      </c>
      <c r="C67" s="14">
        <v>2</v>
      </c>
      <c r="D67" s="14" t="s">
        <v>15</v>
      </c>
      <c r="E67" s="14" t="s">
        <v>247</v>
      </c>
      <c r="F67" s="69">
        <v>6</v>
      </c>
    </row>
    <row r="68" spans="2:6" x14ac:dyDescent="0.25">
      <c r="B68" s="68" t="s">
        <v>69</v>
      </c>
      <c r="C68" s="14">
        <v>3</v>
      </c>
      <c r="D68" s="14" t="s">
        <v>81</v>
      </c>
      <c r="E68" s="14" t="s">
        <v>247</v>
      </c>
      <c r="F68" s="69">
        <v>2</v>
      </c>
    </row>
    <row r="69" spans="2:6" x14ac:dyDescent="0.25">
      <c r="B69" s="68" t="s">
        <v>69</v>
      </c>
      <c r="C69" s="14">
        <v>3</v>
      </c>
      <c r="D69" s="14" t="s">
        <v>14</v>
      </c>
      <c r="E69" s="14" t="s">
        <v>247</v>
      </c>
      <c r="F69" s="69">
        <v>2</v>
      </c>
    </row>
    <row r="70" spans="2:6" x14ac:dyDescent="0.25">
      <c r="B70" s="68" t="s">
        <v>69</v>
      </c>
      <c r="C70" s="14">
        <v>3</v>
      </c>
      <c r="D70" s="14" t="s">
        <v>15</v>
      </c>
      <c r="E70" s="14" t="s">
        <v>247</v>
      </c>
      <c r="F70" s="69">
        <v>6</v>
      </c>
    </row>
    <row r="71" spans="2:6" x14ac:dyDescent="0.25">
      <c r="B71" s="68" t="s">
        <v>69</v>
      </c>
      <c r="C71" s="14">
        <v>4</v>
      </c>
      <c r="D71" s="14" t="s">
        <v>81</v>
      </c>
      <c r="E71" s="14" t="s">
        <v>247</v>
      </c>
      <c r="F71" s="69">
        <v>2</v>
      </c>
    </row>
    <row r="72" spans="2:6" x14ac:dyDescent="0.25">
      <c r="B72" s="68" t="s">
        <v>69</v>
      </c>
      <c r="C72" s="14">
        <v>4</v>
      </c>
      <c r="D72" s="14" t="s">
        <v>14</v>
      </c>
      <c r="E72" s="14" t="s">
        <v>247</v>
      </c>
      <c r="F72" s="69">
        <v>2</v>
      </c>
    </row>
    <row r="73" spans="2:6" x14ac:dyDescent="0.25">
      <c r="B73" s="68" t="s">
        <v>69</v>
      </c>
      <c r="C73" s="14">
        <v>4</v>
      </c>
      <c r="D73" s="14" t="s">
        <v>15</v>
      </c>
      <c r="E73" s="14" t="s">
        <v>247</v>
      </c>
      <c r="F73" s="69">
        <v>6</v>
      </c>
    </row>
    <row r="74" spans="2:6" x14ac:dyDescent="0.25">
      <c r="B74" s="68" t="s">
        <v>154</v>
      </c>
      <c r="C74" s="14">
        <v>0</v>
      </c>
      <c r="D74" s="14" t="s">
        <v>14</v>
      </c>
      <c r="E74" s="14" t="s">
        <v>247</v>
      </c>
      <c r="F74" s="69">
        <v>1</v>
      </c>
    </row>
    <row r="75" spans="2:6" x14ac:dyDescent="0.25">
      <c r="B75" s="68" t="s">
        <v>5</v>
      </c>
      <c r="C75" s="14">
        <v>2</v>
      </c>
      <c r="D75" s="14" t="s">
        <v>14</v>
      </c>
      <c r="E75" s="14" t="s">
        <v>247</v>
      </c>
      <c r="F75" s="69">
        <v>8</v>
      </c>
    </row>
    <row r="76" spans="2:6" x14ac:dyDescent="0.25">
      <c r="B76" s="68" t="s">
        <v>5</v>
      </c>
      <c r="C76" s="14">
        <v>3</v>
      </c>
      <c r="D76" s="14" t="s">
        <v>14</v>
      </c>
      <c r="E76" s="14" t="s">
        <v>247</v>
      </c>
      <c r="F76" s="69">
        <v>8</v>
      </c>
    </row>
    <row r="77" spans="2:6" x14ac:dyDescent="0.25">
      <c r="B77" s="68" t="s">
        <v>5</v>
      </c>
      <c r="C77" s="14">
        <v>4</v>
      </c>
      <c r="D77" s="14" t="s">
        <v>14</v>
      </c>
      <c r="E77" s="14" t="s">
        <v>247</v>
      </c>
      <c r="F77" s="69">
        <v>8</v>
      </c>
    </row>
    <row r="78" spans="2:6" x14ac:dyDescent="0.25">
      <c r="B78" s="68" t="s">
        <v>6</v>
      </c>
      <c r="C78" s="14">
        <v>2</v>
      </c>
      <c r="D78" s="14" t="s">
        <v>14</v>
      </c>
      <c r="E78" s="14" t="s">
        <v>247</v>
      </c>
      <c r="F78" s="69">
        <v>8</v>
      </c>
    </row>
    <row r="79" spans="2:6" x14ac:dyDescent="0.25">
      <c r="B79" s="68" t="s">
        <v>6</v>
      </c>
      <c r="C79" s="14">
        <v>3</v>
      </c>
      <c r="D79" s="14" t="s">
        <v>14</v>
      </c>
      <c r="E79" s="14" t="s">
        <v>247</v>
      </c>
      <c r="F79" s="69">
        <v>8</v>
      </c>
    </row>
    <row r="80" spans="2:6" x14ac:dyDescent="0.25">
      <c r="B80" s="68" t="s">
        <v>6</v>
      </c>
      <c r="C80" s="14">
        <v>4</v>
      </c>
      <c r="D80" s="14" t="s">
        <v>14</v>
      </c>
      <c r="E80" s="14" t="s">
        <v>247</v>
      </c>
      <c r="F80" s="69">
        <v>8</v>
      </c>
    </row>
    <row r="81" spans="2:6" x14ac:dyDescent="0.25">
      <c r="B81" s="68" t="s">
        <v>202</v>
      </c>
      <c r="C81" s="14">
        <v>0</v>
      </c>
      <c r="D81" s="14" t="s">
        <v>15</v>
      </c>
      <c r="E81" s="14" t="s">
        <v>247</v>
      </c>
      <c r="F81" s="69">
        <v>8</v>
      </c>
    </row>
    <row r="82" spans="2:6" x14ac:dyDescent="0.25">
      <c r="B82" s="68" t="s">
        <v>1</v>
      </c>
      <c r="C82" s="14">
        <v>0</v>
      </c>
      <c r="D82" s="14" t="s">
        <v>14</v>
      </c>
      <c r="E82" s="14" t="s">
        <v>247</v>
      </c>
      <c r="F82" s="69">
        <v>20</v>
      </c>
    </row>
    <row r="83" spans="2:6" x14ac:dyDescent="0.25">
      <c r="B83" s="68" t="s">
        <v>1</v>
      </c>
      <c r="C83" s="14">
        <v>0</v>
      </c>
      <c r="D83" s="14" t="s">
        <v>15</v>
      </c>
      <c r="E83" s="14" t="s">
        <v>247</v>
      </c>
      <c r="F83" s="69">
        <v>30</v>
      </c>
    </row>
    <row r="84" spans="2:6" x14ac:dyDescent="0.25">
      <c r="B84" s="68" t="s">
        <v>4</v>
      </c>
      <c r="C84" s="14">
        <v>4</v>
      </c>
      <c r="D84" s="14" t="s">
        <v>14</v>
      </c>
      <c r="E84" s="14" t="s">
        <v>247</v>
      </c>
      <c r="F84" s="69">
        <v>8</v>
      </c>
    </row>
    <row r="85" spans="2:6" x14ac:dyDescent="0.25">
      <c r="B85" s="68" t="s">
        <v>4</v>
      </c>
      <c r="C85" s="14">
        <v>3</v>
      </c>
      <c r="D85" s="14" t="s">
        <v>14</v>
      </c>
      <c r="E85" s="14" t="s">
        <v>247</v>
      </c>
      <c r="F85" s="69">
        <v>8</v>
      </c>
    </row>
    <row r="86" spans="2:6" x14ac:dyDescent="0.25">
      <c r="B86" s="68" t="s">
        <v>4</v>
      </c>
      <c r="C86" s="14">
        <v>2</v>
      </c>
      <c r="D86" s="14" t="s">
        <v>14</v>
      </c>
      <c r="E86" s="14" t="s">
        <v>247</v>
      </c>
      <c r="F86" s="69">
        <v>8</v>
      </c>
    </row>
    <row r="87" spans="2:6" x14ac:dyDescent="0.25">
      <c r="B87" s="68" t="s">
        <v>4</v>
      </c>
      <c r="C87" s="14">
        <v>1</v>
      </c>
      <c r="D87" s="14" t="s">
        <v>14</v>
      </c>
      <c r="E87" s="14" t="s">
        <v>247</v>
      </c>
      <c r="F87" s="69">
        <v>8</v>
      </c>
    </row>
    <row r="88" spans="2:6" x14ac:dyDescent="0.25">
      <c r="B88" s="68" t="s">
        <v>4</v>
      </c>
      <c r="C88" s="14">
        <v>0</v>
      </c>
      <c r="D88" s="14" t="s">
        <v>14</v>
      </c>
      <c r="E88" s="14" t="s">
        <v>247</v>
      </c>
      <c r="F88" s="69">
        <v>8</v>
      </c>
    </row>
    <row r="89" spans="2:6" x14ac:dyDescent="0.25">
      <c r="B89" s="68" t="s">
        <v>69</v>
      </c>
      <c r="C89" s="14">
        <v>0</v>
      </c>
      <c r="D89" s="14" t="s">
        <v>14</v>
      </c>
      <c r="E89" s="14" t="s">
        <v>34</v>
      </c>
      <c r="F89" s="69">
        <v>3</v>
      </c>
    </row>
    <row r="90" spans="2:6" x14ac:dyDescent="0.25">
      <c r="B90" s="68" t="s">
        <v>69</v>
      </c>
      <c r="C90" s="14">
        <v>0</v>
      </c>
      <c r="D90" s="14" t="s">
        <v>15</v>
      </c>
      <c r="E90" s="14" t="s">
        <v>34</v>
      </c>
      <c r="F90" s="69">
        <v>8</v>
      </c>
    </row>
    <row r="91" spans="2:6" x14ac:dyDescent="0.25">
      <c r="B91" s="68" t="s">
        <v>69</v>
      </c>
      <c r="C91" s="14">
        <v>1</v>
      </c>
      <c r="D91" s="14" t="s">
        <v>81</v>
      </c>
      <c r="E91" s="14" t="s">
        <v>34</v>
      </c>
      <c r="F91" s="69">
        <v>3</v>
      </c>
    </row>
    <row r="92" spans="2:6" x14ac:dyDescent="0.25">
      <c r="B92" s="68" t="s">
        <v>69</v>
      </c>
      <c r="C92" s="14">
        <v>1</v>
      </c>
      <c r="D92" s="14" t="s">
        <v>14</v>
      </c>
      <c r="E92" s="14" t="s">
        <v>34</v>
      </c>
      <c r="F92" s="69">
        <v>3</v>
      </c>
    </row>
    <row r="93" spans="2:6" x14ac:dyDescent="0.25">
      <c r="B93" s="68" t="s">
        <v>69</v>
      </c>
      <c r="C93" s="14">
        <v>1</v>
      </c>
      <c r="D93" s="14" t="s">
        <v>15</v>
      </c>
      <c r="E93" s="14" t="s">
        <v>34</v>
      </c>
      <c r="F93" s="69">
        <v>8</v>
      </c>
    </row>
    <row r="94" spans="2:6" x14ac:dyDescent="0.25">
      <c r="B94" s="68" t="s">
        <v>69</v>
      </c>
      <c r="C94" s="14">
        <v>2</v>
      </c>
      <c r="D94" s="14" t="s">
        <v>81</v>
      </c>
      <c r="E94" s="14" t="s">
        <v>34</v>
      </c>
      <c r="F94" s="69">
        <v>3</v>
      </c>
    </row>
    <row r="95" spans="2:6" x14ac:dyDescent="0.25">
      <c r="B95" s="68" t="s">
        <v>69</v>
      </c>
      <c r="C95" s="14">
        <v>2</v>
      </c>
      <c r="D95" s="14" t="s">
        <v>14</v>
      </c>
      <c r="E95" s="14" t="s">
        <v>34</v>
      </c>
      <c r="F95" s="69">
        <v>3</v>
      </c>
    </row>
    <row r="96" spans="2:6" x14ac:dyDescent="0.25">
      <c r="B96" s="68" t="s">
        <v>69</v>
      </c>
      <c r="C96" s="14">
        <v>2</v>
      </c>
      <c r="D96" s="14" t="s">
        <v>15</v>
      </c>
      <c r="E96" s="14" t="s">
        <v>34</v>
      </c>
      <c r="F96" s="69">
        <v>8</v>
      </c>
    </row>
    <row r="97" spans="2:6" x14ac:dyDescent="0.25">
      <c r="B97" s="68" t="s">
        <v>69</v>
      </c>
      <c r="C97" s="14">
        <v>3</v>
      </c>
      <c r="D97" s="14" t="s">
        <v>81</v>
      </c>
      <c r="E97" s="14" t="s">
        <v>34</v>
      </c>
      <c r="F97" s="69">
        <v>3</v>
      </c>
    </row>
    <row r="98" spans="2:6" x14ac:dyDescent="0.25">
      <c r="B98" s="68" t="s">
        <v>69</v>
      </c>
      <c r="C98" s="14">
        <v>3</v>
      </c>
      <c r="D98" s="14" t="s">
        <v>14</v>
      </c>
      <c r="E98" s="14" t="s">
        <v>34</v>
      </c>
      <c r="F98" s="69">
        <v>3</v>
      </c>
    </row>
    <row r="99" spans="2:6" x14ac:dyDescent="0.25">
      <c r="B99" s="68" t="s">
        <v>69</v>
      </c>
      <c r="C99" s="14">
        <v>3</v>
      </c>
      <c r="D99" s="14" t="s">
        <v>15</v>
      </c>
      <c r="E99" s="14" t="s">
        <v>34</v>
      </c>
      <c r="F99" s="69">
        <v>8</v>
      </c>
    </row>
    <row r="100" spans="2:6" x14ac:dyDescent="0.25">
      <c r="B100" s="68" t="s">
        <v>69</v>
      </c>
      <c r="C100" s="14">
        <v>4</v>
      </c>
      <c r="D100" s="14" t="s">
        <v>81</v>
      </c>
      <c r="E100" s="14" t="s">
        <v>34</v>
      </c>
      <c r="F100" s="69">
        <v>3</v>
      </c>
    </row>
    <row r="101" spans="2:6" x14ac:dyDescent="0.25">
      <c r="B101" s="68" t="s">
        <v>69</v>
      </c>
      <c r="C101" s="14">
        <v>4</v>
      </c>
      <c r="D101" s="14" t="s">
        <v>14</v>
      </c>
      <c r="E101" s="14" t="s">
        <v>34</v>
      </c>
      <c r="F101" s="69">
        <v>3</v>
      </c>
    </row>
    <row r="102" spans="2:6" x14ac:dyDescent="0.25">
      <c r="B102" s="68" t="s">
        <v>69</v>
      </c>
      <c r="C102" s="14">
        <v>4</v>
      </c>
      <c r="D102" s="14" t="s">
        <v>15</v>
      </c>
      <c r="E102" s="14" t="s">
        <v>34</v>
      </c>
      <c r="F102" s="69">
        <v>8</v>
      </c>
    </row>
    <row r="103" spans="2:6" x14ac:dyDescent="0.25">
      <c r="B103" s="68" t="s">
        <v>154</v>
      </c>
      <c r="C103" s="14">
        <v>0</v>
      </c>
      <c r="D103" s="14" t="s">
        <v>14</v>
      </c>
      <c r="E103" s="14" t="s">
        <v>34</v>
      </c>
      <c r="F103" s="69">
        <v>2</v>
      </c>
    </row>
    <row r="104" spans="2:6" x14ac:dyDescent="0.25">
      <c r="B104" s="68" t="s">
        <v>5</v>
      </c>
      <c r="C104" s="14">
        <v>2</v>
      </c>
      <c r="D104" s="14" t="s">
        <v>14</v>
      </c>
      <c r="E104" s="14" t="s">
        <v>34</v>
      </c>
      <c r="F104" s="69">
        <v>5</v>
      </c>
    </row>
    <row r="105" spans="2:6" x14ac:dyDescent="0.25">
      <c r="B105" s="68" t="s">
        <v>5</v>
      </c>
      <c r="C105" s="14">
        <v>3</v>
      </c>
      <c r="D105" s="14" t="s">
        <v>14</v>
      </c>
      <c r="E105" s="14" t="s">
        <v>34</v>
      </c>
      <c r="F105" s="69">
        <v>5</v>
      </c>
    </row>
    <row r="106" spans="2:6" x14ac:dyDescent="0.25">
      <c r="B106" s="68" t="s">
        <v>5</v>
      </c>
      <c r="C106" s="14">
        <v>4</v>
      </c>
      <c r="D106" s="14" t="s">
        <v>14</v>
      </c>
      <c r="E106" s="14" t="s">
        <v>34</v>
      </c>
      <c r="F106" s="69">
        <v>5</v>
      </c>
    </row>
    <row r="107" spans="2:6" x14ac:dyDescent="0.25">
      <c r="B107" s="68" t="s">
        <v>6</v>
      </c>
      <c r="C107" s="14">
        <v>2</v>
      </c>
      <c r="D107" s="14" t="s">
        <v>14</v>
      </c>
      <c r="E107" s="14" t="s">
        <v>34</v>
      </c>
      <c r="F107" s="69">
        <v>5</v>
      </c>
    </row>
    <row r="108" spans="2:6" x14ac:dyDescent="0.25">
      <c r="B108" s="68" t="s">
        <v>6</v>
      </c>
      <c r="C108" s="14">
        <v>3</v>
      </c>
      <c r="D108" s="14" t="s">
        <v>14</v>
      </c>
      <c r="E108" s="14" t="s">
        <v>34</v>
      </c>
      <c r="F108" s="69">
        <v>5</v>
      </c>
    </row>
    <row r="109" spans="2:6" x14ac:dyDescent="0.25">
      <c r="B109" s="68" t="s">
        <v>6</v>
      </c>
      <c r="C109" s="14">
        <v>4</v>
      </c>
      <c r="D109" s="14" t="s">
        <v>14</v>
      </c>
      <c r="E109" s="14" t="s">
        <v>34</v>
      </c>
      <c r="F109" s="69">
        <v>5</v>
      </c>
    </row>
    <row r="110" spans="2:6" x14ac:dyDescent="0.25">
      <c r="B110" s="68" t="s">
        <v>202</v>
      </c>
      <c r="C110" s="14">
        <v>0</v>
      </c>
      <c r="D110" s="14" t="s">
        <v>15</v>
      </c>
      <c r="E110" s="14" t="s">
        <v>34</v>
      </c>
      <c r="F110" s="69">
        <v>10</v>
      </c>
    </row>
    <row r="111" spans="2:6" x14ac:dyDescent="0.25">
      <c r="B111" s="68" t="s">
        <v>1</v>
      </c>
      <c r="C111" s="14">
        <v>0</v>
      </c>
      <c r="D111" s="14" t="s">
        <v>14</v>
      </c>
      <c r="E111" s="14" t="s">
        <v>34</v>
      </c>
      <c r="F111" s="69">
        <v>24</v>
      </c>
    </row>
    <row r="112" spans="2:6" x14ac:dyDescent="0.25">
      <c r="B112" s="68" t="s">
        <v>1</v>
      </c>
      <c r="C112" s="14">
        <v>0</v>
      </c>
      <c r="D112" s="14" t="s">
        <v>15</v>
      </c>
      <c r="E112" s="14" t="s">
        <v>34</v>
      </c>
      <c r="F112" s="69">
        <v>37</v>
      </c>
    </row>
    <row r="113" spans="2:6" x14ac:dyDescent="0.25">
      <c r="B113" s="68" t="s">
        <v>4</v>
      </c>
      <c r="C113" s="14">
        <v>4</v>
      </c>
      <c r="D113" s="14" t="s">
        <v>14</v>
      </c>
      <c r="E113" s="14" t="s">
        <v>34</v>
      </c>
      <c r="F113" s="69">
        <v>5</v>
      </c>
    </row>
    <row r="114" spans="2:6" x14ac:dyDescent="0.25">
      <c r="B114" s="68" t="s">
        <v>4</v>
      </c>
      <c r="C114" s="14">
        <v>3</v>
      </c>
      <c r="D114" s="14" t="s">
        <v>14</v>
      </c>
      <c r="E114" s="14" t="s">
        <v>34</v>
      </c>
      <c r="F114" s="69">
        <v>5</v>
      </c>
    </row>
    <row r="115" spans="2:6" x14ac:dyDescent="0.25">
      <c r="B115" s="68" t="s">
        <v>4</v>
      </c>
      <c r="C115" s="14">
        <v>2</v>
      </c>
      <c r="D115" s="14" t="s">
        <v>14</v>
      </c>
      <c r="E115" s="14" t="s">
        <v>34</v>
      </c>
      <c r="F115" s="69">
        <v>5</v>
      </c>
    </row>
    <row r="116" spans="2:6" x14ac:dyDescent="0.25">
      <c r="B116" s="68" t="s">
        <v>4</v>
      </c>
      <c r="C116" s="14">
        <v>1</v>
      </c>
      <c r="D116" s="14" t="s">
        <v>14</v>
      </c>
      <c r="E116" s="14" t="s">
        <v>34</v>
      </c>
      <c r="F116" s="69">
        <v>5</v>
      </c>
    </row>
    <row r="117" spans="2:6" x14ac:dyDescent="0.25">
      <c r="B117" s="68" t="s">
        <v>4</v>
      </c>
      <c r="C117" s="14">
        <v>0</v>
      </c>
      <c r="D117" s="14" t="s">
        <v>14</v>
      </c>
      <c r="E117" s="14" t="s">
        <v>34</v>
      </c>
      <c r="F117" s="69">
        <v>5</v>
      </c>
    </row>
    <row r="118" spans="2:6" x14ac:dyDescent="0.25">
      <c r="B118" s="68" t="s">
        <v>69</v>
      </c>
      <c r="C118" s="14">
        <v>0</v>
      </c>
      <c r="D118" s="14" t="s">
        <v>14</v>
      </c>
      <c r="E118" s="14" t="s">
        <v>28</v>
      </c>
      <c r="F118" s="69">
        <v>2</v>
      </c>
    </row>
    <row r="119" spans="2:6" x14ac:dyDescent="0.25">
      <c r="B119" s="68" t="s">
        <v>69</v>
      </c>
      <c r="C119" s="14">
        <v>0</v>
      </c>
      <c r="D119" s="14" t="s">
        <v>15</v>
      </c>
      <c r="E119" s="14" t="s">
        <v>28</v>
      </c>
      <c r="F119" s="69">
        <v>4</v>
      </c>
    </row>
    <row r="120" spans="2:6" x14ac:dyDescent="0.25">
      <c r="B120" s="68" t="s">
        <v>69</v>
      </c>
      <c r="C120" s="14">
        <v>1</v>
      </c>
      <c r="D120" s="14" t="s">
        <v>81</v>
      </c>
      <c r="E120" s="14" t="s">
        <v>28</v>
      </c>
      <c r="F120" s="69">
        <v>1</v>
      </c>
    </row>
    <row r="121" spans="2:6" x14ac:dyDescent="0.25">
      <c r="B121" s="68" t="s">
        <v>69</v>
      </c>
      <c r="C121" s="14">
        <v>1</v>
      </c>
      <c r="D121" s="14" t="s">
        <v>14</v>
      </c>
      <c r="E121" s="14" t="s">
        <v>28</v>
      </c>
      <c r="F121" s="69">
        <v>2</v>
      </c>
    </row>
    <row r="122" spans="2:6" x14ac:dyDescent="0.25">
      <c r="B122" s="68" t="s">
        <v>69</v>
      </c>
      <c r="C122" s="14">
        <v>1</v>
      </c>
      <c r="D122" s="14" t="s">
        <v>15</v>
      </c>
      <c r="E122" s="14" t="s">
        <v>28</v>
      </c>
      <c r="F122" s="69">
        <v>4</v>
      </c>
    </row>
    <row r="123" spans="2:6" x14ac:dyDescent="0.25">
      <c r="B123" s="68" t="s">
        <v>69</v>
      </c>
      <c r="C123" s="14">
        <v>2</v>
      </c>
      <c r="D123" s="14" t="s">
        <v>81</v>
      </c>
      <c r="E123" s="14" t="s">
        <v>28</v>
      </c>
      <c r="F123" s="69">
        <v>1</v>
      </c>
    </row>
    <row r="124" spans="2:6" x14ac:dyDescent="0.25">
      <c r="B124" s="68" t="s">
        <v>69</v>
      </c>
      <c r="C124" s="14">
        <v>2</v>
      </c>
      <c r="D124" s="14" t="s">
        <v>14</v>
      </c>
      <c r="E124" s="14" t="s">
        <v>28</v>
      </c>
      <c r="F124" s="69">
        <v>2</v>
      </c>
    </row>
    <row r="125" spans="2:6" x14ac:dyDescent="0.25">
      <c r="B125" s="68" t="s">
        <v>69</v>
      </c>
      <c r="C125" s="14">
        <v>2</v>
      </c>
      <c r="D125" s="14" t="s">
        <v>15</v>
      </c>
      <c r="E125" s="14" t="s">
        <v>28</v>
      </c>
      <c r="F125" s="69">
        <v>4</v>
      </c>
    </row>
    <row r="126" spans="2:6" x14ac:dyDescent="0.25">
      <c r="B126" s="68" t="s">
        <v>69</v>
      </c>
      <c r="C126" s="14">
        <v>3</v>
      </c>
      <c r="D126" s="14" t="s">
        <v>81</v>
      </c>
      <c r="E126" s="14" t="s">
        <v>28</v>
      </c>
      <c r="F126" s="69">
        <v>1</v>
      </c>
    </row>
    <row r="127" spans="2:6" x14ac:dyDescent="0.25">
      <c r="B127" s="68" t="s">
        <v>69</v>
      </c>
      <c r="C127" s="14">
        <v>3</v>
      </c>
      <c r="D127" s="14" t="s">
        <v>14</v>
      </c>
      <c r="E127" s="14" t="s">
        <v>28</v>
      </c>
      <c r="F127" s="69">
        <v>2</v>
      </c>
    </row>
    <row r="128" spans="2:6" x14ac:dyDescent="0.25">
      <c r="B128" s="68" t="s">
        <v>69</v>
      </c>
      <c r="C128" s="14">
        <v>3</v>
      </c>
      <c r="D128" s="14" t="s">
        <v>15</v>
      </c>
      <c r="E128" s="14" t="s">
        <v>28</v>
      </c>
      <c r="F128" s="69">
        <v>4</v>
      </c>
    </row>
    <row r="129" spans="2:6" x14ac:dyDescent="0.25">
      <c r="B129" s="68" t="s">
        <v>69</v>
      </c>
      <c r="C129" s="14">
        <v>4</v>
      </c>
      <c r="D129" s="14" t="s">
        <v>81</v>
      </c>
      <c r="E129" s="14" t="s">
        <v>28</v>
      </c>
      <c r="F129" s="69">
        <v>1</v>
      </c>
    </row>
    <row r="130" spans="2:6" x14ac:dyDescent="0.25">
      <c r="B130" s="68" t="s">
        <v>69</v>
      </c>
      <c r="C130" s="14">
        <v>4</v>
      </c>
      <c r="D130" s="14" t="s">
        <v>14</v>
      </c>
      <c r="E130" s="14" t="s">
        <v>28</v>
      </c>
      <c r="F130" s="69">
        <v>2</v>
      </c>
    </row>
    <row r="131" spans="2:6" x14ac:dyDescent="0.25">
      <c r="B131" s="68" t="s">
        <v>69</v>
      </c>
      <c r="C131" s="14">
        <v>4</v>
      </c>
      <c r="D131" s="14" t="s">
        <v>15</v>
      </c>
      <c r="E131" s="14" t="s">
        <v>28</v>
      </c>
      <c r="F131" s="69">
        <v>4</v>
      </c>
    </row>
    <row r="132" spans="2:6" x14ac:dyDescent="0.25">
      <c r="B132" s="68" t="s">
        <v>154</v>
      </c>
      <c r="C132" s="14">
        <v>0</v>
      </c>
      <c r="D132" s="14" t="s">
        <v>14</v>
      </c>
      <c r="E132" s="14" t="s">
        <v>28</v>
      </c>
      <c r="F132" s="69">
        <v>1</v>
      </c>
    </row>
    <row r="133" spans="2:6" x14ac:dyDescent="0.25">
      <c r="B133" s="68" t="s">
        <v>5</v>
      </c>
      <c r="C133" s="14">
        <v>2</v>
      </c>
      <c r="D133" s="14" t="s">
        <v>14</v>
      </c>
      <c r="E133" s="14" t="s">
        <v>28</v>
      </c>
      <c r="F133" s="69">
        <v>4</v>
      </c>
    </row>
    <row r="134" spans="2:6" x14ac:dyDescent="0.25">
      <c r="B134" s="68" t="s">
        <v>5</v>
      </c>
      <c r="C134" s="14">
        <v>3</v>
      </c>
      <c r="D134" s="14" t="s">
        <v>14</v>
      </c>
      <c r="E134" s="14" t="s">
        <v>28</v>
      </c>
      <c r="F134" s="69">
        <v>4</v>
      </c>
    </row>
    <row r="135" spans="2:6" x14ac:dyDescent="0.25">
      <c r="B135" s="68" t="s">
        <v>5</v>
      </c>
      <c r="C135" s="14">
        <v>4</v>
      </c>
      <c r="D135" s="14" t="s">
        <v>14</v>
      </c>
      <c r="E135" s="14" t="s">
        <v>28</v>
      </c>
      <c r="F135" s="69">
        <v>4</v>
      </c>
    </row>
    <row r="136" spans="2:6" x14ac:dyDescent="0.25">
      <c r="B136" s="68" t="s">
        <v>6</v>
      </c>
      <c r="C136" s="14">
        <v>2</v>
      </c>
      <c r="D136" s="14" t="s">
        <v>14</v>
      </c>
      <c r="E136" s="14" t="s">
        <v>28</v>
      </c>
      <c r="F136" s="69">
        <v>4</v>
      </c>
    </row>
    <row r="137" spans="2:6" x14ac:dyDescent="0.25">
      <c r="B137" s="68" t="s">
        <v>6</v>
      </c>
      <c r="C137" s="14">
        <v>3</v>
      </c>
      <c r="D137" s="14" t="s">
        <v>14</v>
      </c>
      <c r="E137" s="14" t="s">
        <v>28</v>
      </c>
      <c r="F137" s="69">
        <v>4</v>
      </c>
    </row>
    <row r="138" spans="2:6" x14ac:dyDescent="0.25">
      <c r="B138" s="68" t="s">
        <v>6</v>
      </c>
      <c r="C138" s="14">
        <v>4</v>
      </c>
      <c r="D138" s="14" t="s">
        <v>14</v>
      </c>
      <c r="E138" s="14" t="s">
        <v>28</v>
      </c>
      <c r="F138" s="69">
        <v>4</v>
      </c>
    </row>
    <row r="139" spans="2:6" x14ac:dyDescent="0.25">
      <c r="B139" s="68" t="s">
        <v>202</v>
      </c>
      <c r="C139" s="14">
        <v>0</v>
      </c>
      <c r="D139" s="14" t="s">
        <v>15</v>
      </c>
      <c r="E139" s="14" t="s">
        <v>28</v>
      </c>
      <c r="F139" s="69">
        <v>5</v>
      </c>
    </row>
    <row r="140" spans="2:6" x14ac:dyDescent="0.25">
      <c r="B140" s="68" t="s">
        <v>1</v>
      </c>
      <c r="C140" s="14">
        <v>0</v>
      </c>
      <c r="D140" s="14" t="s">
        <v>14</v>
      </c>
      <c r="E140" s="14" t="s">
        <v>28</v>
      </c>
      <c r="F140" s="69">
        <v>14</v>
      </c>
    </row>
    <row r="141" spans="2:6" x14ac:dyDescent="0.25">
      <c r="B141" s="68" t="s">
        <v>1</v>
      </c>
      <c r="C141" s="14">
        <v>0</v>
      </c>
      <c r="D141" s="14" t="s">
        <v>15</v>
      </c>
      <c r="E141" s="14" t="s">
        <v>28</v>
      </c>
      <c r="F141" s="69">
        <v>21</v>
      </c>
    </row>
    <row r="142" spans="2:6" x14ac:dyDescent="0.25">
      <c r="B142" s="68" t="s">
        <v>4</v>
      </c>
      <c r="C142" s="14">
        <v>4</v>
      </c>
      <c r="D142" s="14" t="s">
        <v>14</v>
      </c>
      <c r="E142" s="14" t="s">
        <v>28</v>
      </c>
      <c r="F142" s="69">
        <v>4</v>
      </c>
    </row>
    <row r="143" spans="2:6" x14ac:dyDescent="0.25">
      <c r="B143" s="68" t="s">
        <v>4</v>
      </c>
      <c r="C143" s="14">
        <v>3</v>
      </c>
      <c r="D143" s="14" t="s">
        <v>14</v>
      </c>
      <c r="E143" s="14" t="s">
        <v>28</v>
      </c>
      <c r="F143" s="69">
        <v>4</v>
      </c>
    </row>
    <row r="144" spans="2:6" x14ac:dyDescent="0.25">
      <c r="B144" s="68" t="s">
        <v>4</v>
      </c>
      <c r="C144" s="14">
        <v>2</v>
      </c>
      <c r="D144" s="14" t="s">
        <v>14</v>
      </c>
      <c r="E144" s="14" t="s">
        <v>28</v>
      </c>
      <c r="F144" s="69">
        <v>4</v>
      </c>
    </row>
    <row r="145" spans="2:6" x14ac:dyDescent="0.25">
      <c r="B145" s="68" t="s">
        <v>4</v>
      </c>
      <c r="C145" s="14">
        <v>1</v>
      </c>
      <c r="D145" s="14" t="s">
        <v>14</v>
      </c>
      <c r="E145" s="14" t="s">
        <v>28</v>
      </c>
      <c r="F145" s="69">
        <v>4</v>
      </c>
    </row>
    <row r="146" spans="2:6" x14ac:dyDescent="0.25">
      <c r="B146" s="68" t="s">
        <v>4</v>
      </c>
      <c r="C146" s="14">
        <v>0</v>
      </c>
      <c r="D146" s="14" t="s">
        <v>14</v>
      </c>
      <c r="E146" s="14" t="s">
        <v>28</v>
      </c>
      <c r="F146" s="69">
        <v>4</v>
      </c>
    </row>
    <row r="147" spans="2:6" x14ac:dyDescent="0.25">
      <c r="B147" s="68" t="s">
        <v>69</v>
      </c>
      <c r="C147" s="14">
        <v>0</v>
      </c>
      <c r="D147" s="14" t="s">
        <v>14</v>
      </c>
      <c r="E147" s="14" t="s">
        <v>48</v>
      </c>
      <c r="F147" s="69">
        <v>2</v>
      </c>
    </row>
    <row r="148" spans="2:6" x14ac:dyDescent="0.25">
      <c r="B148" s="68" t="s">
        <v>69</v>
      </c>
      <c r="C148" s="14">
        <v>0</v>
      </c>
      <c r="D148" s="14" t="s">
        <v>15</v>
      </c>
      <c r="E148" s="14" t="s">
        <v>48</v>
      </c>
      <c r="F148" s="69">
        <v>4</v>
      </c>
    </row>
    <row r="149" spans="2:6" x14ac:dyDescent="0.25">
      <c r="B149" s="68" t="s">
        <v>69</v>
      </c>
      <c r="C149" s="14">
        <v>1</v>
      </c>
      <c r="D149" s="14" t="s">
        <v>81</v>
      </c>
      <c r="E149" s="14" t="s">
        <v>48</v>
      </c>
      <c r="F149" s="69">
        <v>1</v>
      </c>
    </row>
    <row r="150" spans="2:6" x14ac:dyDescent="0.25">
      <c r="B150" s="68" t="s">
        <v>69</v>
      </c>
      <c r="C150" s="14">
        <v>1</v>
      </c>
      <c r="D150" s="14" t="s">
        <v>14</v>
      </c>
      <c r="E150" s="14" t="s">
        <v>48</v>
      </c>
      <c r="F150" s="69">
        <v>2</v>
      </c>
    </row>
    <row r="151" spans="2:6" x14ac:dyDescent="0.25">
      <c r="B151" s="68" t="s">
        <v>69</v>
      </c>
      <c r="C151" s="14">
        <v>1</v>
      </c>
      <c r="D151" s="14" t="s">
        <v>15</v>
      </c>
      <c r="E151" s="14" t="s">
        <v>48</v>
      </c>
      <c r="F151" s="69">
        <v>4</v>
      </c>
    </row>
    <row r="152" spans="2:6" x14ac:dyDescent="0.25">
      <c r="B152" s="68" t="s">
        <v>69</v>
      </c>
      <c r="C152" s="14">
        <v>2</v>
      </c>
      <c r="D152" s="14" t="s">
        <v>81</v>
      </c>
      <c r="E152" s="14" t="s">
        <v>48</v>
      </c>
      <c r="F152" s="69">
        <v>1</v>
      </c>
    </row>
    <row r="153" spans="2:6" x14ac:dyDescent="0.25">
      <c r="B153" s="68" t="s">
        <v>69</v>
      </c>
      <c r="C153" s="14">
        <v>2</v>
      </c>
      <c r="D153" s="14" t="s">
        <v>14</v>
      </c>
      <c r="E153" s="14" t="s">
        <v>48</v>
      </c>
      <c r="F153" s="69">
        <v>2</v>
      </c>
    </row>
    <row r="154" spans="2:6" x14ac:dyDescent="0.25">
      <c r="B154" s="68" t="s">
        <v>69</v>
      </c>
      <c r="C154" s="14">
        <v>2</v>
      </c>
      <c r="D154" s="14" t="s">
        <v>15</v>
      </c>
      <c r="E154" s="14" t="s">
        <v>48</v>
      </c>
      <c r="F154" s="69">
        <v>4</v>
      </c>
    </row>
    <row r="155" spans="2:6" x14ac:dyDescent="0.25">
      <c r="B155" s="68" t="s">
        <v>69</v>
      </c>
      <c r="C155" s="14">
        <v>3</v>
      </c>
      <c r="D155" s="14" t="s">
        <v>81</v>
      </c>
      <c r="E155" s="14" t="s">
        <v>48</v>
      </c>
      <c r="F155" s="69">
        <v>1</v>
      </c>
    </row>
    <row r="156" spans="2:6" x14ac:dyDescent="0.25">
      <c r="B156" s="68" t="s">
        <v>69</v>
      </c>
      <c r="C156" s="14">
        <v>3</v>
      </c>
      <c r="D156" s="14" t="s">
        <v>14</v>
      </c>
      <c r="E156" s="14" t="s">
        <v>48</v>
      </c>
      <c r="F156" s="69">
        <v>2</v>
      </c>
    </row>
    <row r="157" spans="2:6" x14ac:dyDescent="0.25">
      <c r="B157" s="68" t="s">
        <v>69</v>
      </c>
      <c r="C157" s="14">
        <v>3</v>
      </c>
      <c r="D157" s="14" t="s">
        <v>15</v>
      </c>
      <c r="E157" s="14" t="s">
        <v>48</v>
      </c>
      <c r="F157" s="69">
        <v>4</v>
      </c>
    </row>
    <row r="158" spans="2:6" x14ac:dyDescent="0.25">
      <c r="B158" s="68" t="s">
        <v>69</v>
      </c>
      <c r="C158" s="14">
        <v>4</v>
      </c>
      <c r="D158" s="14" t="s">
        <v>81</v>
      </c>
      <c r="E158" s="14" t="s">
        <v>48</v>
      </c>
      <c r="F158" s="69">
        <v>1</v>
      </c>
    </row>
    <row r="159" spans="2:6" x14ac:dyDescent="0.25">
      <c r="B159" s="68" t="s">
        <v>69</v>
      </c>
      <c r="C159" s="14">
        <v>4</v>
      </c>
      <c r="D159" s="14" t="s">
        <v>14</v>
      </c>
      <c r="E159" s="14" t="s">
        <v>48</v>
      </c>
      <c r="F159" s="69">
        <v>2</v>
      </c>
    </row>
    <row r="160" spans="2:6" x14ac:dyDescent="0.25">
      <c r="B160" s="68" t="s">
        <v>69</v>
      </c>
      <c r="C160" s="14">
        <v>4</v>
      </c>
      <c r="D160" s="14" t="s">
        <v>15</v>
      </c>
      <c r="E160" s="14" t="s">
        <v>48</v>
      </c>
      <c r="F160" s="69">
        <v>4</v>
      </c>
    </row>
    <row r="161" spans="2:6" x14ac:dyDescent="0.25">
      <c r="B161" s="68" t="s">
        <v>154</v>
      </c>
      <c r="C161" s="14">
        <v>0</v>
      </c>
      <c r="D161" s="14" t="s">
        <v>14</v>
      </c>
      <c r="E161" s="14" t="s">
        <v>48</v>
      </c>
      <c r="F161" s="69">
        <v>1</v>
      </c>
    </row>
    <row r="162" spans="2:6" x14ac:dyDescent="0.25">
      <c r="B162" s="68" t="s">
        <v>5</v>
      </c>
      <c r="C162" s="14">
        <v>2</v>
      </c>
      <c r="D162" s="14" t="s">
        <v>14</v>
      </c>
      <c r="E162" s="14" t="s">
        <v>48</v>
      </c>
      <c r="F162" s="69">
        <v>4</v>
      </c>
    </row>
    <row r="163" spans="2:6" x14ac:dyDescent="0.25">
      <c r="B163" s="68" t="s">
        <v>5</v>
      </c>
      <c r="C163" s="14">
        <v>3</v>
      </c>
      <c r="D163" s="14" t="s">
        <v>14</v>
      </c>
      <c r="E163" s="14" t="s">
        <v>48</v>
      </c>
      <c r="F163" s="69">
        <v>4</v>
      </c>
    </row>
    <row r="164" spans="2:6" x14ac:dyDescent="0.25">
      <c r="B164" s="68" t="s">
        <v>5</v>
      </c>
      <c r="C164" s="14">
        <v>4</v>
      </c>
      <c r="D164" s="14" t="s">
        <v>14</v>
      </c>
      <c r="E164" s="14" t="s">
        <v>48</v>
      </c>
      <c r="F164" s="69">
        <v>4</v>
      </c>
    </row>
    <row r="165" spans="2:6" x14ac:dyDescent="0.25">
      <c r="B165" s="68" t="s">
        <v>6</v>
      </c>
      <c r="C165" s="14">
        <v>2</v>
      </c>
      <c r="D165" s="14" t="s">
        <v>14</v>
      </c>
      <c r="E165" s="14" t="s">
        <v>48</v>
      </c>
      <c r="F165" s="69">
        <v>4</v>
      </c>
    </row>
    <row r="166" spans="2:6" x14ac:dyDescent="0.25">
      <c r="B166" s="68" t="s">
        <v>6</v>
      </c>
      <c r="C166" s="14">
        <v>3</v>
      </c>
      <c r="D166" s="14" t="s">
        <v>14</v>
      </c>
      <c r="E166" s="14" t="s">
        <v>48</v>
      </c>
      <c r="F166" s="69">
        <v>4</v>
      </c>
    </row>
    <row r="167" spans="2:6" x14ac:dyDescent="0.25">
      <c r="B167" s="68" t="s">
        <v>6</v>
      </c>
      <c r="C167" s="14">
        <v>4</v>
      </c>
      <c r="D167" s="14" t="s">
        <v>14</v>
      </c>
      <c r="E167" s="14" t="s">
        <v>48</v>
      </c>
      <c r="F167" s="69">
        <v>4</v>
      </c>
    </row>
    <row r="168" spans="2:6" x14ac:dyDescent="0.25">
      <c r="B168" s="68" t="s">
        <v>202</v>
      </c>
      <c r="C168" s="14">
        <v>0</v>
      </c>
      <c r="D168" s="14" t="s">
        <v>15</v>
      </c>
      <c r="E168" s="14" t="s">
        <v>48</v>
      </c>
      <c r="F168" s="69">
        <v>6</v>
      </c>
    </row>
    <row r="169" spans="2:6" x14ac:dyDescent="0.25">
      <c r="B169" s="68" t="s">
        <v>1</v>
      </c>
      <c r="C169" s="14">
        <v>0</v>
      </c>
      <c r="D169" s="14" t="s">
        <v>14</v>
      </c>
      <c r="E169" s="14" t="s">
        <v>48</v>
      </c>
      <c r="F169" s="69">
        <v>14</v>
      </c>
    </row>
    <row r="170" spans="2:6" x14ac:dyDescent="0.25">
      <c r="B170" s="68" t="s">
        <v>1</v>
      </c>
      <c r="C170" s="14">
        <v>0</v>
      </c>
      <c r="D170" s="14" t="s">
        <v>15</v>
      </c>
      <c r="E170" s="14" t="s">
        <v>48</v>
      </c>
      <c r="F170" s="69">
        <v>21</v>
      </c>
    </row>
    <row r="171" spans="2:6" x14ac:dyDescent="0.25">
      <c r="B171" s="68" t="s">
        <v>4</v>
      </c>
      <c r="C171" s="14">
        <v>4</v>
      </c>
      <c r="D171" s="14" t="s">
        <v>14</v>
      </c>
      <c r="E171" s="14" t="s">
        <v>48</v>
      </c>
      <c r="F171" s="69">
        <v>4</v>
      </c>
    </row>
    <row r="172" spans="2:6" x14ac:dyDescent="0.25">
      <c r="B172" s="68" t="s">
        <v>4</v>
      </c>
      <c r="C172" s="14">
        <v>3</v>
      </c>
      <c r="D172" s="14" t="s">
        <v>14</v>
      </c>
      <c r="E172" s="14" t="s">
        <v>48</v>
      </c>
      <c r="F172" s="69">
        <v>4</v>
      </c>
    </row>
    <row r="173" spans="2:6" x14ac:dyDescent="0.25">
      <c r="B173" s="68" t="s">
        <v>4</v>
      </c>
      <c r="C173" s="14">
        <v>2</v>
      </c>
      <c r="D173" s="14" t="s">
        <v>14</v>
      </c>
      <c r="E173" s="14" t="s">
        <v>48</v>
      </c>
      <c r="F173" s="69">
        <v>4</v>
      </c>
    </row>
    <row r="174" spans="2:6" x14ac:dyDescent="0.25">
      <c r="B174" s="68" t="s">
        <v>4</v>
      </c>
      <c r="C174" s="14">
        <v>1</v>
      </c>
      <c r="D174" s="14" t="s">
        <v>14</v>
      </c>
      <c r="E174" s="14" t="s">
        <v>48</v>
      </c>
      <c r="F174" s="69">
        <v>4</v>
      </c>
    </row>
    <row r="175" spans="2:6" x14ac:dyDescent="0.25">
      <c r="B175" s="68" t="s">
        <v>4</v>
      </c>
      <c r="C175" s="14">
        <v>0</v>
      </c>
      <c r="D175" s="14" t="s">
        <v>14</v>
      </c>
      <c r="E175" s="14" t="s">
        <v>48</v>
      </c>
      <c r="F175" s="69">
        <v>4</v>
      </c>
    </row>
    <row r="176" spans="2:6" x14ac:dyDescent="0.25">
      <c r="B176" s="68" t="s">
        <v>69</v>
      </c>
      <c r="C176" s="14">
        <v>0</v>
      </c>
      <c r="D176" s="14" t="s">
        <v>14</v>
      </c>
      <c r="E176" s="14" t="s">
        <v>226</v>
      </c>
      <c r="F176" s="69">
        <v>1</v>
      </c>
    </row>
    <row r="177" spans="2:6" x14ac:dyDescent="0.25">
      <c r="B177" s="68" t="s">
        <v>69</v>
      </c>
      <c r="C177" s="14">
        <v>0</v>
      </c>
      <c r="D177" s="14" t="s">
        <v>15</v>
      </c>
      <c r="E177" s="14" t="s">
        <v>226</v>
      </c>
      <c r="F177" s="69">
        <v>2</v>
      </c>
    </row>
    <row r="178" spans="2:6" x14ac:dyDescent="0.25">
      <c r="B178" s="68" t="s">
        <v>69</v>
      </c>
      <c r="C178" s="14">
        <v>1</v>
      </c>
      <c r="D178" s="14" t="s">
        <v>81</v>
      </c>
      <c r="E178" s="14" t="s">
        <v>226</v>
      </c>
      <c r="F178" s="69">
        <v>1</v>
      </c>
    </row>
    <row r="179" spans="2:6" x14ac:dyDescent="0.25">
      <c r="B179" s="68" t="s">
        <v>69</v>
      </c>
      <c r="C179" s="14">
        <v>1</v>
      </c>
      <c r="D179" s="14" t="s">
        <v>14</v>
      </c>
      <c r="E179" s="14" t="s">
        <v>226</v>
      </c>
      <c r="F179" s="69">
        <v>1</v>
      </c>
    </row>
    <row r="180" spans="2:6" x14ac:dyDescent="0.25">
      <c r="B180" s="68" t="s">
        <v>69</v>
      </c>
      <c r="C180" s="14">
        <v>1</v>
      </c>
      <c r="D180" s="14" t="s">
        <v>15</v>
      </c>
      <c r="E180" s="14" t="s">
        <v>226</v>
      </c>
      <c r="F180" s="69">
        <v>2</v>
      </c>
    </row>
    <row r="181" spans="2:6" x14ac:dyDescent="0.25">
      <c r="B181" s="68" t="s">
        <v>69</v>
      </c>
      <c r="C181" s="14">
        <v>2</v>
      </c>
      <c r="D181" s="14" t="s">
        <v>81</v>
      </c>
      <c r="E181" s="14" t="s">
        <v>226</v>
      </c>
      <c r="F181" s="69">
        <v>1</v>
      </c>
    </row>
    <row r="182" spans="2:6" x14ac:dyDescent="0.25">
      <c r="B182" s="68" t="s">
        <v>69</v>
      </c>
      <c r="C182" s="14">
        <v>2</v>
      </c>
      <c r="D182" s="14" t="s">
        <v>14</v>
      </c>
      <c r="E182" s="14" t="s">
        <v>226</v>
      </c>
      <c r="F182" s="69">
        <v>1</v>
      </c>
    </row>
    <row r="183" spans="2:6" x14ac:dyDescent="0.25">
      <c r="B183" s="68" t="s">
        <v>69</v>
      </c>
      <c r="C183" s="14">
        <v>2</v>
      </c>
      <c r="D183" s="14" t="s">
        <v>15</v>
      </c>
      <c r="E183" s="14" t="s">
        <v>226</v>
      </c>
      <c r="F183" s="69">
        <v>2</v>
      </c>
    </row>
    <row r="184" spans="2:6" x14ac:dyDescent="0.25">
      <c r="B184" s="68" t="s">
        <v>69</v>
      </c>
      <c r="C184" s="14">
        <v>3</v>
      </c>
      <c r="D184" s="14" t="s">
        <v>81</v>
      </c>
      <c r="E184" s="14" t="s">
        <v>226</v>
      </c>
      <c r="F184" s="69">
        <v>1</v>
      </c>
    </row>
    <row r="185" spans="2:6" x14ac:dyDescent="0.25">
      <c r="B185" s="68" t="s">
        <v>69</v>
      </c>
      <c r="C185" s="14">
        <v>3</v>
      </c>
      <c r="D185" s="14" t="s">
        <v>14</v>
      </c>
      <c r="E185" s="14" t="s">
        <v>226</v>
      </c>
      <c r="F185" s="69">
        <v>1</v>
      </c>
    </row>
    <row r="186" spans="2:6" x14ac:dyDescent="0.25">
      <c r="B186" s="68" t="s">
        <v>69</v>
      </c>
      <c r="C186" s="14">
        <v>3</v>
      </c>
      <c r="D186" s="14" t="s">
        <v>15</v>
      </c>
      <c r="E186" s="14" t="s">
        <v>226</v>
      </c>
      <c r="F186" s="69">
        <v>2</v>
      </c>
    </row>
    <row r="187" spans="2:6" x14ac:dyDescent="0.25">
      <c r="B187" s="68" t="s">
        <v>69</v>
      </c>
      <c r="C187" s="14">
        <v>4</v>
      </c>
      <c r="D187" s="14" t="s">
        <v>81</v>
      </c>
      <c r="E187" s="14" t="s">
        <v>226</v>
      </c>
      <c r="F187" s="69">
        <v>1</v>
      </c>
    </row>
    <row r="188" spans="2:6" x14ac:dyDescent="0.25">
      <c r="B188" s="68" t="s">
        <v>69</v>
      </c>
      <c r="C188" s="14">
        <v>4</v>
      </c>
      <c r="D188" s="14" t="s">
        <v>14</v>
      </c>
      <c r="E188" s="14" t="s">
        <v>226</v>
      </c>
      <c r="F188" s="69">
        <v>1</v>
      </c>
    </row>
    <row r="189" spans="2:6" x14ac:dyDescent="0.25">
      <c r="B189" s="68" t="s">
        <v>69</v>
      </c>
      <c r="C189" s="14">
        <v>4</v>
      </c>
      <c r="D189" s="14" t="s">
        <v>15</v>
      </c>
      <c r="E189" s="14" t="s">
        <v>226</v>
      </c>
      <c r="F189" s="69">
        <v>2</v>
      </c>
    </row>
    <row r="190" spans="2:6" x14ac:dyDescent="0.25">
      <c r="B190" s="68" t="s">
        <v>154</v>
      </c>
      <c r="C190" s="14">
        <v>0</v>
      </c>
      <c r="D190" s="14" t="s">
        <v>14</v>
      </c>
      <c r="E190" s="14" t="s">
        <v>226</v>
      </c>
      <c r="F190" s="69">
        <v>0</v>
      </c>
    </row>
    <row r="191" spans="2:6" x14ac:dyDescent="0.25">
      <c r="B191" s="68" t="s">
        <v>5</v>
      </c>
      <c r="C191" s="14">
        <v>2</v>
      </c>
      <c r="D191" s="14" t="s">
        <v>14</v>
      </c>
      <c r="E191" s="14" t="s">
        <v>226</v>
      </c>
      <c r="F191" s="69"/>
    </row>
    <row r="192" spans="2:6" x14ac:dyDescent="0.25">
      <c r="B192" s="68" t="s">
        <v>5</v>
      </c>
      <c r="C192" s="14">
        <v>3</v>
      </c>
      <c r="D192" s="14" t="s">
        <v>14</v>
      </c>
      <c r="E192" s="14" t="s">
        <v>226</v>
      </c>
      <c r="F192" s="69"/>
    </row>
    <row r="193" spans="2:6" x14ac:dyDescent="0.25">
      <c r="B193" s="68" t="s">
        <v>5</v>
      </c>
      <c r="C193" s="14">
        <v>4</v>
      </c>
      <c r="D193" s="14" t="s">
        <v>14</v>
      </c>
      <c r="E193" s="14" t="s">
        <v>226</v>
      </c>
      <c r="F193" s="69"/>
    </row>
    <row r="194" spans="2:6" x14ac:dyDescent="0.25">
      <c r="B194" s="68" t="s">
        <v>6</v>
      </c>
      <c r="C194" s="14">
        <v>2</v>
      </c>
      <c r="D194" s="14" t="s">
        <v>14</v>
      </c>
      <c r="E194" s="14" t="s">
        <v>226</v>
      </c>
      <c r="F194" s="69"/>
    </row>
    <row r="195" spans="2:6" x14ac:dyDescent="0.25">
      <c r="B195" s="68" t="s">
        <v>6</v>
      </c>
      <c r="C195" s="14">
        <v>3</v>
      </c>
      <c r="D195" s="14" t="s">
        <v>14</v>
      </c>
      <c r="E195" s="14" t="s">
        <v>226</v>
      </c>
      <c r="F195" s="69"/>
    </row>
    <row r="196" spans="2:6" x14ac:dyDescent="0.25">
      <c r="B196" s="68" t="s">
        <v>6</v>
      </c>
      <c r="C196" s="14">
        <v>4</v>
      </c>
      <c r="D196" s="14" t="s">
        <v>14</v>
      </c>
      <c r="E196" s="14" t="s">
        <v>226</v>
      </c>
      <c r="F196" s="69"/>
    </row>
    <row r="197" spans="2:6" x14ac:dyDescent="0.25">
      <c r="B197" s="68" t="s">
        <v>202</v>
      </c>
      <c r="C197" s="14">
        <v>0</v>
      </c>
      <c r="D197" s="14" t="s">
        <v>15</v>
      </c>
      <c r="E197" s="14" t="s">
        <v>226</v>
      </c>
      <c r="F197" s="69">
        <v>3</v>
      </c>
    </row>
    <row r="198" spans="2:6" x14ac:dyDescent="0.25">
      <c r="B198" s="68" t="s">
        <v>1</v>
      </c>
      <c r="C198" s="14">
        <v>0</v>
      </c>
      <c r="D198" s="14" t="s">
        <v>14</v>
      </c>
      <c r="E198" s="14" t="s">
        <v>226</v>
      </c>
      <c r="F198" s="69">
        <v>7</v>
      </c>
    </row>
    <row r="199" spans="2:6" x14ac:dyDescent="0.25">
      <c r="B199" s="68" t="s">
        <v>1</v>
      </c>
      <c r="C199" s="14">
        <v>0</v>
      </c>
      <c r="D199" s="14" t="s">
        <v>15</v>
      </c>
      <c r="E199" s="14" t="s">
        <v>226</v>
      </c>
      <c r="F199" s="69">
        <v>11</v>
      </c>
    </row>
    <row r="200" spans="2:6" x14ac:dyDescent="0.25">
      <c r="B200" s="68" t="s">
        <v>4</v>
      </c>
      <c r="C200" s="14">
        <v>4</v>
      </c>
      <c r="D200" s="14" t="s">
        <v>14</v>
      </c>
      <c r="E200" s="14" t="s">
        <v>226</v>
      </c>
      <c r="F200" s="69"/>
    </row>
    <row r="201" spans="2:6" x14ac:dyDescent="0.25">
      <c r="B201" s="68" t="s">
        <v>4</v>
      </c>
      <c r="C201" s="14">
        <v>3</v>
      </c>
      <c r="D201" s="14" t="s">
        <v>14</v>
      </c>
      <c r="E201" s="14" t="s">
        <v>226</v>
      </c>
      <c r="F201" s="69"/>
    </row>
    <row r="202" spans="2:6" x14ac:dyDescent="0.25">
      <c r="B202" s="68" t="s">
        <v>4</v>
      </c>
      <c r="C202" s="14">
        <v>2</v>
      </c>
      <c r="D202" s="14" t="s">
        <v>14</v>
      </c>
      <c r="E202" s="14" t="s">
        <v>226</v>
      </c>
      <c r="F202" s="69"/>
    </row>
    <row r="203" spans="2:6" x14ac:dyDescent="0.25">
      <c r="B203" s="68" t="s">
        <v>4</v>
      </c>
      <c r="C203" s="14">
        <v>1</v>
      </c>
      <c r="D203" s="14" t="s">
        <v>14</v>
      </c>
      <c r="E203" s="14" t="s">
        <v>226</v>
      </c>
      <c r="F203" s="69"/>
    </row>
    <row r="204" spans="2:6" x14ac:dyDescent="0.25">
      <c r="B204" s="68" t="s">
        <v>4</v>
      </c>
      <c r="C204" s="14">
        <v>0</v>
      </c>
      <c r="D204" s="14" t="s">
        <v>14</v>
      </c>
      <c r="E204" s="14" t="s">
        <v>226</v>
      </c>
      <c r="F204" s="69"/>
    </row>
    <row r="205" spans="2:6" x14ac:dyDescent="0.25">
      <c r="B205" s="68" t="s">
        <v>69</v>
      </c>
      <c r="C205" s="14">
        <v>0</v>
      </c>
      <c r="D205" s="14" t="s">
        <v>14</v>
      </c>
      <c r="E205" s="14" t="s">
        <v>32</v>
      </c>
      <c r="F205" s="69">
        <v>1</v>
      </c>
    </row>
    <row r="206" spans="2:6" x14ac:dyDescent="0.25">
      <c r="B206" s="68" t="s">
        <v>69</v>
      </c>
      <c r="C206" s="14">
        <v>0</v>
      </c>
      <c r="D206" s="14" t="s">
        <v>15</v>
      </c>
      <c r="E206" s="14" t="s">
        <v>32</v>
      </c>
      <c r="F206" s="69">
        <v>2</v>
      </c>
    </row>
    <row r="207" spans="2:6" x14ac:dyDescent="0.25">
      <c r="B207" s="68" t="s">
        <v>69</v>
      </c>
      <c r="C207" s="14">
        <v>1</v>
      </c>
      <c r="D207" s="14" t="s">
        <v>81</v>
      </c>
      <c r="E207" s="14" t="s">
        <v>32</v>
      </c>
      <c r="F207" s="69">
        <v>1</v>
      </c>
    </row>
    <row r="208" spans="2:6" x14ac:dyDescent="0.25">
      <c r="B208" s="68" t="s">
        <v>69</v>
      </c>
      <c r="C208" s="14">
        <v>1</v>
      </c>
      <c r="D208" s="14" t="s">
        <v>14</v>
      </c>
      <c r="E208" s="14" t="s">
        <v>32</v>
      </c>
      <c r="F208" s="69">
        <v>1</v>
      </c>
    </row>
    <row r="209" spans="2:6" x14ac:dyDescent="0.25">
      <c r="B209" s="68" t="s">
        <v>69</v>
      </c>
      <c r="C209" s="14">
        <v>1</v>
      </c>
      <c r="D209" s="14" t="s">
        <v>15</v>
      </c>
      <c r="E209" s="14" t="s">
        <v>32</v>
      </c>
      <c r="F209" s="69">
        <v>2</v>
      </c>
    </row>
    <row r="210" spans="2:6" x14ac:dyDescent="0.25">
      <c r="B210" s="68" t="s">
        <v>69</v>
      </c>
      <c r="C210" s="14">
        <v>2</v>
      </c>
      <c r="D210" s="14" t="s">
        <v>81</v>
      </c>
      <c r="E210" s="14" t="s">
        <v>32</v>
      </c>
      <c r="F210" s="69">
        <v>1</v>
      </c>
    </row>
    <row r="211" spans="2:6" x14ac:dyDescent="0.25">
      <c r="B211" s="68" t="s">
        <v>69</v>
      </c>
      <c r="C211" s="14">
        <v>2</v>
      </c>
      <c r="D211" s="14" t="s">
        <v>14</v>
      </c>
      <c r="E211" s="14" t="s">
        <v>32</v>
      </c>
      <c r="F211" s="69">
        <v>1</v>
      </c>
    </row>
    <row r="212" spans="2:6" x14ac:dyDescent="0.25">
      <c r="B212" s="68" t="s">
        <v>69</v>
      </c>
      <c r="C212" s="14">
        <v>2</v>
      </c>
      <c r="D212" s="14" t="s">
        <v>15</v>
      </c>
      <c r="E212" s="14" t="s">
        <v>32</v>
      </c>
      <c r="F212" s="69">
        <v>2</v>
      </c>
    </row>
    <row r="213" spans="2:6" x14ac:dyDescent="0.25">
      <c r="B213" s="68" t="s">
        <v>69</v>
      </c>
      <c r="C213" s="14">
        <v>3</v>
      </c>
      <c r="D213" s="14" t="s">
        <v>81</v>
      </c>
      <c r="E213" s="14" t="s">
        <v>32</v>
      </c>
      <c r="F213" s="69">
        <v>1</v>
      </c>
    </row>
    <row r="214" spans="2:6" x14ac:dyDescent="0.25">
      <c r="B214" s="68" t="s">
        <v>69</v>
      </c>
      <c r="C214" s="14">
        <v>3</v>
      </c>
      <c r="D214" s="14" t="s">
        <v>14</v>
      </c>
      <c r="E214" s="14" t="s">
        <v>32</v>
      </c>
      <c r="F214" s="69">
        <v>1</v>
      </c>
    </row>
    <row r="215" spans="2:6" x14ac:dyDescent="0.25">
      <c r="B215" s="68" t="s">
        <v>69</v>
      </c>
      <c r="C215" s="14">
        <v>3</v>
      </c>
      <c r="D215" s="14" t="s">
        <v>15</v>
      </c>
      <c r="E215" s="14" t="s">
        <v>32</v>
      </c>
      <c r="F215" s="69">
        <v>2</v>
      </c>
    </row>
    <row r="216" spans="2:6" x14ac:dyDescent="0.25">
      <c r="B216" s="68" t="s">
        <v>69</v>
      </c>
      <c r="C216" s="14">
        <v>4</v>
      </c>
      <c r="D216" s="14" t="s">
        <v>81</v>
      </c>
      <c r="E216" s="14" t="s">
        <v>32</v>
      </c>
      <c r="F216" s="69">
        <v>1</v>
      </c>
    </row>
    <row r="217" spans="2:6" x14ac:dyDescent="0.25">
      <c r="B217" s="68" t="s">
        <v>69</v>
      </c>
      <c r="C217" s="14">
        <v>4</v>
      </c>
      <c r="D217" s="14" t="s">
        <v>14</v>
      </c>
      <c r="E217" s="14" t="s">
        <v>32</v>
      </c>
      <c r="F217" s="69">
        <v>1</v>
      </c>
    </row>
    <row r="218" spans="2:6" x14ac:dyDescent="0.25">
      <c r="B218" s="68" t="s">
        <v>69</v>
      </c>
      <c r="C218" s="14">
        <v>4</v>
      </c>
      <c r="D218" s="14" t="s">
        <v>15</v>
      </c>
      <c r="E218" s="14" t="s">
        <v>32</v>
      </c>
      <c r="F218" s="69">
        <v>2</v>
      </c>
    </row>
    <row r="219" spans="2:6" x14ac:dyDescent="0.25">
      <c r="B219" s="68" t="s">
        <v>154</v>
      </c>
      <c r="C219" s="14">
        <v>0</v>
      </c>
      <c r="D219" s="14" t="s">
        <v>14</v>
      </c>
      <c r="E219" s="14" t="s">
        <v>32</v>
      </c>
      <c r="F219" s="69">
        <v>1</v>
      </c>
    </row>
    <row r="220" spans="2:6" x14ac:dyDescent="0.25">
      <c r="B220" s="68" t="s">
        <v>5</v>
      </c>
      <c r="C220" s="14">
        <v>2</v>
      </c>
      <c r="D220" s="14" t="s">
        <v>14</v>
      </c>
      <c r="E220" s="14" t="s">
        <v>32</v>
      </c>
      <c r="F220" s="69">
        <v>3</v>
      </c>
    </row>
    <row r="221" spans="2:6" x14ac:dyDescent="0.25">
      <c r="B221" s="68" t="s">
        <v>5</v>
      </c>
      <c r="C221" s="14">
        <v>3</v>
      </c>
      <c r="D221" s="14" t="s">
        <v>14</v>
      </c>
      <c r="E221" s="14" t="s">
        <v>32</v>
      </c>
      <c r="F221" s="69">
        <v>3</v>
      </c>
    </row>
    <row r="222" spans="2:6" x14ac:dyDescent="0.25">
      <c r="B222" s="68" t="s">
        <v>5</v>
      </c>
      <c r="C222" s="14">
        <v>4</v>
      </c>
      <c r="D222" s="14" t="s">
        <v>14</v>
      </c>
      <c r="E222" s="14" t="s">
        <v>32</v>
      </c>
      <c r="F222" s="69">
        <v>3</v>
      </c>
    </row>
    <row r="223" spans="2:6" x14ac:dyDescent="0.25">
      <c r="B223" s="68" t="s">
        <v>6</v>
      </c>
      <c r="C223" s="14">
        <v>2</v>
      </c>
      <c r="D223" s="14" t="s">
        <v>14</v>
      </c>
      <c r="E223" s="14" t="s">
        <v>32</v>
      </c>
      <c r="F223" s="69">
        <v>3</v>
      </c>
    </row>
    <row r="224" spans="2:6" x14ac:dyDescent="0.25">
      <c r="B224" s="68" t="s">
        <v>6</v>
      </c>
      <c r="C224" s="14">
        <v>3</v>
      </c>
      <c r="D224" s="14" t="s">
        <v>14</v>
      </c>
      <c r="E224" s="14" t="s">
        <v>32</v>
      </c>
      <c r="F224" s="69">
        <v>3</v>
      </c>
    </row>
    <row r="225" spans="2:6" x14ac:dyDescent="0.25">
      <c r="B225" s="68" t="s">
        <v>6</v>
      </c>
      <c r="C225" s="14">
        <v>4</v>
      </c>
      <c r="D225" s="14" t="s">
        <v>14</v>
      </c>
      <c r="E225" s="14" t="s">
        <v>32</v>
      </c>
      <c r="F225" s="69">
        <v>3</v>
      </c>
    </row>
    <row r="226" spans="2:6" x14ac:dyDescent="0.25">
      <c r="B226" s="68" t="s">
        <v>202</v>
      </c>
      <c r="C226" s="14">
        <v>0</v>
      </c>
      <c r="D226" s="14" t="s">
        <v>15</v>
      </c>
      <c r="E226" s="14" t="s">
        <v>32</v>
      </c>
      <c r="F226" s="69">
        <v>3</v>
      </c>
    </row>
    <row r="227" spans="2:6" x14ac:dyDescent="0.25">
      <c r="B227" s="68" t="s">
        <v>1</v>
      </c>
      <c r="C227" s="14">
        <v>0</v>
      </c>
      <c r="D227" s="14" t="s">
        <v>14</v>
      </c>
      <c r="E227" s="14" t="s">
        <v>32</v>
      </c>
      <c r="F227" s="69">
        <v>9</v>
      </c>
    </row>
    <row r="228" spans="2:6" x14ac:dyDescent="0.25">
      <c r="B228" s="68" t="s">
        <v>1</v>
      </c>
      <c r="C228" s="14">
        <v>0</v>
      </c>
      <c r="D228" s="14" t="s">
        <v>15</v>
      </c>
      <c r="E228" s="14" t="s">
        <v>32</v>
      </c>
      <c r="F228" s="69">
        <v>13</v>
      </c>
    </row>
    <row r="229" spans="2:6" x14ac:dyDescent="0.25">
      <c r="B229" s="68" t="s">
        <v>4</v>
      </c>
      <c r="C229" s="14">
        <v>4</v>
      </c>
      <c r="D229" s="14" t="s">
        <v>14</v>
      </c>
      <c r="E229" s="14" t="s">
        <v>32</v>
      </c>
      <c r="F229" s="69">
        <v>0</v>
      </c>
    </row>
    <row r="230" spans="2:6" x14ac:dyDescent="0.25">
      <c r="B230" s="68" t="s">
        <v>4</v>
      </c>
      <c r="C230" s="14">
        <v>3</v>
      </c>
      <c r="D230" s="14" t="s">
        <v>14</v>
      </c>
      <c r="E230" s="14" t="s">
        <v>32</v>
      </c>
      <c r="F230" s="69">
        <v>0</v>
      </c>
    </row>
    <row r="231" spans="2:6" x14ac:dyDescent="0.25">
      <c r="B231" s="68" t="s">
        <v>4</v>
      </c>
      <c r="C231" s="14">
        <v>2</v>
      </c>
      <c r="D231" s="14" t="s">
        <v>14</v>
      </c>
      <c r="E231" s="14" t="s">
        <v>32</v>
      </c>
      <c r="F231" s="69">
        <v>0</v>
      </c>
    </row>
    <row r="232" spans="2:6" x14ac:dyDescent="0.25">
      <c r="B232" s="68" t="s">
        <v>4</v>
      </c>
      <c r="C232" s="14">
        <v>1</v>
      </c>
      <c r="D232" s="14" t="s">
        <v>14</v>
      </c>
      <c r="E232" s="14" t="s">
        <v>32</v>
      </c>
      <c r="F232" s="69">
        <v>0</v>
      </c>
    </row>
    <row r="233" spans="2:6" x14ac:dyDescent="0.25">
      <c r="B233" s="68" t="s">
        <v>4</v>
      </c>
      <c r="C233" s="14">
        <v>0</v>
      </c>
      <c r="D233" s="14" t="s">
        <v>14</v>
      </c>
      <c r="E233" s="14" t="s">
        <v>32</v>
      </c>
      <c r="F233" s="69">
        <v>0</v>
      </c>
    </row>
    <row r="234" spans="2:6" x14ac:dyDescent="0.25">
      <c r="B234" s="68" t="s">
        <v>69</v>
      </c>
      <c r="C234" s="14">
        <v>0</v>
      </c>
      <c r="D234" s="14" t="s">
        <v>14</v>
      </c>
      <c r="E234" s="14" t="s">
        <v>44</v>
      </c>
      <c r="F234" s="69">
        <v>1</v>
      </c>
    </row>
    <row r="235" spans="2:6" x14ac:dyDescent="0.25">
      <c r="B235" s="68" t="s">
        <v>69</v>
      </c>
      <c r="C235" s="14">
        <v>0</v>
      </c>
      <c r="D235" s="14" t="s">
        <v>15</v>
      </c>
      <c r="E235" s="14" t="s">
        <v>44</v>
      </c>
      <c r="F235" s="69">
        <v>3</v>
      </c>
    </row>
    <row r="236" spans="2:6" x14ac:dyDescent="0.25">
      <c r="B236" s="68" t="s">
        <v>69</v>
      </c>
      <c r="C236" s="14">
        <v>1</v>
      </c>
      <c r="D236" s="14" t="s">
        <v>81</v>
      </c>
      <c r="E236" s="14" t="s">
        <v>44</v>
      </c>
      <c r="F236" s="69">
        <v>1</v>
      </c>
    </row>
    <row r="237" spans="2:6" x14ac:dyDescent="0.25">
      <c r="B237" s="68" t="s">
        <v>69</v>
      </c>
      <c r="C237" s="14">
        <v>1</v>
      </c>
      <c r="D237" s="14" t="s">
        <v>14</v>
      </c>
      <c r="E237" s="14" t="s">
        <v>44</v>
      </c>
      <c r="F237" s="69">
        <v>1</v>
      </c>
    </row>
    <row r="238" spans="2:6" x14ac:dyDescent="0.25">
      <c r="B238" s="68" t="s">
        <v>69</v>
      </c>
      <c r="C238" s="14">
        <v>1</v>
      </c>
      <c r="D238" s="14" t="s">
        <v>15</v>
      </c>
      <c r="E238" s="14" t="s">
        <v>44</v>
      </c>
      <c r="F238" s="69">
        <v>3</v>
      </c>
    </row>
    <row r="239" spans="2:6" x14ac:dyDescent="0.25">
      <c r="B239" s="68" t="s">
        <v>69</v>
      </c>
      <c r="C239" s="14">
        <v>2</v>
      </c>
      <c r="D239" s="14" t="s">
        <v>81</v>
      </c>
      <c r="E239" s="14" t="s">
        <v>44</v>
      </c>
      <c r="F239" s="69">
        <v>1</v>
      </c>
    </row>
    <row r="240" spans="2:6" x14ac:dyDescent="0.25">
      <c r="B240" s="68" t="s">
        <v>69</v>
      </c>
      <c r="C240" s="14">
        <v>2</v>
      </c>
      <c r="D240" s="14" t="s">
        <v>14</v>
      </c>
      <c r="E240" s="14" t="s">
        <v>44</v>
      </c>
      <c r="F240" s="69">
        <v>1</v>
      </c>
    </row>
    <row r="241" spans="2:6" x14ac:dyDescent="0.25">
      <c r="B241" s="68" t="s">
        <v>69</v>
      </c>
      <c r="C241" s="14">
        <v>2</v>
      </c>
      <c r="D241" s="14" t="s">
        <v>15</v>
      </c>
      <c r="E241" s="14" t="s">
        <v>44</v>
      </c>
      <c r="F241" s="69">
        <v>3</v>
      </c>
    </row>
    <row r="242" spans="2:6" x14ac:dyDescent="0.25">
      <c r="B242" s="68" t="s">
        <v>69</v>
      </c>
      <c r="C242" s="14">
        <v>3</v>
      </c>
      <c r="D242" s="14" t="s">
        <v>81</v>
      </c>
      <c r="E242" s="14" t="s">
        <v>44</v>
      </c>
      <c r="F242" s="69">
        <v>1</v>
      </c>
    </row>
    <row r="243" spans="2:6" x14ac:dyDescent="0.25">
      <c r="B243" s="68" t="s">
        <v>69</v>
      </c>
      <c r="C243" s="14">
        <v>3</v>
      </c>
      <c r="D243" s="14" t="s">
        <v>14</v>
      </c>
      <c r="E243" s="14" t="s">
        <v>44</v>
      </c>
      <c r="F243" s="69">
        <v>1</v>
      </c>
    </row>
    <row r="244" spans="2:6" x14ac:dyDescent="0.25">
      <c r="B244" s="68" t="s">
        <v>69</v>
      </c>
      <c r="C244" s="14">
        <v>3</v>
      </c>
      <c r="D244" s="14" t="s">
        <v>15</v>
      </c>
      <c r="E244" s="14" t="s">
        <v>44</v>
      </c>
      <c r="F244" s="69">
        <v>3</v>
      </c>
    </row>
    <row r="245" spans="2:6" x14ac:dyDescent="0.25">
      <c r="B245" s="68" t="s">
        <v>69</v>
      </c>
      <c r="C245" s="14">
        <v>4</v>
      </c>
      <c r="D245" s="14" t="s">
        <v>81</v>
      </c>
      <c r="E245" s="14" t="s">
        <v>44</v>
      </c>
      <c r="F245" s="69">
        <v>1</v>
      </c>
    </row>
    <row r="246" spans="2:6" x14ac:dyDescent="0.25">
      <c r="B246" s="68" t="s">
        <v>69</v>
      </c>
      <c r="C246" s="14">
        <v>4</v>
      </c>
      <c r="D246" s="14" t="s">
        <v>14</v>
      </c>
      <c r="E246" s="14" t="s">
        <v>44</v>
      </c>
      <c r="F246" s="69">
        <v>1</v>
      </c>
    </row>
    <row r="247" spans="2:6" x14ac:dyDescent="0.25">
      <c r="B247" s="68" t="s">
        <v>69</v>
      </c>
      <c r="C247" s="14">
        <v>4</v>
      </c>
      <c r="D247" s="14" t="s">
        <v>15</v>
      </c>
      <c r="E247" s="14" t="s">
        <v>44</v>
      </c>
      <c r="F247" s="69">
        <v>3</v>
      </c>
    </row>
    <row r="248" spans="2:6" x14ac:dyDescent="0.25">
      <c r="B248" s="68" t="s">
        <v>154</v>
      </c>
      <c r="C248" s="14">
        <v>0</v>
      </c>
      <c r="D248" s="14" t="s">
        <v>14</v>
      </c>
      <c r="E248" s="14" t="s">
        <v>44</v>
      </c>
      <c r="F248" s="69">
        <v>1</v>
      </c>
    </row>
    <row r="249" spans="2:6" x14ac:dyDescent="0.25">
      <c r="B249" s="68" t="s">
        <v>5</v>
      </c>
      <c r="C249" s="14">
        <v>2</v>
      </c>
      <c r="D249" s="14" t="s">
        <v>14</v>
      </c>
      <c r="E249" s="14" t="s">
        <v>44</v>
      </c>
      <c r="F249" s="69">
        <v>4</v>
      </c>
    </row>
    <row r="250" spans="2:6" x14ac:dyDescent="0.25">
      <c r="B250" s="68" t="s">
        <v>5</v>
      </c>
      <c r="C250" s="14">
        <v>3</v>
      </c>
      <c r="D250" s="14" t="s">
        <v>14</v>
      </c>
      <c r="E250" s="14" t="s">
        <v>44</v>
      </c>
      <c r="F250" s="69">
        <v>4</v>
      </c>
    </row>
    <row r="251" spans="2:6" x14ac:dyDescent="0.25">
      <c r="B251" s="68" t="s">
        <v>5</v>
      </c>
      <c r="C251" s="14">
        <v>4</v>
      </c>
      <c r="D251" s="14" t="s">
        <v>14</v>
      </c>
      <c r="E251" s="14" t="s">
        <v>44</v>
      </c>
      <c r="F251" s="69">
        <v>4</v>
      </c>
    </row>
    <row r="252" spans="2:6" x14ac:dyDescent="0.25">
      <c r="B252" s="68" t="s">
        <v>6</v>
      </c>
      <c r="C252" s="14">
        <v>2</v>
      </c>
      <c r="D252" s="14" t="s">
        <v>14</v>
      </c>
      <c r="E252" s="14" t="s">
        <v>44</v>
      </c>
      <c r="F252" s="69">
        <v>3</v>
      </c>
    </row>
    <row r="253" spans="2:6" x14ac:dyDescent="0.25">
      <c r="B253" s="68" t="s">
        <v>6</v>
      </c>
      <c r="C253" s="14">
        <v>3</v>
      </c>
      <c r="D253" s="14" t="s">
        <v>14</v>
      </c>
      <c r="E253" s="14" t="s">
        <v>44</v>
      </c>
      <c r="F253" s="69">
        <v>4</v>
      </c>
    </row>
    <row r="254" spans="2:6" x14ac:dyDescent="0.25">
      <c r="B254" s="68" t="s">
        <v>6</v>
      </c>
      <c r="C254" s="14">
        <v>4</v>
      </c>
      <c r="D254" s="14" t="s">
        <v>14</v>
      </c>
      <c r="E254" s="14" t="s">
        <v>44</v>
      </c>
      <c r="F254" s="69">
        <v>4</v>
      </c>
    </row>
    <row r="255" spans="2:6" x14ac:dyDescent="0.25">
      <c r="B255" s="68" t="s">
        <v>202</v>
      </c>
      <c r="C255" s="14">
        <v>0</v>
      </c>
      <c r="D255" s="14" t="s">
        <v>15</v>
      </c>
      <c r="E255" s="14" t="s">
        <v>44</v>
      </c>
      <c r="F255" s="69">
        <v>4</v>
      </c>
    </row>
    <row r="256" spans="2:6" x14ac:dyDescent="0.25">
      <c r="B256" s="68" t="s">
        <v>1</v>
      </c>
      <c r="C256" s="14">
        <v>0</v>
      </c>
      <c r="D256" s="14" t="s">
        <v>14</v>
      </c>
      <c r="E256" s="14" t="s">
        <v>44</v>
      </c>
      <c r="F256" s="69">
        <v>11</v>
      </c>
    </row>
    <row r="257" spans="2:6" x14ac:dyDescent="0.25">
      <c r="B257" s="68" t="s">
        <v>1</v>
      </c>
      <c r="C257" s="14">
        <v>0</v>
      </c>
      <c r="D257" s="14" t="s">
        <v>15</v>
      </c>
      <c r="E257" s="14" t="s">
        <v>44</v>
      </c>
      <c r="F257" s="69">
        <v>16</v>
      </c>
    </row>
    <row r="258" spans="2:6" x14ac:dyDescent="0.25">
      <c r="B258" s="68" t="s">
        <v>4</v>
      </c>
      <c r="C258" s="14">
        <v>4</v>
      </c>
      <c r="D258" s="14" t="s">
        <v>14</v>
      </c>
      <c r="E258" s="14" t="s">
        <v>44</v>
      </c>
      <c r="F258" s="69">
        <v>3</v>
      </c>
    </row>
    <row r="259" spans="2:6" x14ac:dyDescent="0.25">
      <c r="B259" s="68" t="s">
        <v>4</v>
      </c>
      <c r="C259" s="14">
        <v>3</v>
      </c>
      <c r="D259" s="14" t="s">
        <v>14</v>
      </c>
      <c r="E259" s="14" t="s">
        <v>44</v>
      </c>
      <c r="F259" s="69">
        <v>3</v>
      </c>
    </row>
    <row r="260" spans="2:6" x14ac:dyDescent="0.25">
      <c r="B260" s="68" t="s">
        <v>4</v>
      </c>
      <c r="C260" s="14">
        <v>2</v>
      </c>
      <c r="D260" s="14" t="s">
        <v>14</v>
      </c>
      <c r="E260" s="14" t="s">
        <v>44</v>
      </c>
      <c r="F260" s="69">
        <v>3</v>
      </c>
    </row>
    <row r="261" spans="2:6" x14ac:dyDescent="0.25">
      <c r="B261" s="68" t="s">
        <v>4</v>
      </c>
      <c r="C261" s="14">
        <v>1</v>
      </c>
      <c r="D261" s="14" t="s">
        <v>14</v>
      </c>
      <c r="E261" s="14" t="s">
        <v>44</v>
      </c>
      <c r="F261" s="69">
        <v>3</v>
      </c>
    </row>
    <row r="262" spans="2:6" x14ac:dyDescent="0.25">
      <c r="B262" s="68" t="s">
        <v>4</v>
      </c>
      <c r="C262" s="14">
        <v>0</v>
      </c>
      <c r="D262" s="14" t="s">
        <v>14</v>
      </c>
      <c r="E262" s="14" t="s">
        <v>44</v>
      </c>
      <c r="F262" s="69">
        <v>3</v>
      </c>
    </row>
    <row r="263" spans="2:6" x14ac:dyDescent="0.25">
      <c r="B263" s="68" t="s">
        <v>69</v>
      </c>
      <c r="C263" s="14">
        <v>0</v>
      </c>
      <c r="D263" s="14" t="s">
        <v>14</v>
      </c>
      <c r="E263" s="14" t="s">
        <v>38</v>
      </c>
      <c r="F263" s="69">
        <v>1</v>
      </c>
    </row>
    <row r="264" spans="2:6" x14ac:dyDescent="0.25">
      <c r="B264" s="68" t="s">
        <v>69</v>
      </c>
      <c r="C264" s="14">
        <v>0</v>
      </c>
      <c r="D264" s="14" t="s">
        <v>15</v>
      </c>
      <c r="E264" s="14" t="s">
        <v>38</v>
      </c>
      <c r="F264" s="69">
        <v>2</v>
      </c>
    </row>
    <row r="265" spans="2:6" x14ac:dyDescent="0.25">
      <c r="B265" s="68" t="s">
        <v>69</v>
      </c>
      <c r="C265" s="14">
        <v>1</v>
      </c>
      <c r="D265" s="14" t="s">
        <v>81</v>
      </c>
      <c r="E265" s="14" t="s">
        <v>38</v>
      </c>
      <c r="F265" s="69">
        <v>1</v>
      </c>
    </row>
    <row r="266" spans="2:6" x14ac:dyDescent="0.25">
      <c r="B266" s="68" t="s">
        <v>69</v>
      </c>
      <c r="C266" s="14">
        <v>1</v>
      </c>
      <c r="D266" s="14" t="s">
        <v>14</v>
      </c>
      <c r="E266" s="14" t="s">
        <v>38</v>
      </c>
      <c r="F266" s="69">
        <v>1</v>
      </c>
    </row>
    <row r="267" spans="2:6" x14ac:dyDescent="0.25">
      <c r="B267" s="68" t="s">
        <v>69</v>
      </c>
      <c r="C267" s="14">
        <v>1</v>
      </c>
      <c r="D267" s="14" t="s">
        <v>15</v>
      </c>
      <c r="E267" s="14" t="s">
        <v>38</v>
      </c>
      <c r="F267" s="69">
        <v>2</v>
      </c>
    </row>
    <row r="268" spans="2:6" x14ac:dyDescent="0.25">
      <c r="B268" s="68" t="s">
        <v>69</v>
      </c>
      <c r="C268" s="14">
        <v>2</v>
      </c>
      <c r="D268" s="14" t="s">
        <v>81</v>
      </c>
      <c r="E268" s="14" t="s">
        <v>38</v>
      </c>
      <c r="F268" s="69">
        <v>1</v>
      </c>
    </row>
    <row r="269" spans="2:6" x14ac:dyDescent="0.25">
      <c r="B269" s="68" t="s">
        <v>69</v>
      </c>
      <c r="C269" s="14">
        <v>2</v>
      </c>
      <c r="D269" s="14" t="s">
        <v>14</v>
      </c>
      <c r="E269" s="14" t="s">
        <v>38</v>
      </c>
      <c r="F269" s="69">
        <v>1</v>
      </c>
    </row>
    <row r="270" spans="2:6" x14ac:dyDescent="0.25">
      <c r="B270" s="68" t="s">
        <v>69</v>
      </c>
      <c r="C270" s="14">
        <v>2</v>
      </c>
      <c r="D270" s="14" t="s">
        <v>15</v>
      </c>
      <c r="E270" s="14" t="s">
        <v>38</v>
      </c>
      <c r="F270" s="69">
        <v>2</v>
      </c>
    </row>
    <row r="271" spans="2:6" x14ac:dyDescent="0.25">
      <c r="B271" s="68" t="s">
        <v>69</v>
      </c>
      <c r="C271" s="14">
        <v>3</v>
      </c>
      <c r="D271" s="14" t="s">
        <v>81</v>
      </c>
      <c r="E271" s="14" t="s">
        <v>38</v>
      </c>
      <c r="F271" s="69">
        <v>1</v>
      </c>
    </row>
    <row r="272" spans="2:6" x14ac:dyDescent="0.25">
      <c r="B272" s="68" t="s">
        <v>69</v>
      </c>
      <c r="C272" s="14">
        <v>3</v>
      </c>
      <c r="D272" s="14" t="s">
        <v>14</v>
      </c>
      <c r="E272" s="14" t="s">
        <v>38</v>
      </c>
      <c r="F272" s="69">
        <v>1</v>
      </c>
    </row>
    <row r="273" spans="2:6" x14ac:dyDescent="0.25">
      <c r="B273" s="68" t="s">
        <v>69</v>
      </c>
      <c r="C273" s="14">
        <v>3</v>
      </c>
      <c r="D273" s="14" t="s">
        <v>15</v>
      </c>
      <c r="E273" s="14" t="s">
        <v>38</v>
      </c>
      <c r="F273" s="69">
        <v>2</v>
      </c>
    </row>
    <row r="274" spans="2:6" x14ac:dyDescent="0.25">
      <c r="B274" s="68" t="s">
        <v>69</v>
      </c>
      <c r="C274" s="14">
        <v>4</v>
      </c>
      <c r="D274" s="14" t="s">
        <v>81</v>
      </c>
      <c r="E274" s="14" t="s">
        <v>38</v>
      </c>
      <c r="F274" s="69">
        <v>1</v>
      </c>
    </row>
    <row r="275" spans="2:6" x14ac:dyDescent="0.25">
      <c r="B275" s="68" t="s">
        <v>69</v>
      </c>
      <c r="C275" s="14">
        <v>4</v>
      </c>
      <c r="D275" s="14" t="s">
        <v>14</v>
      </c>
      <c r="E275" s="14" t="s">
        <v>38</v>
      </c>
      <c r="F275" s="69">
        <v>1</v>
      </c>
    </row>
    <row r="276" spans="2:6" x14ac:dyDescent="0.25">
      <c r="B276" s="68" t="s">
        <v>69</v>
      </c>
      <c r="C276" s="14">
        <v>4</v>
      </c>
      <c r="D276" s="14" t="s">
        <v>15</v>
      </c>
      <c r="E276" s="14" t="s">
        <v>38</v>
      </c>
      <c r="F276" s="69">
        <v>2</v>
      </c>
    </row>
    <row r="277" spans="2:6" x14ac:dyDescent="0.25">
      <c r="B277" s="68" t="s">
        <v>154</v>
      </c>
      <c r="C277" s="14">
        <v>0</v>
      </c>
      <c r="D277" s="14" t="s">
        <v>14</v>
      </c>
      <c r="E277" s="14" t="s">
        <v>38</v>
      </c>
      <c r="F277" s="69">
        <v>0</v>
      </c>
    </row>
    <row r="278" spans="2:6" x14ac:dyDescent="0.25">
      <c r="B278" s="68" t="s">
        <v>5</v>
      </c>
      <c r="C278" s="14">
        <v>2</v>
      </c>
      <c r="D278" s="14" t="s">
        <v>14</v>
      </c>
      <c r="E278" s="14" t="s">
        <v>38</v>
      </c>
      <c r="F278" s="69">
        <v>2</v>
      </c>
    </row>
    <row r="279" spans="2:6" x14ac:dyDescent="0.25">
      <c r="B279" s="68" t="s">
        <v>5</v>
      </c>
      <c r="C279" s="14">
        <v>3</v>
      </c>
      <c r="D279" s="14" t="s">
        <v>14</v>
      </c>
      <c r="E279" s="14" t="s">
        <v>38</v>
      </c>
      <c r="F279" s="69">
        <v>2</v>
      </c>
    </row>
    <row r="280" spans="2:6" x14ac:dyDescent="0.25">
      <c r="B280" s="68" t="s">
        <v>5</v>
      </c>
      <c r="C280" s="14">
        <v>4</v>
      </c>
      <c r="D280" s="14" t="s">
        <v>14</v>
      </c>
      <c r="E280" s="14" t="s">
        <v>38</v>
      </c>
      <c r="F280" s="69">
        <v>2</v>
      </c>
    </row>
    <row r="281" spans="2:6" x14ac:dyDescent="0.25">
      <c r="B281" s="68" t="s">
        <v>6</v>
      </c>
      <c r="C281" s="14">
        <v>2</v>
      </c>
      <c r="D281" s="14" t="s">
        <v>14</v>
      </c>
      <c r="E281" s="14" t="s">
        <v>38</v>
      </c>
      <c r="F281" s="69">
        <v>2</v>
      </c>
    </row>
    <row r="282" spans="2:6" x14ac:dyDescent="0.25">
      <c r="B282" s="68" t="s">
        <v>6</v>
      </c>
      <c r="C282" s="14">
        <v>3</v>
      </c>
      <c r="D282" s="14" t="s">
        <v>14</v>
      </c>
      <c r="E282" s="14" t="s">
        <v>38</v>
      </c>
      <c r="F282" s="69">
        <v>2</v>
      </c>
    </row>
    <row r="283" spans="2:6" x14ac:dyDescent="0.25">
      <c r="B283" s="68" t="s">
        <v>6</v>
      </c>
      <c r="C283" s="14">
        <v>4</v>
      </c>
      <c r="D283" s="14" t="s">
        <v>14</v>
      </c>
      <c r="E283" s="14" t="s">
        <v>38</v>
      </c>
      <c r="F283" s="69">
        <v>2</v>
      </c>
    </row>
    <row r="284" spans="2:6" x14ac:dyDescent="0.25">
      <c r="B284" s="68" t="s">
        <v>202</v>
      </c>
      <c r="C284" s="14">
        <v>0</v>
      </c>
      <c r="D284" s="14" t="s">
        <v>15</v>
      </c>
      <c r="E284" s="14" t="s">
        <v>38</v>
      </c>
      <c r="F284" s="69">
        <v>3</v>
      </c>
    </row>
    <row r="285" spans="2:6" x14ac:dyDescent="0.25">
      <c r="B285" s="68" t="s">
        <v>1</v>
      </c>
      <c r="C285" s="14">
        <v>0</v>
      </c>
      <c r="D285" s="14" t="s">
        <v>14</v>
      </c>
      <c r="E285" s="14" t="s">
        <v>38</v>
      </c>
      <c r="F285" s="69">
        <v>8</v>
      </c>
    </row>
    <row r="286" spans="2:6" x14ac:dyDescent="0.25">
      <c r="B286" s="68" t="s">
        <v>1</v>
      </c>
      <c r="C286" s="14">
        <v>0</v>
      </c>
      <c r="D286" s="14" t="s">
        <v>15</v>
      </c>
      <c r="E286" s="14" t="s">
        <v>38</v>
      </c>
      <c r="F286" s="69">
        <v>11</v>
      </c>
    </row>
    <row r="287" spans="2:6" x14ac:dyDescent="0.25">
      <c r="B287" s="68" t="s">
        <v>4</v>
      </c>
      <c r="C287" s="14">
        <v>4</v>
      </c>
      <c r="D287" s="14" t="s">
        <v>14</v>
      </c>
      <c r="E287" s="14" t="s">
        <v>38</v>
      </c>
      <c r="F287" s="69">
        <v>0</v>
      </c>
    </row>
    <row r="288" spans="2:6" x14ac:dyDescent="0.25">
      <c r="B288" s="68" t="s">
        <v>4</v>
      </c>
      <c r="C288" s="14">
        <v>3</v>
      </c>
      <c r="D288" s="14" t="s">
        <v>14</v>
      </c>
      <c r="E288" s="14" t="s">
        <v>38</v>
      </c>
      <c r="F288" s="69">
        <v>0</v>
      </c>
    </row>
    <row r="289" spans="2:6" x14ac:dyDescent="0.25">
      <c r="B289" s="68" t="s">
        <v>4</v>
      </c>
      <c r="C289" s="14">
        <v>2</v>
      </c>
      <c r="D289" s="14" t="s">
        <v>14</v>
      </c>
      <c r="E289" s="14" t="s">
        <v>38</v>
      </c>
      <c r="F289" s="69">
        <v>0</v>
      </c>
    </row>
    <row r="290" spans="2:6" x14ac:dyDescent="0.25">
      <c r="B290" s="68" t="s">
        <v>4</v>
      </c>
      <c r="C290" s="14">
        <v>1</v>
      </c>
      <c r="D290" s="14" t="s">
        <v>14</v>
      </c>
      <c r="E290" s="14" t="s">
        <v>38</v>
      </c>
      <c r="F290" s="69">
        <v>0</v>
      </c>
    </row>
    <row r="291" spans="2:6" x14ac:dyDescent="0.25">
      <c r="B291" s="68" t="s">
        <v>4</v>
      </c>
      <c r="C291" s="14">
        <v>0</v>
      </c>
      <c r="D291" s="14" t="s">
        <v>14</v>
      </c>
      <c r="E291" s="14" t="s">
        <v>38</v>
      </c>
      <c r="F291" s="69">
        <v>0</v>
      </c>
    </row>
    <row r="292" spans="2:6" x14ac:dyDescent="0.25">
      <c r="B292" s="68" t="s">
        <v>69</v>
      </c>
      <c r="C292" s="14">
        <v>0</v>
      </c>
      <c r="D292" s="14" t="s">
        <v>14</v>
      </c>
      <c r="E292" s="14" t="s">
        <v>40</v>
      </c>
      <c r="F292" s="69">
        <v>1</v>
      </c>
    </row>
    <row r="293" spans="2:6" x14ac:dyDescent="0.25">
      <c r="B293" s="68" t="s">
        <v>69</v>
      </c>
      <c r="C293" s="14">
        <v>0</v>
      </c>
      <c r="D293" s="14" t="s">
        <v>15</v>
      </c>
      <c r="E293" s="14" t="s">
        <v>40</v>
      </c>
      <c r="F293" s="69">
        <v>2</v>
      </c>
    </row>
    <row r="294" spans="2:6" x14ac:dyDescent="0.25">
      <c r="B294" s="68" t="s">
        <v>69</v>
      </c>
      <c r="C294" s="14">
        <v>1</v>
      </c>
      <c r="D294" s="14" t="s">
        <v>81</v>
      </c>
      <c r="E294" s="14" t="s">
        <v>40</v>
      </c>
      <c r="F294" s="69">
        <v>1</v>
      </c>
    </row>
    <row r="295" spans="2:6" x14ac:dyDescent="0.25">
      <c r="B295" s="68" t="s">
        <v>69</v>
      </c>
      <c r="C295" s="14">
        <v>1</v>
      </c>
      <c r="D295" s="14" t="s">
        <v>14</v>
      </c>
      <c r="E295" s="14" t="s">
        <v>40</v>
      </c>
      <c r="F295" s="69">
        <v>1</v>
      </c>
    </row>
    <row r="296" spans="2:6" x14ac:dyDescent="0.25">
      <c r="B296" s="68" t="s">
        <v>69</v>
      </c>
      <c r="C296" s="14">
        <v>1</v>
      </c>
      <c r="D296" s="14" t="s">
        <v>15</v>
      </c>
      <c r="E296" s="14" t="s">
        <v>40</v>
      </c>
      <c r="F296" s="69">
        <v>2</v>
      </c>
    </row>
    <row r="297" spans="2:6" x14ac:dyDescent="0.25">
      <c r="B297" s="68" t="s">
        <v>69</v>
      </c>
      <c r="C297" s="14">
        <v>2</v>
      </c>
      <c r="D297" s="14" t="s">
        <v>81</v>
      </c>
      <c r="E297" s="14" t="s">
        <v>40</v>
      </c>
      <c r="F297" s="69">
        <v>1</v>
      </c>
    </row>
    <row r="298" spans="2:6" x14ac:dyDescent="0.25">
      <c r="B298" s="68" t="s">
        <v>69</v>
      </c>
      <c r="C298" s="14">
        <v>2</v>
      </c>
      <c r="D298" s="14" t="s">
        <v>14</v>
      </c>
      <c r="E298" s="14" t="s">
        <v>40</v>
      </c>
      <c r="F298" s="69">
        <v>1</v>
      </c>
    </row>
    <row r="299" spans="2:6" x14ac:dyDescent="0.25">
      <c r="B299" s="68" t="s">
        <v>69</v>
      </c>
      <c r="C299" s="14">
        <v>2</v>
      </c>
      <c r="D299" s="14" t="s">
        <v>15</v>
      </c>
      <c r="E299" s="14" t="s">
        <v>40</v>
      </c>
      <c r="F299" s="69">
        <v>2</v>
      </c>
    </row>
    <row r="300" spans="2:6" x14ac:dyDescent="0.25">
      <c r="B300" s="68" t="s">
        <v>69</v>
      </c>
      <c r="C300" s="14">
        <v>3</v>
      </c>
      <c r="D300" s="14" t="s">
        <v>81</v>
      </c>
      <c r="E300" s="14" t="s">
        <v>40</v>
      </c>
      <c r="F300" s="69">
        <v>1</v>
      </c>
    </row>
    <row r="301" spans="2:6" x14ac:dyDescent="0.25">
      <c r="B301" s="68" t="s">
        <v>69</v>
      </c>
      <c r="C301" s="14">
        <v>3</v>
      </c>
      <c r="D301" s="14" t="s">
        <v>14</v>
      </c>
      <c r="E301" s="14" t="s">
        <v>40</v>
      </c>
      <c r="F301" s="69">
        <v>1</v>
      </c>
    </row>
    <row r="302" spans="2:6" x14ac:dyDescent="0.25">
      <c r="B302" s="68" t="s">
        <v>69</v>
      </c>
      <c r="C302" s="14">
        <v>3</v>
      </c>
      <c r="D302" s="14" t="s">
        <v>15</v>
      </c>
      <c r="E302" s="14" t="s">
        <v>40</v>
      </c>
      <c r="F302" s="69">
        <v>2</v>
      </c>
    </row>
    <row r="303" spans="2:6" x14ac:dyDescent="0.25">
      <c r="B303" s="68" t="s">
        <v>69</v>
      </c>
      <c r="C303" s="14">
        <v>4</v>
      </c>
      <c r="D303" s="14" t="s">
        <v>81</v>
      </c>
      <c r="E303" s="14" t="s">
        <v>40</v>
      </c>
      <c r="F303" s="69">
        <v>1</v>
      </c>
    </row>
    <row r="304" spans="2:6" x14ac:dyDescent="0.25">
      <c r="B304" s="68" t="s">
        <v>69</v>
      </c>
      <c r="C304" s="14">
        <v>4</v>
      </c>
      <c r="D304" s="14" t="s">
        <v>14</v>
      </c>
      <c r="E304" s="14" t="s">
        <v>40</v>
      </c>
      <c r="F304" s="69">
        <v>1</v>
      </c>
    </row>
    <row r="305" spans="2:6" x14ac:dyDescent="0.25">
      <c r="B305" s="68" t="s">
        <v>69</v>
      </c>
      <c r="C305" s="14">
        <v>4</v>
      </c>
      <c r="D305" s="14" t="s">
        <v>15</v>
      </c>
      <c r="E305" s="14" t="s">
        <v>40</v>
      </c>
      <c r="F305" s="69">
        <v>2</v>
      </c>
    </row>
    <row r="306" spans="2:6" x14ac:dyDescent="0.25">
      <c r="B306" s="68" t="s">
        <v>154</v>
      </c>
      <c r="C306" s="14">
        <v>0</v>
      </c>
      <c r="D306" s="14" t="s">
        <v>14</v>
      </c>
      <c r="E306" s="14" t="s">
        <v>40</v>
      </c>
      <c r="F306" s="69">
        <v>0</v>
      </c>
    </row>
    <row r="307" spans="2:6" x14ac:dyDescent="0.25">
      <c r="B307" s="68" t="s">
        <v>5</v>
      </c>
      <c r="C307" s="14">
        <v>2</v>
      </c>
      <c r="D307" s="14" t="s">
        <v>14</v>
      </c>
      <c r="E307" s="14" t="s">
        <v>40</v>
      </c>
      <c r="F307" s="69">
        <v>2</v>
      </c>
    </row>
    <row r="308" spans="2:6" x14ac:dyDescent="0.25">
      <c r="B308" s="68" t="s">
        <v>5</v>
      </c>
      <c r="C308" s="14">
        <v>3</v>
      </c>
      <c r="D308" s="14" t="s">
        <v>14</v>
      </c>
      <c r="E308" s="14" t="s">
        <v>40</v>
      </c>
      <c r="F308" s="69">
        <v>2</v>
      </c>
    </row>
    <row r="309" spans="2:6" x14ac:dyDescent="0.25">
      <c r="B309" s="68" t="s">
        <v>5</v>
      </c>
      <c r="C309" s="14">
        <v>4</v>
      </c>
      <c r="D309" s="14" t="s">
        <v>14</v>
      </c>
      <c r="E309" s="14" t="s">
        <v>40</v>
      </c>
      <c r="F309" s="69">
        <v>2</v>
      </c>
    </row>
    <row r="310" spans="2:6" x14ac:dyDescent="0.25">
      <c r="B310" s="68" t="s">
        <v>6</v>
      </c>
      <c r="C310" s="14">
        <v>2</v>
      </c>
      <c r="D310" s="14" t="s">
        <v>14</v>
      </c>
      <c r="E310" s="14" t="s">
        <v>40</v>
      </c>
      <c r="F310" s="69">
        <v>2</v>
      </c>
    </row>
    <row r="311" spans="2:6" x14ac:dyDescent="0.25">
      <c r="B311" s="68" t="s">
        <v>6</v>
      </c>
      <c r="C311" s="14">
        <v>3</v>
      </c>
      <c r="D311" s="14" t="s">
        <v>14</v>
      </c>
      <c r="E311" s="14" t="s">
        <v>40</v>
      </c>
      <c r="F311" s="69">
        <v>2</v>
      </c>
    </row>
    <row r="312" spans="2:6" x14ac:dyDescent="0.25">
      <c r="B312" s="68" t="s">
        <v>6</v>
      </c>
      <c r="C312" s="14">
        <v>4</v>
      </c>
      <c r="D312" s="14" t="s">
        <v>14</v>
      </c>
      <c r="E312" s="14" t="s">
        <v>40</v>
      </c>
      <c r="F312" s="69">
        <v>2</v>
      </c>
    </row>
    <row r="313" spans="2:6" x14ac:dyDescent="0.25">
      <c r="B313" s="68" t="s">
        <v>202</v>
      </c>
      <c r="C313" s="14">
        <v>0</v>
      </c>
      <c r="D313" s="14" t="s">
        <v>15</v>
      </c>
      <c r="E313" s="14" t="s">
        <v>40</v>
      </c>
      <c r="F313" s="69">
        <v>2</v>
      </c>
    </row>
    <row r="314" spans="2:6" x14ac:dyDescent="0.25">
      <c r="B314" s="68" t="s">
        <v>1</v>
      </c>
      <c r="C314" s="14">
        <v>0</v>
      </c>
      <c r="D314" s="14" t="s">
        <v>14</v>
      </c>
      <c r="E314" s="14" t="s">
        <v>40</v>
      </c>
      <c r="F314" s="69">
        <v>7</v>
      </c>
    </row>
    <row r="315" spans="2:6" x14ac:dyDescent="0.25">
      <c r="B315" s="68" t="s">
        <v>1</v>
      </c>
      <c r="C315" s="14">
        <v>0</v>
      </c>
      <c r="D315" s="14" t="s">
        <v>15</v>
      </c>
      <c r="E315" s="14" t="s">
        <v>40</v>
      </c>
      <c r="F315" s="69">
        <v>10</v>
      </c>
    </row>
    <row r="316" spans="2:6" x14ac:dyDescent="0.25">
      <c r="B316" s="68" t="s">
        <v>4</v>
      </c>
      <c r="C316" s="14">
        <v>4</v>
      </c>
      <c r="D316" s="14" t="s">
        <v>14</v>
      </c>
      <c r="E316" s="14" t="s">
        <v>40</v>
      </c>
      <c r="F316" s="69">
        <v>0</v>
      </c>
    </row>
    <row r="317" spans="2:6" x14ac:dyDescent="0.25">
      <c r="B317" s="68" t="s">
        <v>4</v>
      </c>
      <c r="C317" s="14">
        <v>3</v>
      </c>
      <c r="D317" s="14" t="s">
        <v>14</v>
      </c>
      <c r="E317" s="14" t="s">
        <v>40</v>
      </c>
      <c r="F317" s="69">
        <v>0</v>
      </c>
    </row>
    <row r="318" spans="2:6" x14ac:dyDescent="0.25">
      <c r="B318" s="68" t="s">
        <v>4</v>
      </c>
      <c r="C318" s="14">
        <v>2</v>
      </c>
      <c r="D318" s="14" t="s">
        <v>14</v>
      </c>
      <c r="E318" s="14" t="s">
        <v>40</v>
      </c>
      <c r="F318" s="69">
        <v>0</v>
      </c>
    </row>
    <row r="319" spans="2:6" x14ac:dyDescent="0.25">
      <c r="B319" s="68" t="s">
        <v>4</v>
      </c>
      <c r="C319" s="14">
        <v>1</v>
      </c>
      <c r="D319" s="14" t="s">
        <v>14</v>
      </c>
      <c r="E319" s="14" t="s">
        <v>40</v>
      </c>
      <c r="F319" s="69">
        <v>0</v>
      </c>
    </row>
    <row r="320" spans="2:6" x14ac:dyDescent="0.25">
      <c r="B320" s="68" t="s">
        <v>4</v>
      </c>
      <c r="C320" s="14">
        <v>0</v>
      </c>
      <c r="D320" s="14" t="s">
        <v>14</v>
      </c>
      <c r="E320" s="14" t="s">
        <v>40</v>
      </c>
      <c r="F320" s="69">
        <v>0</v>
      </c>
    </row>
    <row r="321" spans="2:6" x14ac:dyDescent="0.25">
      <c r="B321" s="68" t="s">
        <v>69</v>
      </c>
      <c r="C321" s="14">
        <v>0</v>
      </c>
      <c r="D321" s="14" t="s">
        <v>14</v>
      </c>
      <c r="E321" s="14" t="s">
        <v>201</v>
      </c>
      <c r="F321" s="69">
        <v>2</v>
      </c>
    </row>
    <row r="322" spans="2:6" x14ac:dyDescent="0.25">
      <c r="B322" s="68" t="s">
        <v>69</v>
      </c>
      <c r="C322" s="14">
        <v>0</v>
      </c>
      <c r="D322" s="14" t="s">
        <v>15</v>
      </c>
      <c r="E322" s="14" t="s">
        <v>201</v>
      </c>
      <c r="F322" s="69">
        <v>4</v>
      </c>
    </row>
    <row r="323" spans="2:6" x14ac:dyDescent="0.25">
      <c r="B323" s="68" t="s">
        <v>69</v>
      </c>
      <c r="C323" s="14">
        <v>1</v>
      </c>
      <c r="D323" s="14" t="s">
        <v>81</v>
      </c>
      <c r="E323" s="14" t="s">
        <v>201</v>
      </c>
      <c r="F323" s="69">
        <v>1</v>
      </c>
    </row>
    <row r="324" spans="2:6" x14ac:dyDescent="0.25">
      <c r="B324" s="68" t="s">
        <v>69</v>
      </c>
      <c r="C324" s="14">
        <v>1</v>
      </c>
      <c r="D324" s="14" t="s">
        <v>14</v>
      </c>
      <c r="E324" s="14" t="s">
        <v>201</v>
      </c>
      <c r="F324" s="69">
        <v>2</v>
      </c>
    </row>
    <row r="325" spans="2:6" x14ac:dyDescent="0.25">
      <c r="B325" s="68" t="s">
        <v>69</v>
      </c>
      <c r="C325" s="14">
        <v>1</v>
      </c>
      <c r="D325" s="14" t="s">
        <v>15</v>
      </c>
      <c r="E325" s="14" t="s">
        <v>201</v>
      </c>
      <c r="F325" s="69">
        <v>4</v>
      </c>
    </row>
    <row r="326" spans="2:6" x14ac:dyDescent="0.25">
      <c r="B326" s="68" t="s">
        <v>69</v>
      </c>
      <c r="C326" s="14">
        <v>2</v>
      </c>
      <c r="D326" s="14" t="s">
        <v>81</v>
      </c>
      <c r="E326" s="14" t="s">
        <v>201</v>
      </c>
      <c r="F326" s="69">
        <v>1</v>
      </c>
    </row>
    <row r="327" spans="2:6" x14ac:dyDescent="0.25">
      <c r="B327" s="68" t="s">
        <v>69</v>
      </c>
      <c r="C327" s="14">
        <v>2</v>
      </c>
      <c r="D327" s="14" t="s">
        <v>14</v>
      </c>
      <c r="E327" s="14" t="s">
        <v>201</v>
      </c>
      <c r="F327" s="69">
        <v>2</v>
      </c>
    </row>
    <row r="328" spans="2:6" x14ac:dyDescent="0.25">
      <c r="B328" s="68" t="s">
        <v>69</v>
      </c>
      <c r="C328" s="14">
        <v>2</v>
      </c>
      <c r="D328" s="14" t="s">
        <v>15</v>
      </c>
      <c r="E328" s="14" t="s">
        <v>201</v>
      </c>
      <c r="F328" s="69">
        <v>4</v>
      </c>
    </row>
    <row r="329" spans="2:6" x14ac:dyDescent="0.25">
      <c r="B329" s="68" t="s">
        <v>69</v>
      </c>
      <c r="C329" s="14">
        <v>3</v>
      </c>
      <c r="D329" s="14" t="s">
        <v>81</v>
      </c>
      <c r="E329" s="14" t="s">
        <v>201</v>
      </c>
      <c r="F329" s="69">
        <v>1</v>
      </c>
    </row>
    <row r="330" spans="2:6" x14ac:dyDescent="0.25">
      <c r="B330" s="68" t="s">
        <v>69</v>
      </c>
      <c r="C330" s="14">
        <v>3</v>
      </c>
      <c r="D330" s="14" t="s">
        <v>14</v>
      </c>
      <c r="E330" s="14" t="s">
        <v>201</v>
      </c>
      <c r="F330" s="69">
        <v>2</v>
      </c>
    </row>
    <row r="331" spans="2:6" x14ac:dyDescent="0.25">
      <c r="B331" s="68" t="s">
        <v>69</v>
      </c>
      <c r="C331" s="14">
        <v>3</v>
      </c>
      <c r="D331" s="14" t="s">
        <v>15</v>
      </c>
      <c r="E331" s="14" t="s">
        <v>201</v>
      </c>
      <c r="F331" s="69">
        <v>4</v>
      </c>
    </row>
    <row r="332" spans="2:6" x14ac:dyDescent="0.25">
      <c r="B332" s="68" t="s">
        <v>69</v>
      </c>
      <c r="C332" s="14">
        <v>4</v>
      </c>
      <c r="D332" s="14" t="s">
        <v>81</v>
      </c>
      <c r="E332" s="14" t="s">
        <v>201</v>
      </c>
      <c r="F332" s="69">
        <v>1</v>
      </c>
    </row>
    <row r="333" spans="2:6" x14ac:dyDescent="0.25">
      <c r="B333" s="68" t="s">
        <v>69</v>
      </c>
      <c r="C333" s="14">
        <v>4</v>
      </c>
      <c r="D333" s="14" t="s">
        <v>14</v>
      </c>
      <c r="E333" s="14" t="s">
        <v>201</v>
      </c>
      <c r="F333" s="69">
        <v>2</v>
      </c>
    </row>
    <row r="334" spans="2:6" x14ac:dyDescent="0.25">
      <c r="B334" s="68" t="s">
        <v>69</v>
      </c>
      <c r="C334" s="14">
        <v>4</v>
      </c>
      <c r="D334" s="14" t="s">
        <v>15</v>
      </c>
      <c r="E334" s="14" t="s">
        <v>201</v>
      </c>
      <c r="F334" s="69">
        <v>4</v>
      </c>
    </row>
    <row r="335" spans="2:6" x14ac:dyDescent="0.25">
      <c r="B335" s="68" t="s">
        <v>154</v>
      </c>
      <c r="C335" s="14">
        <v>0</v>
      </c>
      <c r="D335" s="14" t="s">
        <v>14</v>
      </c>
      <c r="E335" s="14" t="s">
        <v>201</v>
      </c>
      <c r="F335" s="69">
        <v>1</v>
      </c>
    </row>
    <row r="336" spans="2:6" x14ac:dyDescent="0.25">
      <c r="B336" s="68" t="s">
        <v>5</v>
      </c>
      <c r="C336" s="14">
        <v>2</v>
      </c>
      <c r="D336" s="14" t="s">
        <v>14</v>
      </c>
      <c r="E336" s="14" t="s">
        <v>201</v>
      </c>
      <c r="F336" s="69"/>
    </row>
    <row r="337" spans="2:6" x14ac:dyDescent="0.25">
      <c r="B337" s="68" t="s">
        <v>5</v>
      </c>
      <c r="C337" s="14">
        <v>3</v>
      </c>
      <c r="D337" s="14" t="s">
        <v>14</v>
      </c>
      <c r="E337" s="14" t="s">
        <v>201</v>
      </c>
      <c r="F337" s="69"/>
    </row>
    <row r="338" spans="2:6" x14ac:dyDescent="0.25">
      <c r="B338" s="68" t="s">
        <v>5</v>
      </c>
      <c r="C338" s="14">
        <v>4</v>
      </c>
      <c r="D338" s="14" t="s">
        <v>14</v>
      </c>
      <c r="E338" s="14" t="s">
        <v>201</v>
      </c>
      <c r="F338" s="69"/>
    </row>
    <row r="339" spans="2:6" x14ac:dyDescent="0.25">
      <c r="B339" s="68" t="s">
        <v>6</v>
      </c>
      <c r="C339" s="14">
        <v>2</v>
      </c>
      <c r="D339" s="14" t="s">
        <v>14</v>
      </c>
      <c r="E339" s="14" t="s">
        <v>201</v>
      </c>
      <c r="F339" s="69"/>
    </row>
    <row r="340" spans="2:6" x14ac:dyDescent="0.25">
      <c r="B340" s="68" t="s">
        <v>6</v>
      </c>
      <c r="C340" s="14">
        <v>3</v>
      </c>
      <c r="D340" s="14" t="s">
        <v>14</v>
      </c>
      <c r="E340" s="14" t="s">
        <v>201</v>
      </c>
      <c r="F340" s="69"/>
    </row>
    <row r="341" spans="2:6" x14ac:dyDescent="0.25">
      <c r="B341" s="68" t="s">
        <v>6</v>
      </c>
      <c r="C341" s="14">
        <v>4</v>
      </c>
      <c r="D341" s="14" t="s">
        <v>14</v>
      </c>
      <c r="E341" s="14" t="s">
        <v>201</v>
      </c>
      <c r="F341" s="69"/>
    </row>
    <row r="342" spans="2:6" x14ac:dyDescent="0.25">
      <c r="B342" s="68" t="s">
        <v>202</v>
      </c>
      <c r="C342" s="14">
        <v>0</v>
      </c>
      <c r="D342" s="14" t="s">
        <v>15</v>
      </c>
      <c r="E342" s="14" t="s">
        <v>201</v>
      </c>
      <c r="F342" s="69">
        <v>5</v>
      </c>
    </row>
    <row r="343" spans="2:6" x14ac:dyDescent="0.25">
      <c r="B343" s="68" t="s">
        <v>1</v>
      </c>
      <c r="C343" s="14">
        <v>0</v>
      </c>
      <c r="D343" s="14" t="s">
        <v>14</v>
      </c>
      <c r="E343" s="14" t="s">
        <v>201</v>
      </c>
      <c r="F343" s="69">
        <v>14</v>
      </c>
    </row>
    <row r="344" spans="2:6" x14ac:dyDescent="0.25">
      <c r="B344" s="68" t="s">
        <v>1</v>
      </c>
      <c r="C344" s="14">
        <v>0</v>
      </c>
      <c r="D344" s="14" t="s">
        <v>15</v>
      </c>
      <c r="E344" s="14" t="s">
        <v>201</v>
      </c>
      <c r="F344" s="69">
        <v>21</v>
      </c>
    </row>
    <row r="345" spans="2:6" x14ac:dyDescent="0.25">
      <c r="B345" s="68" t="s">
        <v>4</v>
      </c>
      <c r="C345" s="14">
        <v>4</v>
      </c>
      <c r="D345" s="14" t="s">
        <v>14</v>
      </c>
      <c r="E345" s="14" t="s">
        <v>201</v>
      </c>
      <c r="F345" s="69"/>
    </row>
    <row r="346" spans="2:6" x14ac:dyDescent="0.25">
      <c r="B346" s="68" t="s">
        <v>4</v>
      </c>
      <c r="C346" s="14">
        <v>3</v>
      </c>
      <c r="D346" s="14" t="s">
        <v>14</v>
      </c>
      <c r="E346" s="14" t="s">
        <v>201</v>
      </c>
      <c r="F346" s="69"/>
    </row>
    <row r="347" spans="2:6" x14ac:dyDescent="0.25">
      <c r="B347" s="68" t="s">
        <v>4</v>
      </c>
      <c r="C347" s="14">
        <v>2</v>
      </c>
      <c r="D347" s="14" t="s">
        <v>14</v>
      </c>
      <c r="E347" s="14" t="s">
        <v>201</v>
      </c>
      <c r="F347" s="69"/>
    </row>
    <row r="348" spans="2:6" x14ac:dyDescent="0.25">
      <c r="B348" s="68" t="s">
        <v>4</v>
      </c>
      <c r="C348" s="14">
        <v>1</v>
      </c>
      <c r="D348" s="14" t="s">
        <v>14</v>
      </c>
      <c r="E348" s="14" t="s">
        <v>201</v>
      </c>
      <c r="F348" s="69"/>
    </row>
    <row r="349" spans="2:6" x14ac:dyDescent="0.25">
      <c r="B349" s="68" t="s">
        <v>4</v>
      </c>
      <c r="C349" s="14">
        <v>0</v>
      </c>
      <c r="D349" s="14" t="s">
        <v>14</v>
      </c>
      <c r="E349" s="14" t="s">
        <v>201</v>
      </c>
      <c r="F349" s="69"/>
    </row>
    <row r="350" spans="2:6" x14ac:dyDescent="0.25">
      <c r="B350" s="68" t="s">
        <v>69</v>
      </c>
      <c r="C350" s="14">
        <v>0</v>
      </c>
      <c r="D350" s="14" t="s">
        <v>14</v>
      </c>
      <c r="E350" s="14" t="s">
        <v>53</v>
      </c>
      <c r="F350" s="69">
        <v>1</v>
      </c>
    </row>
    <row r="351" spans="2:6" x14ac:dyDescent="0.25">
      <c r="B351" s="68" t="s">
        <v>69</v>
      </c>
      <c r="C351" s="14">
        <v>0</v>
      </c>
      <c r="D351" s="14" t="s">
        <v>15</v>
      </c>
      <c r="E351" s="14" t="s">
        <v>53</v>
      </c>
      <c r="F351" s="69">
        <v>3</v>
      </c>
    </row>
    <row r="352" spans="2:6" x14ac:dyDescent="0.25">
      <c r="B352" s="68" t="s">
        <v>69</v>
      </c>
      <c r="C352" s="14">
        <v>1</v>
      </c>
      <c r="D352" s="14" t="s">
        <v>81</v>
      </c>
      <c r="E352" s="14" t="s">
        <v>53</v>
      </c>
      <c r="F352" s="69">
        <v>1</v>
      </c>
    </row>
    <row r="353" spans="2:6" x14ac:dyDescent="0.25">
      <c r="B353" s="68" t="s">
        <v>69</v>
      </c>
      <c r="C353" s="14">
        <v>1</v>
      </c>
      <c r="D353" s="14" t="s">
        <v>14</v>
      </c>
      <c r="E353" s="14" t="s">
        <v>53</v>
      </c>
      <c r="F353" s="69">
        <v>1</v>
      </c>
    </row>
    <row r="354" spans="2:6" x14ac:dyDescent="0.25">
      <c r="B354" s="68" t="s">
        <v>69</v>
      </c>
      <c r="C354" s="14">
        <v>1</v>
      </c>
      <c r="D354" s="14" t="s">
        <v>15</v>
      </c>
      <c r="E354" s="14" t="s">
        <v>53</v>
      </c>
      <c r="F354" s="69">
        <v>3</v>
      </c>
    </row>
    <row r="355" spans="2:6" x14ac:dyDescent="0.25">
      <c r="B355" s="68" t="s">
        <v>69</v>
      </c>
      <c r="C355" s="14">
        <v>2</v>
      </c>
      <c r="D355" s="14" t="s">
        <v>81</v>
      </c>
      <c r="E355" s="14" t="s">
        <v>53</v>
      </c>
      <c r="F355" s="69">
        <v>1</v>
      </c>
    </row>
    <row r="356" spans="2:6" x14ac:dyDescent="0.25">
      <c r="B356" s="68" t="s">
        <v>69</v>
      </c>
      <c r="C356" s="14">
        <v>2</v>
      </c>
      <c r="D356" s="14" t="s">
        <v>14</v>
      </c>
      <c r="E356" s="14" t="s">
        <v>53</v>
      </c>
      <c r="F356" s="69">
        <v>1</v>
      </c>
    </row>
    <row r="357" spans="2:6" x14ac:dyDescent="0.25">
      <c r="B357" s="68" t="s">
        <v>69</v>
      </c>
      <c r="C357" s="14">
        <v>2</v>
      </c>
      <c r="D357" s="14" t="s">
        <v>15</v>
      </c>
      <c r="E357" s="14" t="s">
        <v>53</v>
      </c>
      <c r="F357" s="69">
        <v>3</v>
      </c>
    </row>
    <row r="358" spans="2:6" x14ac:dyDescent="0.25">
      <c r="B358" s="68" t="s">
        <v>69</v>
      </c>
      <c r="C358" s="14">
        <v>3</v>
      </c>
      <c r="D358" s="14" t="s">
        <v>81</v>
      </c>
      <c r="E358" s="14" t="s">
        <v>53</v>
      </c>
      <c r="F358" s="69">
        <v>1</v>
      </c>
    </row>
    <row r="359" spans="2:6" x14ac:dyDescent="0.25">
      <c r="B359" s="68" t="s">
        <v>69</v>
      </c>
      <c r="C359" s="14">
        <v>3</v>
      </c>
      <c r="D359" s="14" t="s">
        <v>14</v>
      </c>
      <c r="E359" s="14" t="s">
        <v>53</v>
      </c>
      <c r="F359" s="69">
        <v>1</v>
      </c>
    </row>
    <row r="360" spans="2:6" x14ac:dyDescent="0.25">
      <c r="B360" s="68" t="s">
        <v>69</v>
      </c>
      <c r="C360" s="14">
        <v>3</v>
      </c>
      <c r="D360" s="14" t="s">
        <v>15</v>
      </c>
      <c r="E360" s="14" t="s">
        <v>53</v>
      </c>
      <c r="F360" s="69">
        <v>3</v>
      </c>
    </row>
    <row r="361" spans="2:6" x14ac:dyDescent="0.25">
      <c r="B361" s="68" t="s">
        <v>69</v>
      </c>
      <c r="C361" s="14">
        <v>4</v>
      </c>
      <c r="D361" s="14" t="s">
        <v>81</v>
      </c>
      <c r="E361" s="14" t="s">
        <v>53</v>
      </c>
      <c r="F361" s="69">
        <v>1</v>
      </c>
    </row>
    <row r="362" spans="2:6" x14ac:dyDescent="0.25">
      <c r="B362" s="68" t="s">
        <v>69</v>
      </c>
      <c r="C362" s="14">
        <v>4</v>
      </c>
      <c r="D362" s="14" t="s">
        <v>14</v>
      </c>
      <c r="E362" s="14" t="s">
        <v>53</v>
      </c>
      <c r="F362" s="69">
        <v>1</v>
      </c>
    </row>
    <row r="363" spans="2:6" x14ac:dyDescent="0.25">
      <c r="B363" s="68" t="s">
        <v>69</v>
      </c>
      <c r="C363" s="14">
        <v>4</v>
      </c>
      <c r="D363" s="14" t="s">
        <v>15</v>
      </c>
      <c r="E363" s="14" t="s">
        <v>53</v>
      </c>
      <c r="F363" s="69">
        <v>3</v>
      </c>
    </row>
    <row r="364" spans="2:6" x14ac:dyDescent="0.25">
      <c r="B364" s="68" t="s">
        <v>154</v>
      </c>
      <c r="C364" s="14">
        <v>0</v>
      </c>
      <c r="D364" s="14" t="s">
        <v>14</v>
      </c>
      <c r="E364" s="14" t="s">
        <v>53</v>
      </c>
      <c r="F364" s="69">
        <v>1</v>
      </c>
    </row>
    <row r="365" spans="2:6" x14ac:dyDescent="0.25">
      <c r="B365" s="68" t="s">
        <v>5</v>
      </c>
      <c r="C365" s="14">
        <v>2</v>
      </c>
      <c r="D365" s="14" t="s">
        <v>14</v>
      </c>
      <c r="E365" s="14" t="s">
        <v>53</v>
      </c>
      <c r="F365" s="69">
        <v>4</v>
      </c>
    </row>
    <row r="366" spans="2:6" x14ac:dyDescent="0.25">
      <c r="B366" s="68" t="s">
        <v>5</v>
      </c>
      <c r="C366" s="14">
        <v>3</v>
      </c>
      <c r="D366" s="14" t="s">
        <v>14</v>
      </c>
      <c r="E366" s="14" t="s">
        <v>53</v>
      </c>
      <c r="F366" s="69">
        <v>4</v>
      </c>
    </row>
    <row r="367" spans="2:6" x14ac:dyDescent="0.25">
      <c r="B367" s="68" t="s">
        <v>5</v>
      </c>
      <c r="C367" s="14">
        <v>4</v>
      </c>
      <c r="D367" s="14" t="s">
        <v>14</v>
      </c>
      <c r="E367" s="14" t="s">
        <v>53</v>
      </c>
      <c r="F367" s="69">
        <v>4</v>
      </c>
    </row>
    <row r="368" spans="2:6" x14ac:dyDescent="0.25">
      <c r="B368" s="68" t="s">
        <v>6</v>
      </c>
      <c r="C368" s="14">
        <v>2</v>
      </c>
      <c r="D368" s="14" t="s">
        <v>14</v>
      </c>
      <c r="E368" s="14" t="s">
        <v>53</v>
      </c>
      <c r="F368" s="69">
        <v>4</v>
      </c>
    </row>
    <row r="369" spans="2:6" x14ac:dyDescent="0.25">
      <c r="B369" s="68" t="s">
        <v>6</v>
      </c>
      <c r="C369" s="14">
        <v>3</v>
      </c>
      <c r="D369" s="14" t="s">
        <v>14</v>
      </c>
      <c r="E369" s="14" t="s">
        <v>53</v>
      </c>
      <c r="F369" s="69">
        <v>4</v>
      </c>
    </row>
    <row r="370" spans="2:6" x14ac:dyDescent="0.25">
      <c r="B370" s="68" t="s">
        <v>6</v>
      </c>
      <c r="C370" s="14">
        <v>4</v>
      </c>
      <c r="D370" s="14" t="s">
        <v>14</v>
      </c>
      <c r="E370" s="14" t="s">
        <v>53</v>
      </c>
      <c r="F370" s="69">
        <v>4</v>
      </c>
    </row>
    <row r="371" spans="2:6" x14ac:dyDescent="0.25">
      <c r="B371" s="68" t="s">
        <v>202</v>
      </c>
      <c r="C371" s="14">
        <v>0</v>
      </c>
      <c r="D371" s="14" t="s">
        <v>15</v>
      </c>
      <c r="E371" s="14" t="s">
        <v>53</v>
      </c>
      <c r="F371" s="69">
        <v>4</v>
      </c>
    </row>
    <row r="372" spans="2:6" x14ac:dyDescent="0.25">
      <c r="B372" s="68" t="s">
        <v>1</v>
      </c>
      <c r="C372" s="14">
        <v>0</v>
      </c>
      <c r="D372" s="14" t="s">
        <v>14</v>
      </c>
      <c r="E372" s="14" t="s">
        <v>53</v>
      </c>
      <c r="F372" s="69">
        <v>12</v>
      </c>
    </row>
    <row r="373" spans="2:6" x14ac:dyDescent="0.25">
      <c r="B373" s="68" t="s">
        <v>1</v>
      </c>
      <c r="C373" s="14">
        <v>0</v>
      </c>
      <c r="D373" s="14" t="s">
        <v>15</v>
      </c>
      <c r="E373" s="14" t="s">
        <v>53</v>
      </c>
      <c r="F373" s="69">
        <v>18</v>
      </c>
    </row>
    <row r="374" spans="2:6" x14ac:dyDescent="0.25">
      <c r="B374" s="68" t="s">
        <v>4</v>
      </c>
      <c r="C374" s="14">
        <v>4</v>
      </c>
      <c r="D374" s="14" t="s">
        <v>14</v>
      </c>
      <c r="E374" s="14" t="s">
        <v>53</v>
      </c>
      <c r="F374" s="69">
        <v>3</v>
      </c>
    </row>
    <row r="375" spans="2:6" x14ac:dyDescent="0.25">
      <c r="B375" s="68" t="s">
        <v>4</v>
      </c>
      <c r="C375" s="14">
        <v>3</v>
      </c>
      <c r="D375" s="14" t="s">
        <v>14</v>
      </c>
      <c r="E375" s="14" t="s">
        <v>53</v>
      </c>
      <c r="F375" s="69">
        <v>3</v>
      </c>
    </row>
    <row r="376" spans="2:6" x14ac:dyDescent="0.25">
      <c r="B376" s="68" t="s">
        <v>4</v>
      </c>
      <c r="C376" s="14">
        <v>2</v>
      </c>
      <c r="D376" s="14" t="s">
        <v>14</v>
      </c>
      <c r="E376" s="14" t="s">
        <v>53</v>
      </c>
      <c r="F376" s="69">
        <v>3</v>
      </c>
    </row>
    <row r="377" spans="2:6" x14ac:dyDescent="0.25">
      <c r="B377" s="68" t="s">
        <v>4</v>
      </c>
      <c r="C377" s="14">
        <v>1</v>
      </c>
      <c r="D377" s="14" t="s">
        <v>14</v>
      </c>
      <c r="E377" s="14" t="s">
        <v>53</v>
      </c>
      <c r="F377" s="69">
        <v>3</v>
      </c>
    </row>
    <row r="378" spans="2:6" x14ac:dyDescent="0.25">
      <c r="B378" s="68" t="s">
        <v>4</v>
      </c>
      <c r="C378" s="14">
        <v>0</v>
      </c>
      <c r="D378" s="14" t="s">
        <v>14</v>
      </c>
      <c r="E378" s="14" t="s">
        <v>53</v>
      </c>
      <c r="F378" s="69">
        <v>3</v>
      </c>
    </row>
    <row r="379" spans="2:6" x14ac:dyDescent="0.25">
      <c r="B379" s="68" t="s">
        <v>69</v>
      </c>
      <c r="C379" s="14">
        <v>0</v>
      </c>
      <c r="D379" s="14" t="s">
        <v>14</v>
      </c>
      <c r="E379" s="14" t="s">
        <v>113</v>
      </c>
      <c r="F379" s="69">
        <v>1</v>
      </c>
    </row>
    <row r="380" spans="2:6" x14ac:dyDescent="0.25">
      <c r="B380" s="68" t="s">
        <v>69</v>
      </c>
      <c r="C380" s="14">
        <v>0</v>
      </c>
      <c r="D380" s="14" t="s">
        <v>15</v>
      </c>
      <c r="E380" s="14" t="s">
        <v>113</v>
      </c>
      <c r="F380" s="69">
        <v>3</v>
      </c>
    </row>
    <row r="381" spans="2:6" x14ac:dyDescent="0.25">
      <c r="B381" s="68" t="s">
        <v>69</v>
      </c>
      <c r="C381" s="14">
        <v>1</v>
      </c>
      <c r="D381" s="14" t="s">
        <v>81</v>
      </c>
      <c r="E381" s="14" t="s">
        <v>113</v>
      </c>
      <c r="F381" s="69">
        <v>1</v>
      </c>
    </row>
    <row r="382" spans="2:6" x14ac:dyDescent="0.25">
      <c r="B382" s="68" t="s">
        <v>69</v>
      </c>
      <c r="C382" s="14">
        <v>1</v>
      </c>
      <c r="D382" s="14" t="s">
        <v>14</v>
      </c>
      <c r="E382" s="14" t="s">
        <v>113</v>
      </c>
      <c r="F382" s="69">
        <v>1</v>
      </c>
    </row>
    <row r="383" spans="2:6" x14ac:dyDescent="0.25">
      <c r="B383" s="68" t="s">
        <v>69</v>
      </c>
      <c r="C383" s="14">
        <v>1</v>
      </c>
      <c r="D383" s="14" t="s">
        <v>15</v>
      </c>
      <c r="E383" s="14" t="s">
        <v>113</v>
      </c>
      <c r="F383" s="69">
        <v>3</v>
      </c>
    </row>
    <row r="384" spans="2:6" x14ac:dyDescent="0.25">
      <c r="B384" s="68" t="s">
        <v>69</v>
      </c>
      <c r="C384" s="14">
        <v>2</v>
      </c>
      <c r="D384" s="14" t="s">
        <v>81</v>
      </c>
      <c r="E384" s="14" t="s">
        <v>113</v>
      </c>
      <c r="F384" s="69">
        <v>1</v>
      </c>
    </row>
    <row r="385" spans="2:6" x14ac:dyDescent="0.25">
      <c r="B385" s="68" t="s">
        <v>69</v>
      </c>
      <c r="C385" s="14">
        <v>2</v>
      </c>
      <c r="D385" s="14" t="s">
        <v>14</v>
      </c>
      <c r="E385" s="14" t="s">
        <v>113</v>
      </c>
      <c r="F385" s="69">
        <v>1</v>
      </c>
    </row>
    <row r="386" spans="2:6" x14ac:dyDescent="0.25">
      <c r="B386" s="68" t="s">
        <v>69</v>
      </c>
      <c r="C386" s="14">
        <v>2</v>
      </c>
      <c r="D386" s="14" t="s">
        <v>15</v>
      </c>
      <c r="E386" s="14" t="s">
        <v>113</v>
      </c>
      <c r="F386" s="69">
        <v>3</v>
      </c>
    </row>
    <row r="387" spans="2:6" x14ac:dyDescent="0.25">
      <c r="B387" s="68" t="s">
        <v>69</v>
      </c>
      <c r="C387" s="14">
        <v>3</v>
      </c>
      <c r="D387" s="14" t="s">
        <v>81</v>
      </c>
      <c r="E387" s="14" t="s">
        <v>113</v>
      </c>
      <c r="F387" s="69">
        <v>1</v>
      </c>
    </row>
    <row r="388" spans="2:6" x14ac:dyDescent="0.25">
      <c r="B388" s="68" t="s">
        <v>69</v>
      </c>
      <c r="C388" s="14">
        <v>3</v>
      </c>
      <c r="D388" s="14" t="s">
        <v>14</v>
      </c>
      <c r="E388" s="14" t="s">
        <v>113</v>
      </c>
      <c r="F388" s="69">
        <v>1</v>
      </c>
    </row>
    <row r="389" spans="2:6" x14ac:dyDescent="0.25">
      <c r="B389" s="68" t="s">
        <v>69</v>
      </c>
      <c r="C389" s="14">
        <v>3</v>
      </c>
      <c r="D389" s="14" t="s">
        <v>15</v>
      </c>
      <c r="E389" s="14" t="s">
        <v>113</v>
      </c>
      <c r="F389" s="69">
        <v>3</v>
      </c>
    </row>
    <row r="390" spans="2:6" x14ac:dyDescent="0.25">
      <c r="B390" s="68" t="s">
        <v>69</v>
      </c>
      <c r="C390" s="14">
        <v>4</v>
      </c>
      <c r="D390" s="14" t="s">
        <v>81</v>
      </c>
      <c r="E390" s="14" t="s">
        <v>113</v>
      </c>
      <c r="F390" s="69">
        <v>1</v>
      </c>
    </row>
    <row r="391" spans="2:6" x14ac:dyDescent="0.25">
      <c r="B391" s="68" t="s">
        <v>69</v>
      </c>
      <c r="C391" s="14">
        <v>4</v>
      </c>
      <c r="D391" s="14" t="s">
        <v>14</v>
      </c>
      <c r="E391" s="14" t="s">
        <v>113</v>
      </c>
      <c r="F391" s="69">
        <v>1</v>
      </c>
    </row>
    <row r="392" spans="2:6" x14ac:dyDescent="0.25">
      <c r="B392" s="68" t="s">
        <v>69</v>
      </c>
      <c r="C392" s="14">
        <v>4</v>
      </c>
      <c r="D392" s="14" t="s">
        <v>15</v>
      </c>
      <c r="E392" s="14" t="s">
        <v>113</v>
      </c>
      <c r="F392" s="69">
        <v>3</v>
      </c>
    </row>
    <row r="393" spans="2:6" x14ac:dyDescent="0.25">
      <c r="B393" s="68" t="s">
        <v>154</v>
      </c>
      <c r="C393" s="14">
        <v>0</v>
      </c>
      <c r="D393" s="14" t="s">
        <v>14</v>
      </c>
      <c r="E393" s="14" t="s">
        <v>113</v>
      </c>
      <c r="F393" s="69">
        <v>1</v>
      </c>
    </row>
    <row r="394" spans="2:6" x14ac:dyDescent="0.25">
      <c r="B394" s="68" t="s">
        <v>5</v>
      </c>
      <c r="C394" s="14">
        <v>2</v>
      </c>
      <c r="D394" s="14" t="s">
        <v>14</v>
      </c>
      <c r="E394" s="14" t="s">
        <v>113</v>
      </c>
      <c r="F394" s="69">
        <v>3</v>
      </c>
    </row>
    <row r="395" spans="2:6" x14ac:dyDescent="0.25">
      <c r="B395" s="68" t="s">
        <v>5</v>
      </c>
      <c r="C395" s="14">
        <v>3</v>
      </c>
      <c r="D395" s="14" t="s">
        <v>14</v>
      </c>
      <c r="E395" s="14" t="s">
        <v>113</v>
      </c>
      <c r="F395" s="69">
        <v>3</v>
      </c>
    </row>
    <row r="396" spans="2:6" x14ac:dyDescent="0.25">
      <c r="B396" s="68" t="s">
        <v>5</v>
      </c>
      <c r="C396" s="14">
        <v>4</v>
      </c>
      <c r="D396" s="14" t="s">
        <v>14</v>
      </c>
      <c r="E396" s="14" t="s">
        <v>113</v>
      </c>
      <c r="F396" s="69">
        <v>3</v>
      </c>
    </row>
    <row r="397" spans="2:6" x14ac:dyDescent="0.25">
      <c r="B397" s="68" t="s">
        <v>6</v>
      </c>
      <c r="C397" s="14">
        <v>2</v>
      </c>
      <c r="D397" s="14" t="s">
        <v>14</v>
      </c>
      <c r="E397" s="14" t="s">
        <v>113</v>
      </c>
      <c r="F397" s="69">
        <v>3</v>
      </c>
    </row>
    <row r="398" spans="2:6" x14ac:dyDescent="0.25">
      <c r="B398" s="68" t="s">
        <v>6</v>
      </c>
      <c r="C398" s="14">
        <v>3</v>
      </c>
      <c r="D398" s="14" t="s">
        <v>14</v>
      </c>
      <c r="E398" s="14" t="s">
        <v>113</v>
      </c>
      <c r="F398" s="69">
        <v>3</v>
      </c>
    </row>
    <row r="399" spans="2:6" x14ac:dyDescent="0.25">
      <c r="B399" s="68" t="s">
        <v>6</v>
      </c>
      <c r="C399" s="14">
        <v>4</v>
      </c>
      <c r="D399" s="14" t="s">
        <v>14</v>
      </c>
      <c r="E399" s="14" t="s">
        <v>113</v>
      </c>
      <c r="F399" s="69">
        <v>3</v>
      </c>
    </row>
    <row r="400" spans="2:6" x14ac:dyDescent="0.25">
      <c r="B400" s="68" t="s">
        <v>202</v>
      </c>
      <c r="C400" s="14">
        <v>0</v>
      </c>
      <c r="D400" s="14" t="s">
        <v>15</v>
      </c>
      <c r="E400" s="14" t="s">
        <v>113</v>
      </c>
      <c r="F400" s="69">
        <v>4</v>
      </c>
    </row>
    <row r="401" spans="2:6" x14ac:dyDescent="0.25">
      <c r="B401" s="68" t="s">
        <v>1</v>
      </c>
      <c r="C401" s="14">
        <v>0</v>
      </c>
      <c r="D401" s="14" t="s">
        <v>14</v>
      </c>
      <c r="E401" s="14" t="s">
        <v>113</v>
      </c>
      <c r="F401" s="69">
        <v>10</v>
      </c>
    </row>
    <row r="402" spans="2:6" x14ac:dyDescent="0.25">
      <c r="B402" s="68" t="s">
        <v>1</v>
      </c>
      <c r="C402" s="14">
        <v>0</v>
      </c>
      <c r="D402" s="14" t="s">
        <v>15</v>
      </c>
      <c r="E402" s="14" t="s">
        <v>113</v>
      </c>
      <c r="F402" s="69">
        <v>15</v>
      </c>
    </row>
    <row r="403" spans="2:6" x14ac:dyDescent="0.25">
      <c r="B403" s="68" t="s">
        <v>4</v>
      </c>
      <c r="C403" s="14">
        <v>4</v>
      </c>
      <c r="D403" s="14" t="s">
        <v>14</v>
      </c>
      <c r="E403" s="14" t="s">
        <v>113</v>
      </c>
      <c r="F403" s="69">
        <v>0</v>
      </c>
    </row>
    <row r="404" spans="2:6" x14ac:dyDescent="0.25">
      <c r="B404" s="68" t="s">
        <v>4</v>
      </c>
      <c r="C404" s="14">
        <v>3</v>
      </c>
      <c r="D404" s="14" t="s">
        <v>14</v>
      </c>
      <c r="E404" s="14" t="s">
        <v>113</v>
      </c>
      <c r="F404" s="69">
        <v>0</v>
      </c>
    </row>
    <row r="405" spans="2:6" x14ac:dyDescent="0.25">
      <c r="B405" s="68" t="s">
        <v>4</v>
      </c>
      <c r="C405" s="14">
        <v>2</v>
      </c>
      <c r="D405" s="14" t="s">
        <v>14</v>
      </c>
      <c r="E405" s="14" t="s">
        <v>113</v>
      </c>
      <c r="F405" s="69">
        <v>0</v>
      </c>
    </row>
    <row r="406" spans="2:6" x14ac:dyDescent="0.25">
      <c r="B406" s="68" t="s">
        <v>4</v>
      </c>
      <c r="C406" s="14">
        <v>1</v>
      </c>
      <c r="D406" s="14" t="s">
        <v>14</v>
      </c>
      <c r="E406" s="14" t="s">
        <v>113</v>
      </c>
      <c r="F406" s="69">
        <v>0</v>
      </c>
    </row>
    <row r="407" spans="2:6" x14ac:dyDescent="0.25">
      <c r="B407" s="68" t="s">
        <v>4</v>
      </c>
      <c r="C407" s="14">
        <v>0</v>
      </c>
      <c r="D407" s="14" t="s">
        <v>14</v>
      </c>
      <c r="E407" s="14" t="s">
        <v>113</v>
      </c>
      <c r="F407" s="69">
        <v>0</v>
      </c>
    </row>
    <row r="408" spans="2:6" x14ac:dyDescent="0.25">
      <c r="B408" s="68" t="s">
        <v>69</v>
      </c>
      <c r="C408" s="14">
        <v>0</v>
      </c>
      <c r="D408" s="14" t="s">
        <v>14</v>
      </c>
      <c r="E408" s="14" t="s">
        <v>111</v>
      </c>
      <c r="F408" s="69">
        <v>5</v>
      </c>
    </row>
    <row r="409" spans="2:6" x14ac:dyDescent="0.25">
      <c r="B409" s="68" t="s">
        <v>69</v>
      </c>
      <c r="C409" s="14">
        <v>0</v>
      </c>
      <c r="D409" s="14" t="s">
        <v>15</v>
      </c>
      <c r="E409" s="14" t="s">
        <v>111</v>
      </c>
      <c r="F409" s="69">
        <v>11</v>
      </c>
    </row>
    <row r="410" spans="2:6" x14ac:dyDescent="0.25">
      <c r="B410" s="68" t="s">
        <v>69</v>
      </c>
      <c r="C410" s="14">
        <v>1</v>
      </c>
      <c r="D410" s="14" t="s">
        <v>81</v>
      </c>
      <c r="E410" s="14" t="s">
        <v>111</v>
      </c>
      <c r="F410" s="69">
        <v>4</v>
      </c>
    </row>
    <row r="411" spans="2:6" x14ac:dyDescent="0.25">
      <c r="B411" s="68" t="s">
        <v>69</v>
      </c>
      <c r="C411" s="14">
        <v>1</v>
      </c>
      <c r="D411" s="14" t="s">
        <v>14</v>
      </c>
      <c r="E411" s="14" t="s">
        <v>111</v>
      </c>
      <c r="F411" s="69">
        <v>5</v>
      </c>
    </row>
    <row r="412" spans="2:6" x14ac:dyDescent="0.25">
      <c r="B412" s="68" t="s">
        <v>69</v>
      </c>
      <c r="C412" s="14">
        <v>1</v>
      </c>
      <c r="D412" s="14" t="s">
        <v>15</v>
      </c>
      <c r="E412" s="14" t="s">
        <v>111</v>
      </c>
      <c r="F412" s="69">
        <v>11</v>
      </c>
    </row>
    <row r="413" spans="2:6" x14ac:dyDescent="0.25">
      <c r="B413" s="68" t="s">
        <v>69</v>
      </c>
      <c r="C413" s="14">
        <v>2</v>
      </c>
      <c r="D413" s="14" t="s">
        <v>81</v>
      </c>
      <c r="E413" s="14" t="s">
        <v>111</v>
      </c>
      <c r="F413" s="69">
        <v>4</v>
      </c>
    </row>
    <row r="414" spans="2:6" x14ac:dyDescent="0.25">
      <c r="B414" s="68" t="s">
        <v>69</v>
      </c>
      <c r="C414" s="14">
        <v>2</v>
      </c>
      <c r="D414" s="14" t="s">
        <v>14</v>
      </c>
      <c r="E414" s="14" t="s">
        <v>111</v>
      </c>
      <c r="F414" s="69">
        <v>5</v>
      </c>
    </row>
    <row r="415" spans="2:6" x14ac:dyDescent="0.25">
      <c r="B415" s="68" t="s">
        <v>69</v>
      </c>
      <c r="C415" s="14">
        <v>2</v>
      </c>
      <c r="D415" s="14" t="s">
        <v>15</v>
      </c>
      <c r="E415" s="14" t="s">
        <v>111</v>
      </c>
      <c r="F415" s="69">
        <v>11</v>
      </c>
    </row>
    <row r="416" spans="2:6" x14ac:dyDescent="0.25">
      <c r="B416" s="68" t="s">
        <v>69</v>
      </c>
      <c r="C416" s="14">
        <v>3</v>
      </c>
      <c r="D416" s="14" t="s">
        <v>81</v>
      </c>
      <c r="E416" s="14" t="s">
        <v>111</v>
      </c>
      <c r="F416" s="69">
        <v>4</v>
      </c>
    </row>
    <row r="417" spans="2:6" x14ac:dyDescent="0.25">
      <c r="B417" s="68" t="s">
        <v>69</v>
      </c>
      <c r="C417" s="14">
        <v>3</v>
      </c>
      <c r="D417" s="14" t="s">
        <v>14</v>
      </c>
      <c r="E417" s="14" t="s">
        <v>111</v>
      </c>
      <c r="F417" s="69">
        <v>5</v>
      </c>
    </row>
    <row r="418" spans="2:6" x14ac:dyDescent="0.25">
      <c r="B418" s="68" t="s">
        <v>69</v>
      </c>
      <c r="C418" s="14">
        <v>3</v>
      </c>
      <c r="D418" s="14" t="s">
        <v>15</v>
      </c>
      <c r="E418" s="14" t="s">
        <v>111</v>
      </c>
      <c r="F418" s="69">
        <v>11</v>
      </c>
    </row>
    <row r="419" spans="2:6" x14ac:dyDescent="0.25">
      <c r="B419" s="68" t="s">
        <v>69</v>
      </c>
      <c r="C419" s="14">
        <v>4</v>
      </c>
      <c r="D419" s="14" t="s">
        <v>81</v>
      </c>
      <c r="E419" s="14" t="s">
        <v>111</v>
      </c>
      <c r="F419" s="69">
        <v>4</v>
      </c>
    </row>
    <row r="420" spans="2:6" x14ac:dyDescent="0.25">
      <c r="B420" s="68" t="s">
        <v>69</v>
      </c>
      <c r="C420" s="14">
        <v>4</v>
      </c>
      <c r="D420" s="14" t="s">
        <v>14</v>
      </c>
      <c r="E420" s="14" t="s">
        <v>111</v>
      </c>
      <c r="F420" s="69">
        <v>5</v>
      </c>
    </row>
    <row r="421" spans="2:6" x14ac:dyDescent="0.25">
      <c r="B421" s="68" t="s">
        <v>69</v>
      </c>
      <c r="C421" s="14">
        <v>4</v>
      </c>
      <c r="D421" s="14" t="s">
        <v>15</v>
      </c>
      <c r="E421" s="14" t="s">
        <v>111</v>
      </c>
      <c r="F421" s="69">
        <v>11</v>
      </c>
    </row>
    <row r="422" spans="2:6" x14ac:dyDescent="0.25">
      <c r="B422" s="68" t="s">
        <v>154</v>
      </c>
      <c r="C422" s="14">
        <v>0</v>
      </c>
      <c r="D422" s="14" t="s">
        <v>14</v>
      </c>
      <c r="E422" s="14" t="s">
        <v>111</v>
      </c>
      <c r="F422" s="69">
        <v>3</v>
      </c>
    </row>
    <row r="423" spans="2:6" x14ac:dyDescent="0.25">
      <c r="B423" s="68" t="s">
        <v>5</v>
      </c>
      <c r="C423" s="14">
        <v>2</v>
      </c>
      <c r="D423" s="14" t="s">
        <v>14</v>
      </c>
      <c r="E423" s="14" t="s">
        <v>111</v>
      </c>
      <c r="F423" s="69">
        <v>9</v>
      </c>
    </row>
    <row r="424" spans="2:6" x14ac:dyDescent="0.25">
      <c r="B424" s="68" t="s">
        <v>5</v>
      </c>
      <c r="C424" s="14">
        <v>3</v>
      </c>
      <c r="D424" s="14" t="s">
        <v>14</v>
      </c>
      <c r="E424" s="14" t="s">
        <v>111</v>
      </c>
      <c r="F424" s="69">
        <v>9</v>
      </c>
    </row>
    <row r="425" spans="2:6" x14ac:dyDescent="0.25">
      <c r="B425" s="68" t="s">
        <v>5</v>
      </c>
      <c r="C425" s="14">
        <v>4</v>
      </c>
      <c r="D425" s="14" t="s">
        <v>14</v>
      </c>
      <c r="E425" s="14" t="s">
        <v>111</v>
      </c>
      <c r="F425" s="69">
        <v>9</v>
      </c>
    </row>
    <row r="426" spans="2:6" x14ac:dyDescent="0.25">
      <c r="B426" s="68" t="s">
        <v>6</v>
      </c>
      <c r="C426" s="14">
        <v>2</v>
      </c>
      <c r="D426" s="14" t="s">
        <v>14</v>
      </c>
      <c r="E426" s="14" t="s">
        <v>111</v>
      </c>
      <c r="F426" s="69">
        <v>9</v>
      </c>
    </row>
    <row r="427" spans="2:6" x14ac:dyDescent="0.25">
      <c r="B427" s="68" t="s">
        <v>6</v>
      </c>
      <c r="C427" s="14">
        <v>3</v>
      </c>
      <c r="D427" s="14" t="s">
        <v>14</v>
      </c>
      <c r="E427" s="14" t="s">
        <v>111</v>
      </c>
      <c r="F427" s="69">
        <v>9</v>
      </c>
    </row>
    <row r="428" spans="2:6" x14ac:dyDescent="0.25">
      <c r="B428" s="68" t="s">
        <v>6</v>
      </c>
      <c r="C428" s="14">
        <v>4</v>
      </c>
      <c r="D428" s="14" t="s">
        <v>14</v>
      </c>
      <c r="E428" s="14" t="s">
        <v>111</v>
      </c>
      <c r="F428" s="69">
        <v>9</v>
      </c>
    </row>
    <row r="429" spans="2:6" x14ac:dyDescent="0.25">
      <c r="B429" s="68" t="s">
        <v>202</v>
      </c>
      <c r="C429" s="14">
        <v>0</v>
      </c>
      <c r="D429" s="14" t="s">
        <v>15</v>
      </c>
      <c r="E429" s="14" t="s">
        <v>111</v>
      </c>
      <c r="F429" s="69">
        <v>14</v>
      </c>
    </row>
    <row r="430" spans="2:6" x14ac:dyDescent="0.25">
      <c r="B430" s="68" t="s">
        <v>1</v>
      </c>
      <c r="C430" s="14">
        <v>0</v>
      </c>
      <c r="D430" s="14" t="s">
        <v>14</v>
      </c>
      <c r="E430" s="14" t="s">
        <v>111</v>
      </c>
      <c r="F430" s="69">
        <v>36</v>
      </c>
    </row>
    <row r="431" spans="2:6" x14ac:dyDescent="0.25">
      <c r="B431" s="68" t="s">
        <v>1</v>
      </c>
      <c r="C431" s="14">
        <v>0</v>
      </c>
      <c r="D431" s="14" t="s">
        <v>15</v>
      </c>
      <c r="E431" s="14" t="s">
        <v>111</v>
      </c>
      <c r="F431" s="69">
        <v>55</v>
      </c>
    </row>
    <row r="432" spans="2:6" x14ac:dyDescent="0.25">
      <c r="B432" s="68" t="s">
        <v>4</v>
      </c>
      <c r="C432" s="14">
        <v>4</v>
      </c>
      <c r="D432" s="14" t="s">
        <v>14</v>
      </c>
      <c r="E432" s="14" t="s">
        <v>111</v>
      </c>
      <c r="F432" s="69">
        <v>9</v>
      </c>
    </row>
    <row r="433" spans="2:6" x14ac:dyDescent="0.25">
      <c r="B433" s="68" t="s">
        <v>4</v>
      </c>
      <c r="C433" s="14">
        <v>3</v>
      </c>
      <c r="D433" s="14" t="s">
        <v>14</v>
      </c>
      <c r="E433" s="14" t="s">
        <v>111</v>
      </c>
      <c r="F433" s="69">
        <v>9</v>
      </c>
    </row>
    <row r="434" spans="2:6" x14ac:dyDescent="0.25">
      <c r="B434" s="68" t="s">
        <v>4</v>
      </c>
      <c r="C434" s="14">
        <v>2</v>
      </c>
      <c r="D434" s="14" t="s">
        <v>14</v>
      </c>
      <c r="E434" s="14" t="s">
        <v>111</v>
      </c>
      <c r="F434" s="69">
        <v>9</v>
      </c>
    </row>
    <row r="435" spans="2:6" x14ac:dyDescent="0.25">
      <c r="B435" s="68" t="s">
        <v>4</v>
      </c>
      <c r="C435" s="14">
        <v>1</v>
      </c>
      <c r="D435" s="14" t="s">
        <v>14</v>
      </c>
      <c r="E435" s="14" t="s">
        <v>111</v>
      </c>
      <c r="F435" s="69">
        <v>9</v>
      </c>
    </row>
    <row r="436" spans="2:6" x14ac:dyDescent="0.25">
      <c r="B436" s="68" t="s">
        <v>4</v>
      </c>
      <c r="C436" s="14">
        <v>0</v>
      </c>
      <c r="D436" s="14" t="s">
        <v>14</v>
      </c>
      <c r="E436" s="14" t="s">
        <v>111</v>
      </c>
      <c r="F436" s="69">
        <v>9</v>
      </c>
    </row>
    <row r="437" spans="2:6" x14ac:dyDescent="0.25">
      <c r="B437" s="68" t="s">
        <v>69</v>
      </c>
      <c r="C437" s="14">
        <v>0</v>
      </c>
      <c r="D437" s="14" t="s">
        <v>14</v>
      </c>
      <c r="E437" s="14" t="s">
        <v>112</v>
      </c>
      <c r="F437" s="69">
        <v>1</v>
      </c>
    </row>
    <row r="438" spans="2:6" x14ac:dyDescent="0.25">
      <c r="B438" s="68" t="s">
        <v>69</v>
      </c>
      <c r="C438" s="14">
        <v>0</v>
      </c>
      <c r="D438" s="14" t="s">
        <v>15</v>
      </c>
      <c r="E438" s="14" t="s">
        <v>112</v>
      </c>
      <c r="F438" s="69">
        <v>2</v>
      </c>
    </row>
    <row r="439" spans="2:6" x14ac:dyDescent="0.25">
      <c r="B439" s="68" t="s">
        <v>69</v>
      </c>
      <c r="C439" s="14">
        <v>1</v>
      </c>
      <c r="D439" s="14" t="s">
        <v>81</v>
      </c>
      <c r="E439" s="14" t="s">
        <v>112</v>
      </c>
      <c r="F439" s="69">
        <v>1</v>
      </c>
    </row>
    <row r="440" spans="2:6" x14ac:dyDescent="0.25">
      <c r="B440" s="68" t="s">
        <v>69</v>
      </c>
      <c r="C440" s="14">
        <v>1</v>
      </c>
      <c r="D440" s="14" t="s">
        <v>14</v>
      </c>
      <c r="E440" s="14" t="s">
        <v>112</v>
      </c>
      <c r="F440" s="69">
        <v>1</v>
      </c>
    </row>
    <row r="441" spans="2:6" x14ac:dyDescent="0.25">
      <c r="B441" s="68" t="s">
        <v>69</v>
      </c>
      <c r="C441" s="14">
        <v>1</v>
      </c>
      <c r="D441" s="14" t="s">
        <v>15</v>
      </c>
      <c r="E441" s="14" t="s">
        <v>112</v>
      </c>
      <c r="F441" s="69">
        <v>2</v>
      </c>
    </row>
    <row r="442" spans="2:6" x14ac:dyDescent="0.25">
      <c r="B442" s="68" t="s">
        <v>69</v>
      </c>
      <c r="C442" s="14">
        <v>2</v>
      </c>
      <c r="D442" s="14" t="s">
        <v>81</v>
      </c>
      <c r="E442" s="14" t="s">
        <v>112</v>
      </c>
      <c r="F442" s="69">
        <v>1</v>
      </c>
    </row>
    <row r="443" spans="2:6" x14ac:dyDescent="0.25">
      <c r="B443" s="68" t="s">
        <v>69</v>
      </c>
      <c r="C443" s="14">
        <v>2</v>
      </c>
      <c r="D443" s="14" t="s">
        <v>14</v>
      </c>
      <c r="E443" s="14" t="s">
        <v>112</v>
      </c>
      <c r="F443" s="69">
        <v>1</v>
      </c>
    </row>
    <row r="444" spans="2:6" x14ac:dyDescent="0.25">
      <c r="B444" s="68" t="s">
        <v>69</v>
      </c>
      <c r="C444" s="14">
        <v>2</v>
      </c>
      <c r="D444" s="14" t="s">
        <v>15</v>
      </c>
      <c r="E444" s="14" t="s">
        <v>112</v>
      </c>
      <c r="F444" s="69">
        <v>2</v>
      </c>
    </row>
    <row r="445" spans="2:6" x14ac:dyDescent="0.25">
      <c r="B445" s="68" t="s">
        <v>69</v>
      </c>
      <c r="C445" s="14">
        <v>3</v>
      </c>
      <c r="D445" s="14" t="s">
        <v>81</v>
      </c>
      <c r="E445" s="14" t="s">
        <v>112</v>
      </c>
      <c r="F445" s="69">
        <v>1</v>
      </c>
    </row>
    <row r="446" spans="2:6" x14ac:dyDescent="0.25">
      <c r="B446" s="68" t="s">
        <v>69</v>
      </c>
      <c r="C446" s="14">
        <v>3</v>
      </c>
      <c r="D446" s="14" t="s">
        <v>14</v>
      </c>
      <c r="E446" s="14" t="s">
        <v>112</v>
      </c>
      <c r="F446" s="69">
        <v>1</v>
      </c>
    </row>
    <row r="447" spans="2:6" x14ac:dyDescent="0.25">
      <c r="B447" s="68" t="s">
        <v>69</v>
      </c>
      <c r="C447" s="14">
        <v>3</v>
      </c>
      <c r="D447" s="14" t="s">
        <v>15</v>
      </c>
      <c r="E447" s="14" t="s">
        <v>112</v>
      </c>
      <c r="F447" s="69">
        <v>2</v>
      </c>
    </row>
    <row r="448" spans="2:6" x14ac:dyDescent="0.25">
      <c r="B448" s="68" t="s">
        <v>69</v>
      </c>
      <c r="C448" s="14">
        <v>4</v>
      </c>
      <c r="D448" s="14" t="s">
        <v>81</v>
      </c>
      <c r="E448" s="14" t="s">
        <v>112</v>
      </c>
      <c r="F448" s="69">
        <v>1</v>
      </c>
    </row>
    <row r="449" spans="2:6" x14ac:dyDescent="0.25">
      <c r="B449" s="68" t="s">
        <v>69</v>
      </c>
      <c r="C449" s="14">
        <v>4</v>
      </c>
      <c r="D449" s="14" t="s">
        <v>14</v>
      </c>
      <c r="E449" s="14" t="s">
        <v>112</v>
      </c>
      <c r="F449" s="69">
        <v>1</v>
      </c>
    </row>
    <row r="450" spans="2:6" x14ac:dyDescent="0.25">
      <c r="B450" s="68" t="s">
        <v>69</v>
      </c>
      <c r="C450" s="14">
        <v>4</v>
      </c>
      <c r="D450" s="14" t="s">
        <v>15</v>
      </c>
      <c r="E450" s="14" t="s">
        <v>112</v>
      </c>
      <c r="F450" s="69">
        <v>2</v>
      </c>
    </row>
    <row r="451" spans="2:6" x14ac:dyDescent="0.25">
      <c r="B451" s="68" t="s">
        <v>154</v>
      </c>
      <c r="C451" s="14">
        <v>0</v>
      </c>
      <c r="D451" s="14" t="s">
        <v>14</v>
      </c>
      <c r="E451" s="14" t="s">
        <v>112</v>
      </c>
      <c r="F451" s="69">
        <v>1</v>
      </c>
    </row>
    <row r="452" spans="2:6" x14ac:dyDescent="0.25">
      <c r="B452" s="68" t="s">
        <v>5</v>
      </c>
      <c r="C452" s="14">
        <v>2</v>
      </c>
      <c r="D452" s="14" t="s">
        <v>14</v>
      </c>
      <c r="E452" s="14" t="s">
        <v>112</v>
      </c>
      <c r="F452" s="69">
        <v>2</v>
      </c>
    </row>
    <row r="453" spans="2:6" x14ac:dyDescent="0.25">
      <c r="B453" s="68" t="s">
        <v>5</v>
      </c>
      <c r="C453" s="14">
        <v>3</v>
      </c>
      <c r="D453" s="14" t="s">
        <v>14</v>
      </c>
      <c r="E453" s="14" t="s">
        <v>112</v>
      </c>
      <c r="F453" s="69">
        <v>2</v>
      </c>
    </row>
    <row r="454" spans="2:6" x14ac:dyDescent="0.25">
      <c r="B454" s="68" t="s">
        <v>5</v>
      </c>
      <c r="C454" s="14">
        <v>4</v>
      </c>
      <c r="D454" s="14" t="s">
        <v>14</v>
      </c>
      <c r="E454" s="14" t="s">
        <v>112</v>
      </c>
      <c r="F454" s="69">
        <v>2</v>
      </c>
    </row>
    <row r="455" spans="2:6" x14ac:dyDescent="0.25">
      <c r="B455" s="68" t="s">
        <v>6</v>
      </c>
      <c r="C455" s="14">
        <v>2</v>
      </c>
      <c r="D455" s="14" t="s">
        <v>14</v>
      </c>
      <c r="E455" s="14" t="s">
        <v>112</v>
      </c>
      <c r="F455" s="69">
        <v>2</v>
      </c>
    </row>
    <row r="456" spans="2:6" x14ac:dyDescent="0.25">
      <c r="B456" s="68" t="s">
        <v>6</v>
      </c>
      <c r="C456" s="14">
        <v>3</v>
      </c>
      <c r="D456" s="14" t="s">
        <v>14</v>
      </c>
      <c r="E456" s="14" t="s">
        <v>112</v>
      </c>
      <c r="F456" s="69">
        <v>2</v>
      </c>
    </row>
    <row r="457" spans="2:6" x14ac:dyDescent="0.25">
      <c r="B457" s="68" t="s">
        <v>6</v>
      </c>
      <c r="C457" s="14">
        <v>4</v>
      </c>
      <c r="D457" s="14" t="s">
        <v>14</v>
      </c>
      <c r="E457" s="14" t="s">
        <v>112</v>
      </c>
      <c r="F457" s="69">
        <v>2</v>
      </c>
    </row>
    <row r="458" spans="2:6" x14ac:dyDescent="0.25">
      <c r="B458" s="68" t="s">
        <v>202</v>
      </c>
      <c r="C458" s="14">
        <v>0</v>
      </c>
      <c r="D458" s="14" t="s">
        <v>15</v>
      </c>
      <c r="E458" s="14" t="s">
        <v>112</v>
      </c>
      <c r="F458" s="69">
        <v>3</v>
      </c>
    </row>
    <row r="459" spans="2:6" x14ac:dyDescent="0.25">
      <c r="B459" s="68" t="s">
        <v>1</v>
      </c>
      <c r="C459" s="14">
        <v>0</v>
      </c>
      <c r="D459" s="14" t="s">
        <v>14</v>
      </c>
      <c r="E459" s="14" t="s">
        <v>112</v>
      </c>
      <c r="F459" s="69">
        <v>8</v>
      </c>
    </row>
    <row r="460" spans="2:6" x14ac:dyDescent="0.25">
      <c r="B460" s="68" t="s">
        <v>1</v>
      </c>
      <c r="C460" s="14">
        <v>0</v>
      </c>
      <c r="D460" s="14" t="s">
        <v>15</v>
      </c>
      <c r="E460" s="14" t="s">
        <v>112</v>
      </c>
      <c r="F460" s="69">
        <v>12</v>
      </c>
    </row>
    <row r="461" spans="2:6" x14ac:dyDescent="0.25">
      <c r="B461" s="68" t="s">
        <v>4</v>
      </c>
      <c r="C461" s="14">
        <v>4</v>
      </c>
      <c r="D461" s="14" t="s">
        <v>14</v>
      </c>
      <c r="E461" s="14" t="s">
        <v>112</v>
      </c>
      <c r="F461" s="69">
        <v>0</v>
      </c>
    </row>
    <row r="462" spans="2:6" x14ac:dyDescent="0.25">
      <c r="B462" s="68" t="s">
        <v>4</v>
      </c>
      <c r="C462" s="14">
        <v>3</v>
      </c>
      <c r="D462" s="14" t="s">
        <v>14</v>
      </c>
      <c r="E462" s="14" t="s">
        <v>112</v>
      </c>
      <c r="F462" s="69">
        <v>0</v>
      </c>
    </row>
    <row r="463" spans="2:6" x14ac:dyDescent="0.25">
      <c r="B463" s="68" t="s">
        <v>4</v>
      </c>
      <c r="C463" s="14">
        <v>2</v>
      </c>
      <c r="D463" s="14" t="s">
        <v>14</v>
      </c>
      <c r="E463" s="14" t="s">
        <v>112</v>
      </c>
      <c r="F463" s="69">
        <v>0</v>
      </c>
    </row>
    <row r="464" spans="2:6" x14ac:dyDescent="0.25">
      <c r="B464" s="68" t="s">
        <v>4</v>
      </c>
      <c r="C464" s="14">
        <v>1</v>
      </c>
      <c r="D464" s="14" t="s">
        <v>14</v>
      </c>
      <c r="E464" s="14" t="s">
        <v>112</v>
      </c>
      <c r="F464" s="69">
        <v>0</v>
      </c>
    </row>
    <row r="465" spans="2:6" x14ac:dyDescent="0.25">
      <c r="B465" s="70" t="s">
        <v>4</v>
      </c>
      <c r="C465" s="58">
        <v>0</v>
      </c>
      <c r="D465" s="58" t="s">
        <v>14</v>
      </c>
      <c r="E465" s="58" t="s">
        <v>112</v>
      </c>
      <c r="F465" s="49">
        <v>0</v>
      </c>
    </row>
    <row r="466" spans="2:6" x14ac:dyDescent="0.25">
      <c r="B466" s="68" t="s">
        <v>69</v>
      </c>
      <c r="C466" s="14">
        <v>0</v>
      </c>
      <c r="D466" s="14" t="s">
        <v>14</v>
      </c>
      <c r="E466" s="14" t="s">
        <v>230</v>
      </c>
      <c r="F466" s="69">
        <v>2</v>
      </c>
    </row>
    <row r="467" spans="2:6" x14ac:dyDescent="0.25">
      <c r="B467" s="68" t="s">
        <v>69</v>
      </c>
      <c r="C467" s="14">
        <v>0</v>
      </c>
      <c r="D467" s="14" t="s">
        <v>15</v>
      </c>
      <c r="E467" s="14" t="s">
        <v>230</v>
      </c>
      <c r="F467" s="69">
        <v>5</v>
      </c>
    </row>
    <row r="468" spans="2:6" x14ac:dyDescent="0.25">
      <c r="B468" s="68" t="s">
        <v>69</v>
      </c>
      <c r="C468" s="14">
        <v>1</v>
      </c>
      <c r="D468" s="14" t="s">
        <v>81</v>
      </c>
      <c r="E468" s="14" t="s">
        <v>230</v>
      </c>
      <c r="F468" s="69">
        <v>2</v>
      </c>
    </row>
    <row r="469" spans="2:6" x14ac:dyDescent="0.25">
      <c r="B469" s="68" t="s">
        <v>69</v>
      </c>
      <c r="C469" s="14">
        <v>1</v>
      </c>
      <c r="D469" s="14" t="s">
        <v>14</v>
      </c>
      <c r="E469" s="14" t="s">
        <v>230</v>
      </c>
      <c r="F469" s="69">
        <v>2</v>
      </c>
    </row>
    <row r="470" spans="2:6" x14ac:dyDescent="0.25">
      <c r="B470" s="68" t="s">
        <v>69</v>
      </c>
      <c r="C470" s="14">
        <v>1</v>
      </c>
      <c r="D470" s="14" t="s">
        <v>15</v>
      </c>
      <c r="E470" s="14" t="s">
        <v>230</v>
      </c>
      <c r="F470" s="69">
        <v>5</v>
      </c>
    </row>
    <row r="471" spans="2:6" x14ac:dyDescent="0.25">
      <c r="B471" s="68" t="s">
        <v>69</v>
      </c>
      <c r="C471" s="14">
        <v>2</v>
      </c>
      <c r="D471" s="14" t="s">
        <v>81</v>
      </c>
      <c r="E471" s="14" t="s">
        <v>230</v>
      </c>
      <c r="F471" s="69">
        <v>2</v>
      </c>
    </row>
    <row r="472" spans="2:6" x14ac:dyDescent="0.25">
      <c r="B472" s="68" t="s">
        <v>69</v>
      </c>
      <c r="C472" s="14">
        <v>2</v>
      </c>
      <c r="D472" s="14" t="s">
        <v>14</v>
      </c>
      <c r="E472" s="14" t="s">
        <v>230</v>
      </c>
      <c r="F472" s="69">
        <v>2</v>
      </c>
    </row>
    <row r="473" spans="2:6" x14ac:dyDescent="0.25">
      <c r="B473" s="68" t="s">
        <v>69</v>
      </c>
      <c r="C473" s="14">
        <v>2</v>
      </c>
      <c r="D473" s="14" t="s">
        <v>15</v>
      </c>
      <c r="E473" s="14" t="s">
        <v>230</v>
      </c>
      <c r="F473" s="69">
        <v>5</v>
      </c>
    </row>
    <row r="474" spans="2:6" x14ac:dyDescent="0.25">
      <c r="B474" s="68" t="s">
        <v>69</v>
      </c>
      <c r="C474" s="14">
        <v>3</v>
      </c>
      <c r="D474" s="14" t="s">
        <v>81</v>
      </c>
      <c r="E474" s="14" t="s">
        <v>230</v>
      </c>
      <c r="F474" s="69">
        <v>2</v>
      </c>
    </row>
    <row r="475" spans="2:6" x14ac:dyDescent="0.25">
      <c r="B475" s="68" t="s">
        <v>69</v>
      </c>
      <c r="C475" s="14">
        <v>3</v>
      </c>
      <c r="D475" s="14" t="s">
        <v>14</v>
      </c>
      <c r="E475" s="14" t="s">
        <v>230</v>
      </c>
      <c r="F475" s="69">
        <v>2</v>
      </c>
    </row>
    <row r="476" spans="2:6" x14ac:dyDescent="0.25">
      <c r="B476" s="68" t="s">
        <v>69</v>
      </c>
      <c r="C476" s="14">
        <v>3</v>
      </c>
      <c r="D476" s="14" t="s">
        <v>15</v>
      </c>
      <c r="E476" s="14" t="s">
        <v>230</v>
      </c>
      <c r="F476" s="69">
        <v>5</v>
      </c>
    </row>
    <row r="477" spans="2:6" x14ac:dyDescent="0.25">
      <c r="B477" s="68" t="s">
        <v>69</v>
      </c>
      <c r="C477" s="14">
        <v>4</v>
      </c>
      <c r="D477" s="14" t="s">
        <v>81</v>
      </c>
      <c r="E477" s="14" t="s">
        <v>230</v>
      </c>
      <c r="F477" s="69">
        <v>2</v>
      </c>
    </row>
    <row r="478" spans="2:6" x14ac:dyDescent="0.25">
      <c r="B478" s="68" t="s">
        <v>69</v>
      </c>
      <c r="C478" s="14">
        <v>4</v>
      </c>
      <c r="D478" s="14" t="s">
        <v>14</v>
      </c>
      <c r="E478" s="14" t="s">
        <v>230</v>
      </c>
      <c r="F478" s="69">
        <v>2</v>
      </c>
    </row>
    <row r="479" spans="2:6" x14ac:dyDescent="0.25">
      <c r="B479" s="68" t="s">
        <v>69</v>
      </c>
      <c r="C479" s="14">
        <v>4</v>
      </c>
      <c r="D479" s="14" t="s">
        <v>15</v>
      </c>
      <c r="E479" s="14" t="s">
        <v>230</v>
      </c>
      <c r="F479" s="69">
        <v>5</v>
      </c>
    </row>
    <row r="480" spans="2:6" x14ac:dyDescent="0.25">
      <c r="B480" s="68" t="s">
        <v>154</v>
      </c>
      <c r="C480" s="14">
        <v>0</v>
      </c>
      <c r="D480" s="14" t="s">
        <v>14</v>
      </c>
      <c r="E480" s="14" t="s">
        <v>230</v>
      </c>
      <c r="F480" s="69">
        <v>1</v>
      </c>
    </row>
    <row r="481" spans="2:6" x14ac:dyDescent="0.25">
      <c r="B481" s="68" t="s">
        <v>5</v>
      </c>
      <c r="C481" s="14">
        <v>2</v>
      </c>
      <c r="D481" s="14" t="s">
        <v>14</v>
      </c>
      <c r="E481" s="14" t="s">
        <v>230</v>
      </c>
      <c r="F481" s="69">
        <v>2</v>
      </c>
    </row>
    <row r="482" spans="2:6" x14ac:dyDescent="0.25">
      <c r="B482" s="68" t="s">
        <v>5</v>
      </c>
      <c r="C482" s="14">
        <v>3</v>
      </c>
      <c r="D482" s="14" t="s">
        <v>14</v>
      </c>
      <c r="E482" s="14" t="s">
        <v>230</v>
      </c>
      <c r="F482" s="69">
        <v>2</v>
      </c>
    </row>
    <row r="483" spans="2:6" x14ac:dyDescent="0.25">
      <c r="B483" s="68" t="s">
        <v>5</v>
      </c>
      <c r="C483" s="14">
        <v>4</v>
      </c>
      <c r="D483" s="14" t="s">
        <v>14</v>
      </c>
      <c r="E483" s="14" t="s">
        <v>230</v>
      </c>
      <c r="F483" s="69">
        <v>2</v>
      </c>
    </row>
    <row r="484" spans="2:6" x14ac:dyDescent="0.25">
      <c r="B484" s="68" t="s">
        <v>6</v>
      </c>
      <c r="C484" s="14">
        <v>2</v>
      </c>
      <c r="D484" s="14" t="s">
        <v>14</v>
      </c>
      <c r="E484" s="14" t="s">
        <v>230</v>
      </c>
      <c r="F484" s="69">
        <v>2</v>
      </c>
    </row>
    <row r="485" spans="2:6" x14ac:dyDescent="0.25">
      <c r="B485" s="68" t="s">
        <v>6</v>
      </c>
      <c r="C485" s="14">
        <v>3</v>
      </c>
      <c r="D485" s="14" t="s">
        <v>14</v>
      </c>
      <c r="E485" s="14" t="s">
        <v>230</v>
      </c>
      <c r="F485" s="69">
        <v>2</v>
      </c>
    </row>
    <row r="486" spans="2:6" x14ac:dyDescent="0.25">
      <c r="B486" s="68" t="s">
        <v>6</v>
      </c>
      <c r="C486" s="14">
        <v>4</v>
      </c>
      <c r="D486" s="14" t="s">
        <v>14</v>
      </c>
      <c r="E486" s="14" t="s">
        <v>230</v>
      </c>
      <c r="F486" s="69">
        <v>2</v>
      </c>
    </row>
    <row r="487" spans="2:6" x14ac:dyDescent="0.25">
      <c r="B487" s="68" t="s">
        <v>202</v>
      </c>
      <c r="C487" s="14">
        <v>0</v>
      </c>
      <c r="D487" s="14" t="s">
        <v>15</v>
      </c>
      <c r="E487" s="14" t="s">
        <v>230</v>
      </c>
      <c r="F487" s="69">
        <v>7</v>
      </c>
    </row>
    <row r="488" spans="2:6" x14ac:dyDescent="0.25">
      <c r="B488" s="68" t="s">
        <v>1</v>
      </c>
      <c r="C488" s="14">
        <v>0</v>
      </c>
      <c r="D488" s="14" t="s">
        <v>14</v>
      </c>
      <c r="E488" s="14" t="s">
        <v>230</v>
      </c>
      <c r="F488" s="69">
        <v>17</v>
      </c>
    </row>
    <row r="489" spans="2:6" x14ac:dyDescent="0.25">
      <c r="B489" s="68" t="s">
        <v>1</v>
      </c>
      <c r="C489" s="14">
        <v>0</v>
      </c>
      <c r="D489" s="14" t="s">
        <v>15</v>
      </c>
      <c r="E489" s="14" t="s">
        <v>230</v>
      </c>
      <c r="F489" s="69">
        <v>26</v>
      </c>
    </row>
    <row r="490" spans="2:6" x14ac:dyDescent="0.25">
      <c r="B490" s="68" t="s">
        <v>4</v>
      </c>
      <c r="C490" s="14">
        <v>4</v>
      </c>
      <c r="D490" s="14" t="s">
        <v>14</v>
      </c>
      <c r="E490" s="14" t="s">
        <v>230</v>
      </c>
      <c r="F490" s="69">
        <v>0</v>
      </c>
    </row>
    <row r="491" spans="2:6" x14ac:dyDescent="0.25">
      <c r="B491" s="68" t="s">
        <v>4</v>
      </c>
      <c r="C491" s="14">
        <v>3</v>
      </c>
      <c r="D491" s="14" t="s">
        <v>14</v>
      </c>
      <c r="E491" s="14" t="s">
        <v>230</v>
      </c>
      <c r="F491" s="69">
        <v>0</v>
      </c>
    </row>
    <row r="492" spans="2:6" x14ac:dyDescent="0.25">
      <c r="B492" s="68" t="s">
        <v>4</v>
      </c>
      <c r="C492" s="14">
        <v>2</v>
      </c>
      <c r="D492" s="14" t="s">
        <v>14</v>
      </c>
      <c r="E492" s="14" t="s">
        <v>230</v>
      </c>
      <c r="F492" s="69">
        <v>0</v>
      </c>
    </row>
    <row r="493" spans="2:6" x14ac:dyDescent="0.25">
      <c r="B493" s="68" t="s">
        <v>4</v>
      </c>
      <c r="C493" s="14">
        <v>1</v>
      </c>
      <c r="D493" s="14" t="s">
        <v>14</v>
      </c>
      <c r="E493" s="14" t="s">
        <v>230</v>
      </c>
      <c r="F493" s="69">
        <v>0</v>
      </c>
    </row>
    <row r="494" spans="2:6" x14ac:dyDescent="0.25">
      <c r="B494" s="70" t="s">
        <v>4</v>
      </c>
      <c r="C494" s="58">
        <v>0</v>
      </c>
      <c r="D494" s="58" t="s">
        <v>14</v>
      </c>
      <c r="E494" s="14" t="s">
        <v>230</v>
      </c>
      <c r="F494" s="49">
        <v>0</v>
      </c>
    </row>
    <row r="495" spans="2:6" x14ac:dyDescent="0.25">
      <c r="B495" s="68" t="s">
        <v>69</v>
      </c>
      <c r="C495" s="14">
        <v>0</v>
      </c>
      <c r="D495" s="14" t="s">
        <v>14</v>
      </c>
      <c r="E495" s="14" t="s">
        <v>227</v>
      </c>
      <c r="F495" s="69">
        <v>1</v>
      </c>
    </row>
    <row r="496" spans="2:6" x14ac:dyDescent="0.25">
      <c r="B496" s="68" t="s">
        <v>69</v>
      </c>
      <c r="C496" s="14">
        <v>0</v>
      </c>
      <c r="D496" s="14" t="s">
        <v>15</v>
      </c>
      <c r="E496" s="14" t="s">
        <v>227</v>
      </c>
      <c r="F496" s="69">
        <v>2</v>
      </c>
    </row>
    <row r="497" spans="2:10" x14ac:dyDescent="0.25">
      <c r="B497" s="68" t="s">
        <v>69</v>
      </c>
      <c r="C497" s="14">
        <v>1</v>
      </c>
      <c r="D497" s="14" t="s">
        <v>81</v>
      </c>
      <c r="E497" s="14" t="s">
        <v>227</v>
      </c>
      <c r="F497" s="69">
        <v>1</v>
      </c>
    </row>
    <row r="498" spans="2:10" x14ac:dyDescent="0.25">
      <c r="B498" s="68" t="s">
        <v>69</v>
      </c>
      <c r="C498" s="14">
        <v>1</v>
      </c>
      <c r="D498" s="14" t="s">
        <v>14</v>
      </c>
      <c r="E498" s="14" t="s">
        <v>227</v>
      </c>
      <c r="F498" s="69">
        <v>1</v>
      </c>
    </row>
    <row r="499" spans="2:10" x14ac:dyDescent="0.25">
      <c r="B499" s="68" t="s">
        <v>69</v>
      </c>
      <c r="C499" s="14">
        <v>1</v>
      </c>
      <c r="D499" s="14" t="s">
        <v>15</v>
      </c>
      <c r="E499" s="14" t="s">
        <v>227</v>
      </c>
      <c r="F499" s="69">
        <v>2</v>
      </c>
      <c r="J499" s="71"/>
    </row>
    <row r="500" spans="2:10" x14ac:dyDescent="0.25">
      <c r="B500" s="68" t="s">
        <v>69</v>
      </c>
      <c r="C500" s="14">
        <v>2</v>
      </c>
      <c r="D500" s="14" t="s">
        <v>81</v>
      </c>
      <c r="E500" s="14" t="s">
        <v>227</v>
      </c>
      <c r="F500" s="69">
        <v>1</v>
      </c>
    </row>
    <row r="501" spans="2:10" x14ac:dyDescent="0.25">
      <c r="B501" s="68" t="s">
        <v>69</v>
      </c>
      <c r="C501" s="14">
        <v>2</v>
      </c>
      <c r="D501" s="14" t="s">
        <v>14</v>
      </c>
      <c r="E501" s="14" t="s">
        <v>227</v>
      </c>
      <c r="F501" s="69">
        <v>1</v>
      </c>
    </row>
    <row r="502" spans="2:10" x14ac:dyDescent="0.25">
      <c r="B502" s="68" t="s">
        <v>69</v>
      </c>
      <c r="C502" s="14">
        <v>2</v>
      </c>
      <c r="D502" s="14" t="s">
        <v>15</v>
      </c>
      <c r="E502" s="14" t="s">
        <v>227</v>
      </c>
      <c r="F502" s="69">
        <v>2</v>
      </c>
    </row>
    <row r="503" spans="2:10" x14ac:dyDescent="0.25">
      <c r="B503" s="68" t="s">
        <v>69</v>
      </c>
      <c r="C503" s="14">
        <v>3</v>
      </c>
      <c r="D503" s="14" t="s">
        <v>81</v>
      </c>
      <c r="E503" s="14" t="s">
        <v>227</v>
      </c>
      <c r="F503" s="69">
        <v>1</v>
      </c>
    </row>
    <row r="504" spans="2:10" x14ac:dyDescent="0.25">
      <c r="B504" s="68" t="s">
        <v>69</v>
      </c>
      <c r="C504" s="14">
        <v>3</v>
      </c>
      <c r="D504" s="14" t="s">
        <v>14</v>
      </c>
      <c r="E504" s="14" t="s">
        <v>227</v>
      </c>
      <c r="F504" s="69">
        <v>1</v>
      </c>
    </row>
    <row r="505" spans="2:10" x14ac:dyDescent="0.25">
      <c r="B505" s="68" t="s">
        <v>69</v>
      </c>
      <c r="C505" s="14">
        <v>3</v>
      </c>
      <c r="D505" s="14" t="s">
        <v>15</v>
      </c>
      <c r="E505" s="14" t="s">
        <v>227</v>
      </c>
      <c r="F505" s="69">
        <v>2</v>
      </c>
    </row>
    <row r="506" spans="2:10" x14ac:dyDescent="0.25">
      <c r="B506" s="68" t="s">
        <v>69</v>
      </c>
      <c r="C506" s="14">
        <v>4</v>
      </c>
      <c r="D506" s="14" t="s">
        <v>81</v>
      </c>
      <c r="E506" s="14" t="s">
        <v>227</v>
      </c>
      <c r="F506" s="69">
        <v>1</v>
      </c>
    </row>
    <row r="507" spans="2:10" x14ac:dyDescent="0.25">
      <c r="B507" s="68" t="s">
        <v>69</v>
      </c>
      <c r="C507" s="14">
        <v>4</v>
      </c>
      <c r="D507" s="14" t="s">
        <v>14</v>
      </c>
      <c r="E507" s="14" t="s">
        <v>227</v>
      </c>
      <c r="F507" s="69">
        <v>1</v>
      </c>
    </row>
    <row r="508" spans="2:10" x14ac:dyDescent="0.25">
      <c r="B508" s="68" t="s">
        <v>69</v>
      </c>
      <c r="C508" s="14">
        <v>4</v>
      </c>
      <c r="D508" s="14" t="s">
        <v>15</v>
      </c>
      <c r="E508" s="14" t="s">
        <v>227</v>
      </c>
      <c r="F508" s="69">
        <v>2</v>
      </c>
    </row>
    <row r="509" spans="2:10" x14ac:dyDescent="0.25">
      <c r="B509" s="68" t="s">
        <v>154</v>
      </c>
      <c r="C509" s="14">
        <v>0</v>
      </c>
      <c r="D509" s="14" t="s">
        <v>14</v>
      </c>
      <c r="E509" s="14" t="s">
        <v>227</v>
      </c>
      <c r="F509" s="69">
        <v>0</v>
      </c>
    </row>
    <row r="510" spans="2:10" x14ac:dyDescent="0.25">
      <c r="B510" s="68" t="s">
        <v>5</v>
      </c>
      <c r="C510" s="14">
        <v>2</v>
      </c>
      <c r="D510" s="14" t="s">
        <v>14</v>
      </c>
      <c r="E510" s="14" t="s">
        <v>227</v>
      </c>
      <c r="F510" s="69"/>
    </row>
    <row r="511" spans="2:10" x14ac:dyDescent="0.25">
      <c r="B511" s="68" t="s">
        <v>5</v>
      </c>
      <c r="C511" s="14">
        <v>3</v>
      </c>
      <c r="D511" s="14" t="s">
        <v>14</v>
      </c>
      <c r="E511" s="14" t="s">
        <v>227</v>
      </c>
      <c r="F511" s="69"/>
    </row>
    <row r="512" spans="2:10" x14ac:dyDescent="0.25">
      <c r="B512" s="68" t="s">
        <v>5</v>
      </c>
      <c r="C512" s="14">
        <v>4</v>
      </c>
      <c r="D512" s="14" t="s">
        <v>14</v>
      </c>
      <c r="E512" s="14" t="s">
        <v>227</v>
      </c>
      <c r="F512" s="69"/>
    </row>
    <row r="513" spans="2:6" x14ac:dyDescent="0.25">
      <c r="B513" s="68" t="s">
        <v>6</v>
      </c>
      <c r="C513" s="14">
        <v>2</v>
      </c>
      <c r="D513" s="14" t="s">
        <v>14</v>
      </c>
      <c r="E513" s="14" t="s">
        <v>227</v>
      </c>
      <c r="F513" s="69"/>
    </row>
    <row r="514" spans="2:6" x14ac:dyDescent="0.25">
      <c r="B514" s="68" t="s">
        <v>6</v>
      </c>
      <c r="C514" s="14">
        <v>3</v>
      </c>
      <c r="D514" s="14" t="s">
        <v>14</v>
      </c>
      <c r="E514" s="14" t="s">
        <v>227</v>
      </c>
      <c r="F514" s="69"/>
    </row>
    <row r="515" spans="2:6" x14ac:dyDescent="0.25">
      <c r="B515" s="68" t="s">
        <v>6</v>
      </c>
      <c r="C515" s="14">
        <v>4</v>
      </c>
      <c r="D515" s="14" t="s">
        <v>14</v>
      </c>
      <c r="E515" s="14" t="s">
        <v>227</v>
      </c>
      <c r="F515" s="69"/>
    </row>
    <row r="516" spans="2:6" x14ac:dyDescent="0.25">
      <c r="B516" s="68" t="s">
        <v>202</v>
      </c>
      <c r="C516" s="14">
        <v>0</v>
      </c>
      <c r="D516" s="14" t="s">
        <v>15</v>
      </c>
      <c r="E516" s="14" t="s">
        <v>227</v>
      </c>
      <c r="F516" s="69">
        <v>3</v>
      </c>
    </row>
    <row r="517" spans="2:6" x14ac:dyDescent="0.25">
      <c r="B517" s="68" t="s">
        <v>1</v>
      </c>
      <c r="C517" s="14">
        <v>0</v>
      </c>
      <c r="D517" s="14" t="s">
        <v>14</v>
      </c>
      <c r="E517" s="14" t="s">
        <v>227</v>
      </c>
      <c r="F517" s="69">
        <v>8</v>
      </c>
    </row>
    <row r="518" spans="2:6" x14ac:dyDescent="0.25">
      <c r="B518" s="68" t="s">
        <v>1</v>
      </c>
      <c r="C518" s="14">
        <v>0</v>
      </c>
      <c r="D518" s="14" t="s">
        <v>15</v>
      </c>
      <c r="E518" s="14" t="s">
        <v>227</v>
      </c>
      <c r="F518" s="69">
        <v>12</v>
      </c>
    </row>
    <row r="519" spans="2:6" x14ac:dyDescent="0.25">
      <c r="B519" s="68" t="s">
        <v>4</v>
      </c>
      <c r="C519" s="14">
        <v>4</v>
      </c>
      <c r="D519" s="14" t="s">
        <v>14</v>
      </c>
      <c r="E519" s="14" t="s">
        <v>227</v>
      </c>
      <c r="F519" s="69"/>
    </row>
    <row r="520" spans="2:6" x14ac:dyDescent="0.25">
      <c r="B520" s="68" t="s">
        <v>4</v>
      </c>
      <c r="C520" s="14">
        <v>3</v>
      </c>
      <c r="D520" s="14" t="s">
        <v>14</v>
      </c>
      <c r="E520" s="14" t="s">
        <v>227</v>
      </c>
      <c r="F520" s="69"/>
    </row>
    <row r="521" spans="2:6" x14ac:dyDescent="0.25">
      <c r="B521" s="68" t="s">
        <v>4</v>
      </c>
      <c r="C521" s="14">
        <v>2</v>
      </c>
      <c r="D521" s="14" t="s">
        <v>14</v>
      </c>
      <c r="E521" s="14" t="s">
        <v>227</v>
      </c>
      <c r="F521" s="69"/>
    </row>
    <row r="522" spans="2:6" x14ac:dyDescent="0.25">
      <c r="B522" s="68" t="s">
        <v>4</v>
      </c>
      <c r="C522" s="14">
        <v>1</v>
      </c>
      <c r="D522" s="14" t="s">
        <v>14</v>
      </c>
      <c r="E522" s="14" t="s">
        <v>227</v>
      </c>
      <c r="F522" s="69"/>
    </row>
    <row r="523" spans="2:6" x14ac:dyDescent="0.25">
      <c r="B523" s="70" t="s">
        <v>4</v>
      </c>
      <c r="C523" s="58">
        <v>0</v>
      </c>
      <c r="D523" s="58" t="s">
        <v>14</v>
      </c>
      <c r="E523" s="14" t="s">
        <v>227</v>
      </c>
      <c r="F523" s="49"/>
    </row>
    <row r="524" spans="2:6" x14ac:dyDescent="0.25">
      <c r="B524" s="68" t="s">
        <v>69</v>
      </c>
      <c r="C524" s="14">
        <v>0</v>
      </c>
      <c r="D524" s="14" t="s">
        <v>14</v>
      </c>
      <c r="E524" s="14" t="s">
        <v>228</v>
      </c>
      <c r="F524" s="69">
        <v>1</v>
      </c>
    </row>
    <row r="525" spans="2:6" x14ac:dyDescent="0.25">
      <c r="B525" s="68" t="s">
        <v>69</v>
      </c>
      <c r="C525" s="14">
        <v>0</v>
      </c>
      <c r="D525" s="14" t="s">
        <v>15</v>
      </c>
      <c r="E525" s="14" t="s">
        <v>228</v>
      </c>
      <c r="F525" s="69">
        <v>4</v>
      </c>
    </row>
    <row r="526" spans="2:6" x14ac:dyDescent="0.25">
      <c r="B526" s="68" t="s">
        <v>69</v>
      </c>
      <c r="C526" s="14">
        <v>1</v>
      </c>
      <c r="D526" s="14" t="s">
        <v>81</v>
      </c>
      <c r="E526" s="14" t="s">
        <v>228</v>
      </c>
      <c r="F526" s="69">
        <v>1</v>
      </c>
    </row>
    <row r="527" spans="2:6" x14ac:dyDescent="0.25">
      <c r="B527" s="68" t="s">
        <v>69</v>
      </c>
      <c r="C527" s="14">
        <v>1</v>
      </c>
      <c r="D527" s="14" t="s">
        <v>14</v>
      </c>
      <c r="E527" s="14" t="s">
        <v>228</v>
      </c>
      <c r="F527" s="69">
        <v>1</v>
      </c>
    </row>
    <row r="528" spans="2:6" x14ac:dyDescent="0.25">
      <c r="B528" s="68" t="s">
        <v>69</v>
      </c>
      <c r="C528" s="14">
        <v>1</v>
      </c>
      <c r="D528" s="14" t="s">
        <v>15</v>
      </c>
      <c r="E528" s="14" t="s">
        <v>228</v>
      </c>
      <c r="F528" s="69">
        <v>4</v>
      </c>
    </row>
    <row r="529" spans="2:6" x14ac:dyDescent="0.25">
      <c r="B529" s="68" t="s">
        <v>69</v>
      </c>
      <c r="C529" s="14">
        <v>2</v>
      </c>
      <c r="D529" s="14" t="s">
        <v>81</v>
      </c>
      <c r="E529" s="14" t="s">
        <v>228</v>
      </c>
      <c r="F529" s="69">
        <v>1</v>
      </c>
    </row>
    <row r="530" spans="2:6" x14ac:dyDescent="0.25">
      <c r="B530" s="68" t="s">
        <v>69</v>
      </c>
      <c r="C530" s="14">
        <v>2</v>
      </c>
      <c r="D530" s="14" t="s">
        <v>14</v>
      </c>
      <c r="E530" s="14" t="s">
        <v>228</v>
      </c>
      <c r="F530" s="69">
        <v>1</v>
      </c>
    </row>
    <row r="531" spans="2:6" x14ac:dyDescent="0.25">
      <c r="B531" s="68" t="s">
        <v>69</v>
      </c>
      <c r="C531" s="14">
        <v>2</v>
      </c>
      <c r="D531" s="14" t="s">
        <v>15</v>
      </c>
      <c r="E531" s="14" t="s">
        <v>228</v>
      </c>
      <c r="F531" s="69">
        <v>4</v>
      </c>
    </row>
    <row r="532" spans="2:6" x14ac:dyDescent="0.25">
      <c r="B532" s="68" t="s">
        <v>69</v>
      </c>
      <c r="C532" s="14">
        <v>3</v>
      </c>
      <c r="D532" s="14" t="s">
        <v>81</v>
      </c>
      <c r="E532" s="14" t="s">
        <v>228</v>
      </c>
      <c r="F532" s="69">
        <v>1</v>
      </c>
    </row>
    <row r="533" spans="2:6" x14ac:dyDescent="0.25">
      <c r="B533" s="68" t="s">
        <v>69</v>
      </c>
      <c r="C533" s="14">
        <v>3</v>
      </c>
      <c r="D533" s="14" t="s">
        <v>14</v>
      </c>
      <c r="E533" s="14" t="s">
        <v>228</v>
      </c>
      <c r="F533" s="69">
        <v>1</v>
      </c>
    </row>
    <row r="534" spans="2:6" x14ac:dyDescent="0.25">
      <c r="B534" s="68" t="s">
        <v>69</v>
      </c>
      <c r="C534" s="14">
        <v>3</v>
      </c>
      <c r="D534" s="14" t="s">
        <v>15</v>
      </c>
      <c r="E534" s="14" t="s">
        <v>228</v>
      </c>
      <c r="F534" s="69">
        <v>4</v>
      </c>
    </row>
    <row r="535" spans="2:6" x14ac:dyDescent="0.25">
      <c r="B535" s="68" t="s">
        <v>69</v>
      </c>
      <c r="C535" s="14">
        <v>4</v>
      </c>
      <c r="D535" s="14" t="s">
        <v>81</v>
      </c>
      <c r="E535" s="14" t="s">
        <v>228</v>
      </c>
      <c r="F535" s="69">
        <v>1</v>
      </c>
    </row>
    <row r="536" spans="2:6" x14ac:dyDescent="0.25">
      <c r="B536" s="68" t="s">
        <v>69</v>
      </c>
      <c r="C536" s="14">
        <v>4</v>
      </c>
      <c r="D536" s="14" t="s">
        <v>14</v>
      </c>
      <c r="E536" s="14" t="s">
        <v>228</v>
      </c>
      <c r="F536" s="69">
        <v>1</v>
      </c>
    </row>
    <row r="537" spans="2:6" x14ac:dyDescent="0.25">
      <c r="B537" s="68" t="s">
        <v>69</v>
      </c>
      <c r="C537" s="14">
        <v>4</v>
      </c>
      <c r="D537" s="14" t="s">
        <v>15</v>
      </c>
      <c r="E537" s="14" t="s">
        <v>228</v>
      </c>
      <c r="F537" s="69">
        <v>4</v>
      </c>
    </row>
    <row r="538" spans="2:6" x14ac:dyDescent="0.25">
      <c r="B538" s="68" t="s">
        <v>154</v>
      </c>
      <c r="C538" s="14">
        <v>0</v>
      </c>
      <c r="D538" s="14" t="s">
        <v>14</v>
      </c>
      <c r="E538" s="14" t="s">
        <v>228</v>
      </c>
      <c r="F538" s="69">
        <v>1</v>
      </c>
    </row>
    <row r="539" spans="2:6" x14ac:dyDescent="0.25">
      <c r="B539" s="68" t="s">
        <v>5</v>
      </c>
      <c r="C539" s="14">
        <v>2</v>
      </c>
      <c r="D539" s="14" t="s">
        <v>14</v>
      </c>
      <c r="E539" s="14" t="s">
        <v>228</v>
      </c>
      <c r="F539" s="69"/>
    </row>
    <row r="540" spans="2:6" x14ac:dyDescent="0.25">
      <c r="B540" s="68" t="s">
        <v>5</v>
      </c>
      <c r="C540" s="14">
        <v>3</v>
      </c>
      <c r="D540" s="14" t="s">
        <v>14</v>
      </c>
      <c r="E540" s="14" t="s">
        <v>228</v>
      </c>
      <c r="F540" s="69"/>
    </row>
    <row r="541" spans="2:6" x14ac:dyDescent="0.25">
      <c r="B541" s="68" t="s">
        <v>5</v>
      </c>
      <c r="C541" s="14">
        <v>4</v>
      </c>
      <c r="D541" s="14" t="s">
        <v>14</v>
      </c>
      <c r="E541" s="14" t="s">
        <v>228</v>
      </c>
      <c r="F541" s="69"/>
    </row>
    <row r="542" spans="2:6" x14ac:dyDescent="0.25">
      <c r="B542" s="68" t="s">
        <v>6</v>
      </c>
      <c r="C542" s="14">
        <v>2</v>
      </c>
      <c r="D542" s="14" t="s">
        <v>14</v>
      </c>
      <c r="E542" s="14" t="s">
        <v>228</v>
      </c>
      <c r="F542" s="69"/>
    </row>
    <row r="543" spans="2:6" x14ac:dyDescent="0.25">
      <c r="B543" s="68" t="s">
        <v>6</v>
      </c>
      <c r="C543" s="14">
        <v>3</v>
      </c>
      <c r="D543" s="14" t="s">
        <v>14</v>
      </c>
      <c r="E543" s="14" t="s">
        <v>228</v>
      </c>
      <c r="F543" s="69"/>
    </row>
    <row r="544" spans="2:6" x14ac:dyDescent="0.25">
      <c r="B544" s="68" t="s">
        <v>6</v>
      </c>
      <c r="C544" s="14">
        <v>4</v>
      </c>
      <c r="D544" s="14" t="s">
        <v>14</v>
      </c>
      <c r="E544" s="14" t="s">
        <v>228</v>
      </c>
      <c r="F544" s="69"/>
    </row>
    <row r="545" spans="2:6" x14ac:dyDescent="0.25">
      <c r="B545" s="68" t="s">
        <v>202</v>
      </c>
      <c r="C545" s="14">
        <v>0</v>
      </c>
      <c r="D545" s="14" t="s">
        <v>15</v>
      </c>
      <c r="E545" s="14" t="s">
        <v>228</v>
      </c>
      <c r="F545" s="69">
        <v>5</v>
      </c>
    </row>
    <row r="546" spans="2:6" x14ac:dyDescent="0.25">
      <c r="B546" s="68" t="s">
        <v>1</v>
      </c>
      <c r="C546" s="14">
        <v>0</v>
      </c>
      <c r="D546" s="14" t="s">
        <v>14</v>
      </c>
      <c r="E546" s="14" t="s">
        <v>228</v>
      </c>
      <c r="F546" s="69">
        <v>13</v>
      </c>
    </row>
    <row r="547" spans="2:6" x14ac:dyDescent="0.25">
      <c r="B547" s="68" t="s">
        <v>1</v>
      </c>
      <c r="C547" s="14">
        <v>0</v>
      </c>
      <c r="D547" s="14" t="s">
        <v>15</v>
      </c>
      <c r="E547" s="14" t="s">
        <v>228</v>
      </c>
      <c r="F547" s="69">
        <v>20</v>
      </c>
    </row>
    <row r="548" spans="2:6" x14ac:dyDescent="0.25">
      <c r="B548" s="68" t="s">
        <v>4</v>
      </c>
      <c r="C548" s="14">
        <v>4</v>
      </c>
      <c r="D548" s="14" t="s">
        <v>14</v>
      </c>
      <c r="E548" s="14" t="s">
        <v>228</v>
      </c>
      <c r="F548" s="69"/>
    </row>
    <row r="549" spans="2:6" x14ac:dyDescent="0.25">
      <c r="B549" s="68" t="s">
        <v>4</v>
      </c>
      <c r="C549" s="14">
        <v>3</v>
      </c>
      <c r="D549" s="14" t="s">
        <v>14</v>
      </c>
      <c r="E549" s="14" t="s">
        <v>228</v>
      </c>
      <c r="F549" s="69"/>
    </row>
    <row r="550" spans="2:6" x14ac:dyDescent="0.25">
      <c r="B550" s="68" t="s">
        <v>4</v>
      </c>
      <c r="C550" s="14">
        <v>2</v>
      </c>
      <c r="D550" s="14" t="s">
        <v>14</v>
      </c>
      <c r="E550" s="14" t="s">
        <v>228</v>
      </c>
      <c r="F550" s="69"/>
    </row>
    <row r="551" spans="2:6" x14ac:dyDescent="0.25">
      <c r="B551" s="68" t="s">
        <v>4</v>
      </c>
      <c r="C551" s="14">
        <v>1</v>
      </c>
      <c r="D551" s="14" t="s">
        <v>14</v>
      </c>
      <c r="E551" s="14" t="s">
        <v>228</v>
      </c>
      <c r="F551" s="69"/>
    </row>
    <row r="552" spans="2:6" x14ac:dyDescent="0.25">
      <c r="B552" s="70" t="s">
        <v>4</v>
      </c>
      <c r="C552" s="58">
        <v>0</v>
      </c>
      <c r="D552" s="58" t="s">
        <v>14</v>
      </c>
      <c r="E552" s="14" t="s">
        <v>228</v>
      </c>
      <c r="F552" s="49"/>
    </row>
    <row r="553" spans="2:6" x14ac:dyDescent="0.25">
      <c r="B553" s="68" t="s">
        <v>69</v>
      </c>
      <c r="C553" s="14">
        <v>0</v>
      </c>
      <c r="D553" s="14" t="s">
        <v>14</v>
      </c>
      <c r="E553" s="14" t="s">
        <v>229</v>
      </c>
      <c r="F553" s="69">
        <v>2</v>
      </c>
    </row>
    <row r="554" spans="2:6" x14ac:dyDescent="0.25">
      <c r="B554" s="68" t="s">
        <v>69</v>
      </c>
      <c r="C554" s="14">
        <v>0</v>
      </c>
      <c r="D554" s="14" t="s">
        <v>15</v>
      </c>
      <c r="E554" s="14" t="s">
        <v>229</v>
      </c>
      <c r="F554" s="69">
        <v>6</v>
      </c>
    </row>
    <row r="555" spans="2:6" x14ac:dyDescent="0.25">
      <c r="B555" s="68" t="s">
        <v>69</v>
      </c>
      <c r="C555" s="14">
        <v>1</v>
      </c>
      <c r="D555" s="14" t="s">
        <v>81</v>
      </c>
      <c r="E555" s="14" t="s">
        <v>229</v>
      </c>
      <c r="F555" s="69">
        <v>2</v>
      </c>
    </row>
    <row r="556" spans="2:6" x14ac:dyDescent="0.25">
      <c r="B556" s="68" t="s">
        <v>69</v>
      </c>
      <c r="C556" s="14">
        <v>1</v>
      </c>
      <c r="D556" s="14" t="s">
        <v>14</v>
      </c>
      <c r="E556" s="14" t="s">
        <v>229</v>
      </c>
      <c r="F556" s="69">
        <v>2</v>
      </c>
    </row>
    <row r="557" spans="2:6" x14ac:dyDescent="0.25">
      <c r="B557" s="68" t="s">
        <v>69</v>
      </c>
      <c r="C557" s="14">
        <v>1</v>
      </c>
      <c r="D557" s="14" t="s">
        <v>15</v>
      </c>
      <c r="E557" s="14" t="s">
        <v>229</v>
      </c>
      <c r="F557" s="69">
        <v>6</v>
      </c>
    </row>
    <row r="558" spans="2:6" x14ac:dyDescent="0.25">
      <c r="B558" s="68" t="s">
        <v>69</v>
      </c>
      <c r="C558" s="14">
        <v>2</v>
      </c>
      <c r="D558" s="14" t="s">
        <v>81</v>
      </c>
      <c r="E558" s="14" t="s">
        <v>229</v>
      </c>
      <c r="F558" s="69">
        <v>2</v>
      </c>
    </row>
    <row r="559" spans="2:6" x14ac:dyDescent="0.25">
      <c r="B559" s="68" t="s">
        <v>69</v>
      </c>
      <c r="C559" s="14">
        <v>2</v>
      </c>
      <c r="D559" s="14" t="s">
        <v>14</v>
      </c>
      <c r="E559" s="14" t="s">
        <v>229</v>
      </c>
      <c r="F559" s="69">
        <v>2</v>
      </c>
    </row>
    <row r="560" spans="2:6" x14ac:dyDescent="0.25">
      <c r="B560" s="68" t="s">
        <v>69</v>
      </c>
      <c r="C560" s="14">
        <v>2</v>
      </c>
      <c r="D560" s="14" t="s">
        <v>15</v>
      </c>
      <c r="E560" s="14" t="s">
        <v>229</v>
      </c>
      <c r="F560" s="69">
        <v>6</v>
      </c>
    </row>
    <row r="561" spans="2:6" x14ac:dyDescent="0.25">
      <c r="B561" s="68" t="s">
        <v>69</v>
      </c>
      <c r="C561" s="14">
        <v>3</v>
      </c>
      <c r="D561" s="14" t="s">
        <v>81</v>
      </c>
      <c r="E561" s="14" t="s">
        <v>229</v>
      </c>
      <c r="F561" s="69">
        <v>2</v>
      </c>
    </row>
    <row r="562" spans="2:6" x14ac:dyDescent="0.25">
      <c r="B562" s="68" t="s">
        <v>69</v>
      </c>
      <c r="C562" s="14">
        <v>3</v>
      </c>
      <c r="D562" s="14" t="s">
        <v>14</v>
      </c>
      <c r="E562" s="14" t="s">
        <v>229</v>
      </c>
      <c r="F562" s="69">
        <v>2</v>
      </c>
    </row>
    <row r="563" spans="2:6" x14ac:dyDescent="0.25">
      <c r="B563" s="68" t="s">
        <v>69</v>
      </c>
      <c r="C563" s="14">
        <v>3</v>
      </c>
      <c r="D563" s="14" t="s">
        <v>15</v>
      </c>
      <c r="E563" s="14" t="s">
        <v>229</v>
      </c>
      <c r="F563" s="69">
        <v>6</v>
      </c>
    </row>
    <row r="564" spans="2:6" x14ac:dyDescent="0.25">
      <c r="B564" s="68" t="s">
        <v>69</v>
      </c>
      <c r="C564" s="14">
        <v>4</v>
      </c>
      <c r="D564" s="14" t="s">
        <v>81</v>
      </c>
      <c r="E564" s="14" t="s">
        <v>229</v>
      </c>
      <c r="F564" s="69">
        <v>2</v>
      </c>
    </row>
    <row r="565" spans="2:6" x14ac:dyDescent="0.25">
      <c r="B565" s="68" t="s">
        <v>69</v>
      </c>
      <c r="C565" s="14">
        <v>4</v>
      </c>
      <c r="D565" s="14" t="s">
        <v>14</v>
      </c>
      <c r="E565" s="14" t="s">
        <v>229</v>
      </c>
      <c r="F565" s="69">
        <v>2</v>
      </c>
    </row>
    <row r="566" spans="2:6" x14ac:dyDescent="0.25">
      <c r="B566" s="68" t="s">
        <v>69</v>
      </c>
      <c r="C566" s="14">
        <v>4</v>
      </c>
      <c r="D566" s="14" t="s">
        <v>15</v>
      </c>
      <c r="E566" s="14" t="s">
        <v>229</v>
      </c>
      <c r="F566" s="69">
        <v>6</v>
      </c>
    </row>
    <row r="567" spans="2:6" x14ac:dyDescent="0.25">
      <c r="B567" s="68" t="s">
        <v>154</v>
      </c>
      <c r="C567" s="14">
        <v>0</v>
      </c>
      <c r="D567" s="14" t="s">
        <v>14</v>
      </c>
      <c r="E567" s="14" t="s">
        <v>229</v>
      </c>
      <c r="F567" s="69">
        <v>1</v>
      </c>
    </row>
    <row r="568" spans="2:6" x14ac:dyDescent="0.25">
      <c r="B568" s="68" t="s">
        <v>5</v>
      </c>
      <c r="C568" s="14">
        <v>2</v>
      </c>
      <c r="D568" s="14" t="s">
        <v>14</v>
      </c>
      <c r="E568" s="14" t="s">
        <v>229</v>
      </c>
      <c r="F568" s="69"/>
    </row>
    <row r="569" spans="2:6" x14ac:dyDescent="0.25">
      <c r="B569" s="68" t="s">
        <v>5</v>
      </c>
      <c r="C569" s="14">
        <v>3</v>
      </c>
      <c r="D569" s="14" t="s">
        <v>14</v>
      </c>
      <c r="E569" s="14" t="s">
        <v>229</v>
      </c>
      <c r="F569" s="69"/>
    </row>
    <row r="570" spans="2:6" x14ac:dyDescent="0.25">
      <c r="B570" s="68" t="s">
        <v>5</v>
      </c>
      <c r="C570" s="14">
        <v>4</v>
      </c>
      <c r="D570" s="14" t="s">
        <v>14</v>
      </c>
      <c r="E570" s="14" t="s">
        <v>229</v>
      </c>
      <c r="F570" s="69"/>
    </row>
    <row r="571" spans="2:6" x14ac:dyDescent="0.25">
      <c r="B571" s="68" t="s">
        <v>6</v>
      </c>
      <c r="C571" s="14">
        <v>2</v>
      </c>
      <c r="D571" s="14" t="s">
        <v>14</v>
      </c>
      <c r="E571" s="14" t="s">
        <v>229</v>
      </c>
      <c r="F571" s="69"/>
    </row>
    <row r="572" spans="2:6" x14ac:dyDescent="0.25">
      <c r="B572" s="68" t="s">
        <v>6</v>
      </c>
      <c r="C572" s="14">
        <v>3</v>
      </c>
      <c r="D572" s="14" t="s">
        <v>14</v>
      </c>
      <c r="E572" s="14" t="s">
        <v>229</v>
      </c>
      <c r="F572" s="69"/>
    </row>
    <row r="573" spans="2:6" x14ac:dyDescent="0.25">
      <c r="B573" s="68" t="s">
        <v>6</v>
      </c>
      <c r="C573" s="14">
        <v>4</v>
      </c>
      <c r="D573" s="14" t="s">
        <v>14</v>
      </c>
      <c r="E573" s="14" t="s">
        <v>229</v>
      </c>
      <c r="F573" s="69"/>
    </row>
    <row r="574" spans="2:6" x14ac:dyDescent="0.25">
      <c r="B574" s="68" t="s">
        <v>202</v>
      </c>
      <c r="C574" s="14">
        <v>0</v>
      </c>
      <c r="D574" s="14" t="s">
        <v>15</v>
      </c>
      <c r="E574" s="14" t="s">
        <v>229</v>
      </c>
      <c r="F574" s="69">
        <v>8</v>
      </c>
    </row>
    <row r="575" spans="2:6" x14ac:dyDescent="0.25">
      <c r="B575" s="68" t="s">
        <v>1</v>
      </c>
      <c r="C575" s="14">
        <v>0</v>
      </c>
      <c r="D575" s="14" t="s">
        <v>14</v>
      </c>
      <c r="E575" s="14" t="s">
        <v>229</v>
      </c>
      <c r="F575" s="69">
        <v>19</v>
      </c>
    </row>
    <row r="576" spans="2:6" x14ac:dyDescent="0.25">
      <c r="B576" s="68" t="s">
        <v>1</v>
      </c>
      <c r="C576" s="14">
        <v>0</v>
      </c>
      <c r="D576" s="14" t="s">
        <v>15</v>
      </c>
      <c r="E576" s="14" t="s">
        <v>229</v>
      </c>
      <c r="F576" s="69">
        <v>29</v>
      </c>
    </row>
    <row r="577" spans="2:6" x14ac:dyDescent="0.25">
      <c r="B577" s="68" t="s">
        <v>4</v>
      </c>
      <c r="C577" s="14">
        <v>4</v>
      </c>
      <c r="D577" s="14" t="s">
        <v>14</v>
      </c>
      <c r="E577" s="14" t="s">
        <v>229</v>
      </c>
      <c r="F577" s="69"/>
    </row>
    <row r="578" spans="2:6" x14ac:dyDescent="0.25">
      <c r="B578" s="68" t="s">
        <v>4</v>
      </c>
      <c r="C578" s="14">
        <v>3</v>
      </c>
      <c r="D578" s="14" t="s">
        <v>14</v>
      </c>
      <c r="E578" s="14" t="s">
        <v>229</v>
      </c>
      <c r="F578" s="69"/>
    </row>
    <row r="579" spans="2:6" x14ac:dyDescent="0.25">
      <c r="B579" s="68" t="s">
        <v>4</v>
      </c>
      <c r="C579" s="14">
        <v>2</v>
      </c>
      <c r="D579" s="14" t="s">
        <v>14</v>
      </c>
      <c r="E579" s="14" t="s">
        <v>229</v>
      </c>
      <c r="F579" s="69"/>
    </row>
    <row r="580" spans="2:6" x14ac:dyDescent="0.25">
      <c r="B580" s="68" t="s">
        <v>4</v>
      </c>
      <c r="C580" s="14">
        <v>1</v>
      </c>
      <c r="D580" s="14" t="s">
        <v>14</v>
      </c>
      <c r="E580" s="14" t="s">
        <v>229</v>
      </c>
      <c r="F580" s="69"/>
    </row>
    <row r="581" spans="2:6" x14ac:dyDescent="0.25">
      <c r="B581" s="70" t="s">
        <v>4</v>
      </c>
      <c r="C581" s="58">
        <v>0</v>
      </c>
      <c r="D581" s="58" t="s">
        <v>14</v>
      </c>
      <c r="E581" s="14" t="s">
        <v>229</v>
      </c>
      <c r="F581" s="4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621ED-C59B-4F6C-B87B-0EDF0988E0E5}">
  <sheetPr codeName="Sheet4"/>
  <dimension ref="B3:C19"/>
  <sheetViews>
    <sheetView workbookViewId="0">
      <selection activeCell="E11" sqref="E11"/>
    </sheetView>
  </sheetViews>
  <sheetFormatPr defaultRowHeight="15" x14ac:dyDescent="0.25"/>
  <sheetData>
    <row r="3" spans="2:3" x14ac:dyDescent="0.25">
      <c r="B3" s="16" t="s">
        <v>50</v>
      </c>
      <c r="C3" s="40" t="s">
        <v>66</v>
      </c>
    </row>
    <row r="4" spans="2:3" x14ac:dyDescent="0.25">
      <c r="B4" s="14" t="s">
        <v>20</v>
      </c>
      <c r="C4">
        <v>30</v>
      </c>
    </row>
    <row r="5" spans="2:3" x14ac:dyDescent="0.25">
      <c r="B5" s="14" t="s">
        <v>46</v>
      </c>
      <c r="C5">
        <v>30</v>
      </c>
    </row>
    <row r="6" spans="2:3" x14ac:dyDescent="0.25">
      <c r="B6" s="14" t="s">
        <v>30</v>
      </c>
      <c r="C6">
        <v>20</v>
      </c>
    </row>
    <row r="7" spans="2:3" x14ac:dyDescent="0.25">
      <c r="B7" s="14" t="s">
        <v>24</v>
      </c>
      <c r="C7">
        <v>20</v>
      </c>
    </row>
    <row r="8" spans="2:3" x14ac:dyDescent="0.25">
      <c r="B8" s="14" t="s">
        <v>22</v>
      </c>
      <c r="C8">
        <v>18</v>
      </c>
    </row>
    <row r="9" spans="2:3" x14ac:dyDescent="0.25">
      <c r="B9" s="14" t="s">
        <v>34</v>
      </c>
      <c r="C9">
        <v>13</v>
      </c>
    </row>
    <row r="10" spans="2:3" x14ac:dyDescent="0.25">
      <c r="B10" s="14" t="s">
        <v>28</v>
      </c>
      <c r="C10">
        <v>10</v>
      </c>
    </row>
    <row r="11" spans="2:3" x14ac:dyDescent="0.25">
      <c r="B11" s="14" t="s">
        <v>48</v>
      </c>
      <c r="C11">
        <v>10</v>
      </c>
    </row>
    <row r="12" spans="2:3" x14ac:dyDescent="0.25">
      <c r="B12" s="14" t="s">
        <v>53</v>
      </c>
      <c r="C12">
        <v>10</v>
      </c>
    </row>
    <row r="13" spans="2:3" x14ac:dyDescent="0.25">
      <c r="B13" s="14" t="s">
        <v>44</v>
      </c>
      <c r="C13">
        <v>10</v>
      </c>
    </row>
    <row r="14" spans="2:3" x14ac:dyDescent="0.25">
      <c r="B14" s="14" t="s">
        <v>26</v>
      </c>
      <c r="C14">
        <v>8</v>
      </c>
    </row>
    <row r="15" spans="2:3" x14ac:dyDescent="0.25">
      <c r="B15" s="14" t="s">
        <v>36</v>
      </c>
      <c r="C15">
        <v>6</v>
      </c>
    </row>
    <row r="16" spans="2:3" x14ac:dyDescent="0.25">
      <c r="B16" s="14" t="s">
        <v>32</v>
      </c>
      <c r="C16">
        <v>6</v>
      </c>
    </row>
    <row r="17" spans="2:3" x14ac:dyDescent="0.25">
      <c r="B17" s="14" t="s">
        <v>42</v>
      </c>
      <c r="C17">
        <v>6</v>
      </c>
    </row>
    <row r="18" spans="2:3" x14ac:dyDescent="0.25">
      <c r="B18" s="14" t="s">
        <v>38</v>
      </c>
      <c r="C18">
        <v>6</v>
      </c>
    </row>
    <row r="19" spans="2:3" x14ac:dyDescent="0.25">
      <c r="B19" s="14" t="s">
        <v>40</v>
      </c>
      <c r="C19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5C21E-0ACD-4187-AC4F-56019DA3ACF1}">
  <sheetPr codeName="Sheet5"/>
  <dimension ref="B1:L12"/>
  <sheetViews>
    <sheetView workbookViewId="0">
      <selection activeCell="C16" sqref="C16"/>
    </sheetView>
  </sheetViews>
  <sheetFormatPr defaultRowHeight="15" x14ac:dyDescent="0.25"/>
  <cols>
    <col min="2" max="5" width="11.42578125" bestFit="1" customWidth="1"/>
    <col min="6" max="6" width="9.28515625" bestFit="1" customWidth="1"/>
  </cols>
  <sheetData>
    <row r="1" spans="2:12" x14ac:dyDescent="0.25">
      <c r="B1" s="50">
        <f ca="1">TODAY()</f>
        <v>46122</v>
      </c>
    </row>
    <row r="2" spans="2:12" x14ac:dyDescent="0.25">
      <c r="B2" s="52" t="s">
        <v>115</v>
      </c>
      <c r="C2" s="52" t="s">
        <v>80</v>
      </c>
      <c r="D2" s="52" t="s">
        <v>55</v>
      </c>
      <c r="E2" s="52" t="s">
        <v>104</v>
      </c>
      <c r="F2" s="52" t="s">
        <v>114</v>
      </c>
    </row>
    <row r="3" spans="2:12" x14ac:dyDescent="0.25">
      <c r="B3" s="14">
        <v>1</v>
      </c>
      <c r="C3" s="14" t="s">
        <v>14</v>
      </c>
      <c r="D3" s="53" t="s">
        <v>69</v>
      </c>
      <c r="E3" s="54">
        <v>46125</v>
      </c>
      <c r="F3" s="1">
        <v>1</v>
      </c>
      <c r="L3" t="s">
        <v>246</v>
      </c>
    </row>
    <row r="4" spans="2:12" x14ac:dyDescent="0.25">
      <c r="B4" s="14">
        <v>2</v>
      </c>
      <c r="C4" s="14" t="s">
        <v>15</v>
      </c>
      <c r="D4" s="53" t="s">
        <v>69</v>
      </c>
      <c r="E4" s="54">
        <v>46128</v>
      </c>
      <c r="F4" s="1">
        <v>0</v>
      </c>
    </row>
    <row r="5" spans="2:12" x14ac:dyDescent="0.25">
      <c r="B5" s="14">
        <v>3</v>
      </c>
      <c r="C5" s="14" t="s">
        <v>81</v>
      </c>
      <c r="D5" s="53" t="s">
        <v>69</v>
      </c>
      <c r="E5" s="54">
        <v>46140</v>
      </c>
      <c r="F5" s="1">
        <v>3</v>
      </c>
    </row>
    <row r="6" spans="2:12" x14ac:dyDescent="0.25">
      <c r="B6" s="14">
        <v>4</v>
      </c>
      <c r="C6" s="14"/>
      <c r="D6" s="53"/>
      <c r="E6" s="54"/>
      <c r="F6" s="1"/>
    </row>
    <row r="7" spans="2:12" x14ac:dyDescent="0.25">
      <c r="B7" s="14">
        <v>5</v>
      </c>
      <c r="C7" s="14"/>
      <c r="D7" s="53"/>
      <c r="E7" s="54"/>
      <c r="F7" s="1"/>
    </row>
    <row r="8" spans="2:12" x14ac:dyDescent="0.25">
      <c r="B8" s="14">
        <v>6</v>
      </c>
      <c r="C8" s="14"/>
      <c r="D8" s="53"/>
      <c r="E8" s="54"/>
      <c r="F8" s="1"/>
    </row>
    <row r="9" spans="2:12" x14ac:dyDescent="0.25">
      <c r="B9" s="14">
        <v>7</v>
      </c>
      <c r="C9" s="14"/>
      <c r="D9" s="53"/>
      <c r="E9" s="54"/>
      <c r="F9" s="1"/>
    </row>
    <row r="10" spans="2:12" x14ac:dyDescent="0.25">
      <c r="B10" s="14"/>
      <c r="C10" s="14"/>
      <c r="D10" s="53"/>
      <c r="E10" s="14"/>
      <c r="F10" s="1"/>
    </row>
    <row r="12" spans="2:12" x14ac:dyDescent="0.25">
      <c r="K12" s="72"/>
    </row>
  </sheetData>
  <phoneticPr fontId="5" type="noConversion"/>
  <dataValidations count="2">
    <dataValidation type="list" allowBlank="1" showInputMessage="1" showErrorMessage="1" sqref="C3:C10" xr:uid="{2263BD95-3838-4BC4-AA1F-B5AFF9A781CC}">
      <formula1>"NIFTY,BANKNIFTY,SENSEX"</formula1>
    </dataValidation>
    <dataValidation type="list" allowBlank="1" showInputMessage="1" showErrorMessage="1" sqref="E3:E9" xr:uid="{B2A980C2-2FBA-460B-A9D5-7B024E6A23E5}">
      <formula1>INDIRECT(C3)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96C59C-EED3-4438-AED9-82BAAF08D0FE}">
          <x14:formula1>
            <xm:f>Margin!$B$3:$B$20</xm:f>
          </x14:formula1>
          <xm:sqref>D3:D10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BA738-8725-4B42-BD18-6F8F4C9E9469}">
  <sheetPr codeName="Sheet6"/>
  <dimension ref="B2:W56"/>
  <sheetViews>
    <sheetView topLeftCell="I1" workbookViewId="0">
      <selection activeCell="S24" sqref="S24"/>
    </sheetView>
  </sheetViews>
  <sheetFormatPr defaultRowHeight="15" x14ac:dyDescent="0.25"/>
  <cols>
    <col min="2" max="2" width="24.7109375" bestFit="1" customWidth="1"/>
    <col min="3" max="4" width="12.7109375" customWidth="1"/>
    <col min="8" max="8" width="11.28515625" customWidth="1"/>
    <col min="9" max="9" width="15.5703125" bestFit="1" customWidth="1"/>
    <col min="10" max="10" width="13.42578125" customWidth="1"/>
    <col min="11" max="11" width="18.7109375" bestFit="1" customWidth="1"/>
    <col min="12" max="12" width="14.7109375" customWidth="1"/>
    <col min="13" max="13" width="13.85546875" bestFit="1" customWidth="1"/>
    <col min="14" max="14" width="11.7109375" bestFit="1" customWidth="1"/>
    <col min="15" max="15" width="20.42578125" customWidth="1"/>
    <col min="16" max="16" width="18" customWidth="1"/>
    <col min="18" max="18" width="11.5703125" bestFit="1" customWidth="1"/>
    <col min="19" max="19" width="20.7109375" bestFit="1" customWidth="1"/>
    <col min="20" max="20" width="16" customWidth="1"/>
    <col min="21" max="21" width="12.42578125" customWidth="1"/>
    <col min="22" max="22" width="10.85546875" customWidth="1"/>
  </cols>
  <sheetData>
    <row r="2" spans="2:22" x14ac:dyDescent="0.25">
      <c r="B2" t="s">
        <v>55</v>
      </c>
      <c r="C2" t="s">
        <v>15</v>
      </c>
      <c r="D2" t="s">
        <v>81</v>
      </c>
      <c r="E2" t="s">
        <v>14</v>
      </c>
      <c r="R2" s="9" t="s">
        <v>18</v>
      </c>
      <c r="S2" s="10" t="s">
        <v>19</v>
      </c>
      <c r="T2" s="10" t="s">
        <v>70</v>
      </c>
      <c r="U2" s="11" t="s">
        <v>71</v>
      </c>
      <c r="V2" s="10" t="s">
        <v>75</v>
      </c>
    </row>
    <row r="3" spans="2:22" x14ac:dyDescent="0.25">
      <c r="B3" s="1" t="s">
        <v>16</v>
      </c>
      <c r="C3" s="4">
        <v>33</v>
      </c>
      <c r="D3" s="4"/>
      <c r="E3" s="4">
        <v>33</v>
      </c>
      <c r="F3" s="4"/>
      <c r="H3" s="10" t="s">
        <v>80</v>
      </c>
      <c r="I3" s="9" t="s">
        <v>55</v>
      </c>
      <c r="J3" s="10" t="s">
        <v>10</v>
      </c>
      <c r="K3" s="10" t="s">
        <v>107</v>
      </c>
      <c r="L3" s="10" t="s">
        <v>108</v>
      </c>
      <c r="M3" s="10" t="s">
        <v>109</v>
      </c>
      <c r="N3" s="10" t="s">
        <v>110</v>
      </c>
      <c r="O3" s="10" t="s">
        <v>12</v>
      </c>
      <c r="P3" s="11" t="s">
        <v>13</v>
      </c>
      <c r="R3" s="5" t="s">
        <v>20</v>
      </c>
      <c r="S3" s="1" t="s">
        <v>21</v>
      </c>
      <c r="T3" s="2">
        <v>75000000</v>
      </c>
      <c r="U3" s="20">
        <v>75000000</v>
      </c>
    </row>
    <row r="4" spans="2:22" x14ac:dyDescent="0.25">
      <c r="B4" s="1" t="s">
        <v>17</v>
      </c>
      <c r="C4" s="4">
        <v>33</v>
      </c>
      <c r="D4" s="4"/>
      <c r="E4" s="4">
        <v>0</v>
      </c>
      <c r="F4" s="4"/>
      <c r="H4" s="1" t="s">
        <v>14</v>
      </c>
      <c r="I4" s="1" t="s">
        <v>16</v>
      </c>
      <c r="J4" s="1"/>
      <c r="K4" s="2" cm="1">
        <f t="array" ref="K4">INDEX(LOT[#All],MATCH(Margin[[#This Row],[Strategy]],LOT[[#All],[Strategy]],0),MATCH(Margin[[#This Row],[Index]],LOT[#Headers],0))*_xlfn._xlws.FILTER(MR_2[W.O.H],(MR_2[Index]=Margin[[#This Row],[Index]])*(MR_2[Day Type]="N.Expiry"))</f>
        <v>8613000</v>
      </c>
      <c r="L4" s="2" cm="1">
        <f t="array" ref="L4">INDEX(LOT[#All],MATCH(Margin[[#This Row],[Strategy]],LOT[[#All],[Strategy]],0),MATCH(Margin[[#This Row],[Index]],LOT[#Headers],0))*_xlfn._xlws.FILTER(MR_2[W.H],(MR_2[Index]=Margin[[#This Row],[Index]])*(MR_2[Day Type]="N.Expiry"))</f>
        <v>5280000</v>
      </c>
      <c r="M4" s="2" cm="1">
        <f t="array" ref="M4">INDEX(LOT[#All],MATCH(Margin[[#This Row],[Strategy]],LOT[[#All],[Strategy]],0),MATCH(Margin[[#This Row],[Index]],LOT[#Headers],0))*_xlfn._xlws.FILTER(MR_2[W.O.H],(MR_2[Index]=Margin[[#This Row],[Index]])*(MR_2[Day Type]="Expiry"))</f>
        <v>11220000</v>
      </c>
      <c r="N4" s="2" cm="1">
        <f t="array" ref="N4">INDEX(LOT[#All],MATCH(Margin[[#This Row],[Strategy]],LOT[[#All],[Strategy]],0),MATCH(Margin[[#This Row],[Index]],LOT[#Headers],0))*_xlfn._xlws.FILTER(MR_2[W.H],(MR_2[Index]=Margin[[#This Row],[Index]])*(MR_2[Day Type]="Expiry"))</f>
        <v>7920000</v>
      </c>
      <c r="O4" s="3"/>
      <c r="P4" s="3"/>
      <c r="R4" s="5" t="s">
        <v>30</v>
      </c>
      <c r="S4" s="1" t="s">
        <v>31</v>
      </c>
      <c r="T4" s="2">
        <v>63000000</v>
      </c>
      <c r="U4" s="20">
        <v>60000000</v>
      </c>
      <c r="V4" t="s">
        <v>74</v>
      </c>
    </row>
    <row r="5" spans="2:22" x14ac:dyDescent="0.25">
      <c r="B5" s="1" t="s">
        <v>0</v>
      </c>
      <c r="C5" s="4">
        <v>11</v>
      </c>
      <c r="D5" s="4"/>
      <c r="E5" s="4">
        <v>21</v>
      </c>
      <c r="F5" s="4"/>
      <c r="H5" s="1" t="s">
        <v>14</v>
      </c>
      <c r="I5" s="1" t="s">
        <v>17</v>
      </c>
      <c r="J5" s="1"/>
      <c r="K5" s="2" cm="1">
        <f t="array" ref="K5">INDEX(LOT[#All],MATCH(Margin[[#This Row],[Strategy]],LOT[[#All],[Strategy]],0),MATCH(Margin[[#This Row],[Index]],LOT[#Headers],0))*_xlfn._xlws.FILTER(MR_2[W.O.H],(MR_2[Index]=Margin[[#This Row],[Index]])*(MR_2[Day Type]="N.Expiry"))</f>
        <v>0</v>
      </c>
      <c r="L5" s="2" cm="1">
        <f t="array" ref="L5">INDEX(LOT[#All],MATCH(Margin[[#This Row],[Strategy]],LOT[[#All],[Strategy]],0),MATCH(Margin[[#This Row],[Index]],LOT[#Headers],0))*_xlfn._xlws.FILTER(MR_2[W.H],(MR_2[Index]=Margin[[#This Row],[Index]])*(MR_2[Day Type]="N.Expiry"))</f>
        <v>0</v>
      </c>
      <c r="M5" s="2" cm="1">
        <f t="array" ref="M5">INDEX(LOT[#All],MATCH(Margin[[#This Row],[Strategy]],LOT[[#All],[Strategy]],0),MATCH(Margin[[#This Row],[Index]],LOT[#Headers],0))*_xlfn._xlws.FILTER(MR_2[W.O.H],(MR_2[Index]=Margin[[#This Row],[Index]])*(MR_2[Day Type]="Expiry"))</f>
        <v>0</v>
      </c>
      <c r="N5" s="2" cm="1">
        <f t="array" ref="N5">INDEX(LOT[#All],MATCH(Margin[[#This Row],[Strategy]],LOT[[#All],[Strategy]],0),MATCH(Margin[[#This Row],[Index]],LOT[#Headers],0))*_xlfn._xlws.FILTER(MR_2[W.H],(MR_2[Index]=Margin[[#This Row],[Index]])*(MR_2[Day Type]="Expiry"))</f>
        <v>0</v>
      </c>
      <c r="O5" s="3"/>
      <c r="P5" s="3"/>
      <c r="R5" s="5" t="s">
        <v>22</v>
      </c>
      <c r="S5" s="1" t="s">
        <v>23</v>
      </c>
      <c r="T5" s="2">
        <v>55000000</v>
      </c>
      <c r="U5" s="20">
        <v>51000000</v>
      </c>
      <c r="V5" t="s">
        <v>74</v>
      </c>
    </row>
    <row r="6" spans="2:22" x14ac:dyDescent="0.25">
      <c r="B6" s="1" t="s">
        <v>69</v>
      </c>
      <c r="C6" s="4">
        <v>6</v>
      </c>
      <c r="D6" s="4">
        <v>6</v>
      </c>
      <c r="E6" s="4">
        <v>10</v>
      </c>
      <c r="F6" s="4"/>
      <c r="H6" s="1" t="s">
        <v>15</v>
      </c>
      <c r="I6" s="1" t="s">
        <v>16</v>
      </c>
      <c r="J6" s="1"/>
      <c r="K6" s="2" cm="1">
        <f t="array" ref="K6">INDEX(LOT[#All],MATCH(Margin[[#This Row],[Strategy]],LOT[[#All],[Strategy]],0),MATCH(Margin[[#This Row],[Index]],LOT[#Headers],0))*_xlfn._xlws.FILTER(MR_2[W.O.H],(MR_2[Index]=Margin[[#This Row],[Index]])*(MR_2[Day Type]="N.Expiry"))</f>
        <v>7359000</v>
      </c>
      <c r="L6" s="2" cm="1">
        <f t="array" ref="L6">INDEX(LOT[#All],MATCH(Margin[[#This Row],[Strategy]],LOT[[#All],[Strategy]],0),MATCH(Margin[[#This Row],[Index]],LOT[#Headers],0))*_xlfn._xlws.FILTER(MR_2[W.H],(MR_2[Index]=Margin[[#This Row],[Index]])*(MR_2[Day Type]="N.Expiry"))</f>
        <v>3828000</v>
      </c>
      <c r="M6" s="2" cm="1">
        <f t="array" ref="M6">INDEX(LOT[#All],MATCH(Margin[[#This Row],[Strategy]],LOT[[#All],[Strategy]],0),MATCH(Margin[[#This Row],[Index]],LOT[#Headers],0))*_xlfn._xlws.FILTER(MR_2[W.O.H],(MR_2[Index]=Margin[[#This Row],[Index]])*(MR_2[Day Type]="Expiry"))</f>
        <v>9900000</v>
      </c>
      <c r="N6" s="2" cm="1">
        <f t="array" ref="N6">INDEX(LOT[#All],MATCH(Margin[[#This Row],[Strategy]],LOT[[#All],[Strategy]],0),MATCH(Margin[[#This Row],[Index]],LOT[#Headers],0))*_xlfn._xlws.FILTER(MR_2[W.H],(MR_2[Index]=Margin[[#This Row],[Index]])*(MR_2[Day Type]="Expiry"))</f>
        <v>6105000</v>
      </c>
      <c r="O6" s="1"/>
      <c r="P6" s="1"/>
      <c r="R6" s="44" t="s">
        <v>24</v>
      </c>
      <c r="S6" s="45" t="s">
        <v>25</v>
      </c>
      <c r="T6" s="46">
        <v>63000000</v>
      </c>
      <c r="U6" s="47">
        <v>57500000</v>
      </c>
      <c r="V6" s="48" t="s">
        <v>74</v>
      </c>
    </row>
    <row r="7" spans="2:22" x14ac:dyDescent="0.25">
      <c r="B7" s="1" t="s">
        <v>154</v>
      </c>
      <c r="C7" s="4">
        <v>0</v>
      </c>
      <c r="D7" s="4"/>
      <c r="E7" s="4">
        <v>11</v>
      </c>
      <c r="F7" s="4"/>
      <c r="H7" s="1" t="s">
        <v>15</v>
      </c>
      <c r="I7" s="1" t="s">
        <v>17</v>
      </c>
      <c r="J7" s="1"/>
      <c r="K7" s="2" cm="1">
        <f t="array" ref="K7">INDEX(LOT[#All],MATCH(Margin[[#This Row],[Strategy]],LOT[[#All],[Strategy]],0),MATCH(Margin[[#This Row],[Index]],LOT[#Headers],0))*_xlfn._xlws.FILTER(MR_2[W.O.H],(MR_2[Index]=Margin[[#This Row],[Index]])*(MR_2[Day Type]="N.Expiry"))</f>
        <v>7359000</v>
      </c>
      <c r="L7" s="2" cm="1">
        <f t="array" ref="L7">INDEX(LOT[#All],MATCH(Margin[[#This Row],[Strategy]],LOT[[#All],[Strategy]],0),MATCH(Margin[[#This Row],[Index]],LOT[#Headers],0))*_xlfn._xlws.FILTER(MR_2[W.H],(MR_2[Index]=Margin[[#This Row],[Index]])*(MR_2[Day Type]="N.Expiry"))</f>
        <v>3828000</v>
      </c>
      <c r="M7" s="2" cm="1">
        <f t="array" ref="M7">INDEX(LOT[#All],MATCH(Margin[[#This Row],[Strategy]],LOT[[#All],[Strategy]],0),MATCH(Margin[[#This Row],[Index]],LOT[#Headers],0))*_xlfn._xlws.FILTER(MR_2[W.O.H],(MR_2[Index]=Margin[[#This Row],[Index]])*(MR_2[Day Type]="Expiry"))</f>
        <v>9900000</v>
      </c>
      <c r="N7" s="2" cm="1">
        <f t="array" ref="N7">INDEX(LOT[#All],MATCH(Margin[[#This Row],[Strategy]],LOT[[#All],[Strategy]],0),MATCH(Margin[[#This Row],[Index]],LOT[#Headers],0))*_xlfn._xlws.FILTER(MR_2[W.H],(MR_2[Index]=Margin[[#This Row],[Index]])*(MR_2[Day Type]="Expiry"))</f>
        <v>6105000</v>
      </c>
      <c r="O7" s="1"/>
      <c r="P7" s="1"/>
      <c r="R7" s="5" t="s">
        <v>34</v>
      </c>
      <c r="S7" s="1" t="s">
        <v>35</v>
      </c>
      <c r="T7" s="2">
        <v>40000000</v>
      </c>
      <c r="U7" s="20">
        <v>35000000</v>
      </c>
      <c r="V7" t="s">
        <v>74</v>
      </c>
    </row>
    <row r="8" spans="2:22" x14ac:dyDescent="0.25">
      <c r="B8" s="1" t="s">
        <v>68</v>
      </c>
      <c r="C8" s="4">
        <v>0</v>
      </c>
      <c r="D8" s="4"/>
      <c r="E8" s="4">
        <v>1</v>
      </c>
      <c r="F8" s="4"/>
      <c r="H8" s="1" t="s">
        <v>14</v>
      </c>
      <c r="I8" s="1" t="s">
        <v>0</v>
      </c>
      <c r="J8" s="1"/>
      <c r="K8" s="2" cm="1">
        <f t="array" ref="K8">INDEX(LOT[#All],MATCH(Margin[[#This Row],[Strategy]],LOT[[#All],[Strategy]],0),MATCH(Margin[[#This Row],[Index]],LOT[#Headers],0))*_xlfn._xlws.FILTER(MR_2[W.O.H],(MR_2[Index]=Margin[[#This Row],[Index]])*(MR_2[Day Type]="N.Expiry"))</f>
        <v>5481000</v>
      </c>
      <c r="L8" s="2" cm="1">
        <f t="array" ref="L8">INDEX(LOT[#All],MATCH(Margin[[#This Row],[Strategy]],LOT[[#All],[Strategy]],0),MATCH(Margin[[#This Row],[Index]],LOT[#Headers],0))*_xlfn._xlws.FILTER(MR_2[W.H],(MR_2[Index]=Margin[[#This Row],[Index]])*(MR_2[Day Type]="N.Expiry"))</f>
        <v>3360000</v>
      </c>
      <c r="M8" s="2" cm="1">
        <f t="array" ref="M8">INDEX(LOT[#All],MATCH(Margin[[#This Row],[Strategy]],LOT[[#All],[Strategy]],0),MATCH(Margin[[#This Row],[Index]],LOT[#Headers],0))*_xlfn._xlws.FILTER(MR_2[W.O.H],(MR_2[Index]=Margin[[#This Row],[Index]])*(MR_2[Day Type]="Expiry"))</f>
        <v>7140000</v>
      </c>
      <c r="N8" s="2" cm="1">
        <f t="array" ref="N8">INDEX(LOT[#All],MATCH(Margin[[#This Row],[Strategy]],LOT[[#All],[Strategy]],0),MATCH(Margin[[#This Row],[Index]],LOT[#Headers],0))*_xlfn._xlws.FILTER(MR_2[W.H],(MR_2[Index]=Margin[[#This Row],[Index]])*(MR_2[Day Type]="Expiry"))</f>
        <v>5040000</v>
      </c>
      <c r="O8" s="3"/>
      <c r="P8" s="3"/>
      <c r="R8" s="5" t="s">
        <v>28</v>
      </c>
      <c r="S8" s="1" t="s">
        <v>29</v>
      </c>
      <c r="T8" s="2">
        <v>30000000</v>
      </c>
      <c r="U8" s="20">
        <v>28000000</v>
      </c>
      <c r="V8" t="s">
        <v>76</v>
      </c>
    </row>
    <row r="9" spans="2:22" x14ac:dyDescent="0.25">
      <c r="B9" s="1" t="s">
        <v>1</v>
      </c>
      <c r="C9" s="4">
        <v>3</v>
      </c>
      <c r="D9" s="4"/>
      <c r="E9" s="4">
        <v>4</v>
      </c>
      <c r="F9" s="4"/>
      <c r="H9" s="1" t="s">
        <v>14</v>
      </c>
      <c r="I9" s="1" t="s">
        <v>154</v>
      </c>
      <c r="J9" s="1"/>
      <c r="K9" s="2" cm="1">
        <f t="array" ref="K9">INDEX(LOT[#All],MATCH(Margin[[#This Row],[Strategy]],LOT[[#All],[Strategy]],0),MATCH(Margin[[#This Row],[Index]],LOT[#Headers],0))*_xlfn._xlws.FILTER(MR_2[W.O.H],(MR_2[Index]=Margin[[#This Row],[Index]])*(MR_2[Day Type]="N.Expiry"))</f>
        <v>2871000</v>
      </c>
      <c r="L9" s="2" cm="1">
        <f t="array" ref="L9">INDEX(LOT[#All],MATCH(Margin[[#This Row],[Strategy]],LOT[[#All],[Strategy]],0),MATCH(Margin[[#This Row],[Index]],LOT[#Headers],0))*_xlfn._xlws.FILTER(MR_2[W.H],(MR_2[Index]=Margin[[#This Row],[Index]])*(MR_2[Day Type]="N.Expiry"))</f>
        <v>1760000</v>
      </c>
      <c r="M9" s="2" cm="1">
        <f t="array" ref="M9">INDEX(LOT[#All],MATCH(Margin[[#This Row],[Strategy]],LOT[[#All],[Strategy]],0),MATCH(Margin[[#This Row],[Index]],LOT[#Headers],0))*_xlfn._xlws.FILTER(MR_2[W.O.H],(MR_2[Index]=Margin[[#This Row],[Index]])*(MR_2[Day Type]="Expiry"))</f>
        <v>3740000</v>
      </c>
      <c r="N9" s="2" cm="1">
        <f t="array" ref="N9">INDEX(LOT[#All],MATCH(Margin[[#This Row],[Strategy]],LOT[[#All],[Strategy]],0),MATCH(Margin[[#This Row],[Index]],LOT[#Headers],0))*_xlfn._xlws.FILTER(MR_2[W.H],(MR_2[Index]=Margin[[#This Row],[Index]])*(MR_2[Day Type]="Expiry"))</f>
        <v>2640000</v>
      </c>
      <c r="O9" s="1"/>
      <c r="P9" s="3">
        <v>0.1</v>
      </c>
      <c r="R9" s="5" t="s">
        <v>48</v>
      </c>
      <c r="S9" s="1" t="s">
        <v>49</v>
      </c>
      <c r="T9" s="2">
        <v>30000000</v>
      </c>
      <c r="U9" s="20">
        <v>29000000</v>
      </c>
      <c r="V9" t="s">
        <v>76</v>
      </c>
    </row>
    <row r="10" spans="2:22" x14ac:dyDescent="0.25">
      <c r="B10" s="1" t="s">
        <v>67</v>
      </c>
      <c r="C10" s="4">
        <v>0</v>
      </c>
      <c r="D10" s="4"/>
      <c r="E10" s="4">
        <v>1</v>
      </c>
      <c r="F10" s="4"/>
      <c r="H10" s="1" t="s">
        <v>15</v>
      </c>
      <c r="I10" s="1" t="s">
        <v>202</v>
      </c>
      <c r="J10" s="1"/>
      <c r="K10" s="2" cm="1">
        <f t="array" ref="K10">INDEX(LOT[#All],MATCH(Margin[[#This Row],[Strategy]],LOT[[#All],[Strategy]],0),MATCH(Margin[[#This Row],[Index]],LOT[#Headers],0))*_xlfn._xlws.FILTER(MR_2[W.O.H],(MR_2[Index]=Margin[[#This Row],[Index]])*(MR_2[Day Type]="N.Expiry"))</f>
        <v>669000</v>
      </c>
      <c r="L10" s="2" cm="1">
        <f t="array" ref="L10">INDEX(LOT[#All],MATCH(Margin[[#This Row],[Strategy]],LOT[[#All],[Strategy]],0),MATCH(Margin[[#This Row],[Index]],LOT[#Headers],0))*_xlfn._xlws.FILTER(MR_2[W.H],(MR_2[Index]=Margin[[#This Row],[Index]])*(MR_2[Day Type]="N.Expiry"))</f>
        <v>348000</v>
      </c>
      <c r="M10" s="2" cm="1">
        <f t="array" ref="M10">INDEX(LOT[#All],MATCH(Margin[[#This Row],[Strategy]],LOT[[#All],[Strategy]],0),MATCH(Margin[[#This Row],[Index]],LOT[#Headers],0))*_xlfn._xlws.FILTER(MR_2[W.O.H],(MR_2[Index]=Margin[[#This Row],[Index]])*(MR_2[Day Type]="Expiry"))</f>
        <v>900000</v>
      </c>
      <c r="N10" s="2" cm="1">
        <f t="array" ref="N10">INDEX(LOT[#All],MATCH(Margin[[#This Row],[Strategy]],LOT[[#All],[Strategy]],0),MATCH(Margin[[#This Row],[Index]],LOT[#Headers],0))*_xlfn._xlws.FILTER(MR_2[W.H],(MR_2[Index]=Margin[[#This Row],[Index]])*(MR_2[Day Type]="Expiry"))</f>
        <v>555000</v>
      </c>
      <c r="O10" s="1"/>
      <c r="P10" s="22">
        <v>0.1</v>
      </c>
      <c r="R10" s="6" t="s">
        <v>46</v>
      </c>
      <c r="S10" s="7" t="s">
        <v>47</v>
      </c>
      <c r="T10" s="8">
        <v>69000000</v>
      </c>
      <c r="U10" s="13">
        <v>68000000</v>
      </c>
      <c r="V10" t="s">
        <v>76</v>
      </c>
    </row>
    <row r="11" spans="2:22" x14ac:dyDescent="0.25">
      <c r="B11" s="1" t="s">
        <v>66</v>
      </c>
      <c r="C11" s="4">
        <v>1</v>
      </c>
      <c r="D11" s="4"/>
      <c r="E11" s="4">
        <v>1</v>
      </c>
      <c r="F11" s="4"/>
      <c r="H11" s="1" t="s">
        <v>14</v>
      </c>
      <c r="I11" s="1" t="s">
        <v>1</v>
      </c>
      <c r="J11" s="1"/>
      <c r="K11" s="2" cm="1">
        <f t="array" ref="K11">INDEX(LOT[#All],MATCH(Margin[[#This Row],[Strategy]],LOT[[#All],[Strategy]],0),MATCH(Margin[[#This Row],[Index]],LOT[#Headers],0))*_xlfn._xlws.FILTER(MR_2[W.O.H],(MR_2[Index]=Margin[[#This Row],[Index]])*(MR_2[Day Type]="N.Expiry"))</f>
        <v>1044000</v>
      </c>
      <c r="L11" s="2" cm="1">
        <f t="array" ref="L11">INDEX(LOT[#All],MATCH(Margin[[#This Row],[Strategy]],LOT[[#All],[Strategy]],0),MATCH(Margin[[#This Row],[Index]],LOT[#Headers],0))*_xlfn._xlws.FILTER(MR_2[W.H],(MR_2[Index]=Margin[[#This Row],[Index]])*(MR_2[Day Type]="N.Expiry"))</f>
        <v>640000</v>
      </c>
      <c r="M11" s="2" cm="1">
        <f t="array" ref="M11">INDEX(LOT[#All],MATCH(Margin[[#This Row],[Strategy]],LOT[[#All],[Strategy]],0),MATCH(Margin[[#This Row],[Index]],LOT[#Headers],0))*_xlfn._xlws.FILTER(MR_2[W.O.H],(MR_2[Index]=Margin[[#This Row],[Index]])*(MR_2[Day Type]="Expiry"))</f>
        <v>1360000</v>
      </c>
      <c r="N11" s="2" cm="1">
        <f t="array" ref="N11">INDEX(LOT[#All],MATCH(Margin[[#This Row],[Strategy]],LOT[[#All],[Strategy]],0),MATCH(Margin[[#This Row],[Index]],LOT[#Headers],0))*_xlfn._xlws.FILTER(MR_2[W.H],(MR_2[Index]=Margin[[#This Row],[Index]])*(MR_2[Day Type]="Expiry"))</f>
        <v>960000</v>
      </c>
      <c r="O11" s="1"/>
      <c r="P11" s="22">
        <v>0.45</v>
      </c>
      <c r="R11" s="44" t="s">
        <v>26</v>
      </c>
      <c r="S11" s="45" t="s">
        <v>27</v>
      </c>
      <c r="T11" s="46">
        <v>23000000</v>
      </c>
      <c r="U11" s="47">
        <v>20000000</v>
      </c>
      <c r="V11" s="48" t="s">
        <v>77</v>
      </c>
    </row>
    <row r="12" spans="2:22" x14ac:dyDescent="0.25">
      <c r="B12" s="1" t="s">
        <v>2</v>
      </c>
      <c r="C12" s="4">
        <v>1</v>
      </c>
      <c r="D12" s="4"/>
      <c r="E12" s="4">
        <v>1</v>
      </c>
      <c r="F12" s="4"/>
      <c r="H12" s="1" t="s">
        <v>15</v>
      </c>
      <c r="I12" s="1" t="s">
        <v>1</v>
      </c>
      <c r="J12" s="1"/>
      <c r="K12" s="2" cm="1">
        <f t="array" ref="K12">INDEX(LOT[#All],MATCH(Margin[[#This Row],[Strategy]],LOT[[#All],[Strategy]],0),MATCH(Margin[[#This Row],[Index]],LOT[#Headers],0))*_xlfn._xlws.FILTER(MR_2[W.O.H],(MR_2[Index]=Margin[[#This Row],[Index]])*(MR_2[Day Type]="N.Expiry"))</f>
        <v>669000</v>
      </c>
      <c r="L12" s="2" cm="1">
        <f t="array" ref="L12">INDEX(LOT[#All],MATCH(Margin[[#This Row],[Strategy]],LOT[[#All],[Strategy]],0),MATCH(Margin[[#This Row],[Index]],LOT[#Headers],0))*_xlfn._xlws.FILTER(MR_2[W.H],(MR_2[Index]=Margin[[#This Row],[Index]])*(MR_2[Day Type]="N.Expiry"))</f>
        <v>348000</v>
      </c>
      <c r="M12" s="2" cm="1">
        <f t="array" ref="M12">INDEX(LOT[#All],MATCH(Margin[[#This Row],[Strategy]],LOT[[#All],[Strategy]],0),MATCH(Margin[[#This Row],[Index]],LOT[#Headers],0))*_xlfn._xlws.FILTER(MR_2[W.O.H],(MR_2[Index]=Margin[[#This Row],[Index]])*(MR_2[Day Type]="Expiry"))</f>
        <v>900000</v>
      </c>
      <c r="N12" s="2" cm="1">
        <f t="array" ref="N12">INDEX(LOT[#All],MATCH(Margin[[#This Row],[Strategy]],LOT[[#All],[Strategy]],0),MATCH(Margin[[#This Row],[Index]],LOT[#Headers],0))*_xlfn._xlws.FILTER(MR_2[W.H],(MR_2[Index]=Margin[[#This Row],[Index]])*(MR_2[Day Type]="Expiry"))</f>
        <v>555000</v>
      </c>
      <c r="O12" s="3"/>
      <c r="P12" s="3">
        <v>0.4</v>
      </c>
      <c r="R12" s="5" t="s">
        <v>32</v>
      </c>
      <c r="S12" s="1" t="s">
        <v>33</v>
      </c>
      <c r="T12" s="2">
        <v>18000000</v>
      </c>
      <c r="U12" s="20">
        <v>18000000</v>
      </c>
      <c r="V12" t="s">
        <v>77</v>
      </c>
    </row>
    <row r="13" spans="2:22" x14ac:dyDescent="0.25">
      <c r="B13" s="1" t="s">
        <v>3</v>
      </c>
      <c r="C13" s="4">
        <v>1</v>
      </c>
      <c r="D13" s="4"/>
      <c r="E13" s="4">
        <v>1</v>
      </c>
      <c r="F13" s="4"/>
      <c r="H13" s="1" t="s">
        <v>14</v>
      </c>
      <c r="I13" s="1" t="s">
        <v>69</v>
      </c>
      <c r="J13" s="1"/>
      <c r="K13" s="2" cm="1">
        <f t="array" ref="K13">INDEX(LOT[#All],MATCH(Margin[[#This Row],[Strategy]],LOT[[#All],[Strategy]],0),MATCH(Margin[[#This Row],[Index]],LOT[#Headers],0))*_xlfn._xlws.FILTER(MR_2[W.O.H],(MR_2[Index]=Margin[[#This Row],[Index]])*(MR_2[Day Type]="N.Expiry"))</f>
        <v>2610000</v>
      </c>
      <c r="L13" s="2" cm="1">
        <f t="array" ref="L13">INDEX(LOT[#All],MATCH(Margin[[#This Row],[Strategy]],LOT[[#All],[Strategy]],0),MATCH(Margin[[#This Row],[Index]],LOT[#Headers],0))*_xlfn._xlws.FILTER(MR_2[W.H],(MR_2[Index]=Margin[[#This Row],[Index]])*(MR_2[Day Type]="N.Expiry"))</f>
        <v>1600000</v>
      </c>
      <c r="M13" s="2" cm="1">
        <f t="array" ref="M13">INDEX(LOT[#All],MATCH(Margin[[#This Row],[Strategy]],LOT[[#All],[Strategy]],0),MATCH(Margin[[#This Row],[Index]],LOT[#Headers],0))*_xlfn._xlws.FILTER(MR_2[W.O.H],(MR_2[Index]=Margin[[#This Row],[Index]])*(MR_2[Day Type]="Expiry"))</f>
        <v>3400000</v>
      </c>
      <c r="N13" s="2" cm="1">
        <f t="array" ref="N13">INDEX(LOT[#All],MATCH(Margin[[#This Row],[Strategy]],LOT[[#All],[Strategy]],0),MATCH(Margin[[#This Row],[Index]],LOT[#Headers],0))*_xlfn._xlws.FILTER(MR_2[W.H],(MR_2[Index]=Margin[[#This Row],[Index]])*(MR_2[Day Type]="Expiry"))</f>
        <v>2400000</v>
      </c>
      <c r="O13" s="3"/>
      <c r="P13" s="3">
        <v>0.1</v>
      </c>
      <c r="R13" s="44" t="s">
        <v>36</v>
      </c>
      <c r="S13" s="45" t="s">
        <v>37</v>
      </c>
      <c r="T13" s="46">
        <v>22000000</v>
      </c>
      <c r="U13" s="47">
        <v>18000000</v>
      </c>
      <c r="V13" s="48" t="s">
        <v>77</v>
      </c>
    </row>
    <row r="14" spans="2:22" x14ac:dyDescent="0.25">
      <c r="B14" s="1" t="s">
        <v>4</v>
      </c>
      <c r="C14" s="4">
        <v>1</v>
      </c>
      <c r="D14" s="4"/>
      <c r="E14" s="4">
        <v>1</v>
      </c>
      <c r="F14" s="4"/>
      <c r="H14" s="1" t="s">
        <v>81</v>
      </c>
      <c r="I14" s="1" t="s">
        <v>69</v>
      </c>
      <c r="J14" s="1"/>
      <c r="K14" s="2" cm="1">
        <f t="array" ref="K14">INDEX(LOT[#All],MATCH(Margin[[#This Row],[Strategy]],LOT[[#All],[Strategy]],0),MATCH(Margin[[#This Row],[Index]],LOT[#Headers],0))*_xlfn._xlws.FILTER(MR_2[W.O.H],(MR_2[Index]=Margin[[#This Row],[Index]])*(MR_2[Day Type]="N.Expiry"))</f>
        <v>1872000</v>
      </c>
      <c r="L14" s="2" cm="1">
        <f t="array" ref="L14">INDEX(LOT[#All],MATCH(Margin[[#This Row],[Strategy]],LOT[[#All],[Strategy]],0),MATCH(Margin[[#This Row],[Index]],LOT[#Headers],0))*_xlfn._xlws.FILTER(MR_2[W.H],(MR_2[Index]=Margin[[#This Row],[Index]])*(MR_2[Day Type]="N.Expiry"))</f>
        <v>1056000</v>
      </c>
      <c r="M14" s="2" cm="1">
        <f t="array" ref="M14">INDEX(LOT[#All],MATCH(Margin[[#This Row],[Strategy]],LOT[[#All],[Strategy]],0),MATCH(Margin[[#This Row],[Index]],LOT[#Headers],0))*_xlfn._xlws.FILTER(MR_2[W.O.H],(MR_2[Index]=Margin[[#This Row],[Index]])*(MR_2[Day Type]="Expiry"))</f>
        <v>2400000</v>
      </c>
      <c r="N14" s="2" cm="1">
        <f t="array" ref="N14">INDEX(LOT[#All],MATCH(Margin[[#This Row],[Strategy]],LOT[[#All],[Strategy]],0),MATCH(Margin[[#This Row],[Index]],LOT[#Headers],0))*_xlfn._xlws.FILTER(MR_2[W.H],(MR_2[Index]=Margin[[#This Row],[Index]])*(MR_2[Day Type]="Expiry"))</f>
        <v>1500000</v>
      </c>
      <c r="O14" s="22">
        <v>0.1</v>
      </c>
      <c r="P14" s="22"/>
      <c r="R14" s="44" t="s">
        <v>42</v>
      </c>
      <c r="S14" s="45" t="s">
        <v>43</v>
      </c>
      <c r="T14" s="46">
        <v>19000000</v>
      </c>
      <c r="U14" s="47">
        <v>17000000</v>
      </c>
      <c r="V14" s="48" t="s">
        <v>78</v>
      </c>
    </row>
    <row r="15" spans="2:22" x14ac:dyDescent="0.25">
      <c r="B15" s="1" t="s">
        <v>5</v>
      </c>
      <c r="C15" s="4">
        <v>1</v>
      </c>
      <c r="D15" s="4"/>
      <c r="E15" s="4">
        <v>1</v>
      </c>
      <c r="F15" s="4"/>
      <c r="H15" s="1" t="s">
        <v>15</v>
      </c>
      <c r="I15" s="1" t="s">
        <v>69</v>
      </c>
      <c r="J15" s="1"/>
      <c r="K15" s="2" cm="1">
        <f t="array" ref="K15">INDEX(LOT[#All],MATCH(Margin[[#This Row],[Strategy]],LOT[[#All],[Strategy]],0),MATCH(Margin[[#This Row],[Index]],LOT[#Headers],0))*_xlfn._xlws.FILTER(MR_2[W.O.H],(MR_2[Index]=Margin[[#This Row],[Index]])*(MR_2[Day Type]="N.Expiry"))</f>
        <v>1338000</v>
      </c>
      <c r="L15" s="2" cm="1">
        <f t="array" ref="L15">INDEX(LOT[#All],MATCH(Margin[[#This Row],[Strategy]],LOT[[#All],[Strategy]],0),MATCH(Margin[[#This Row],[Index]],LOT[#Headers],0))*_xlfn._xlws.FILTER(MR_2[W.H],(MR_2[Index]=Margin[[#This Row],[Index]])*(MR_2[Day Type]="N.Expiry"))</f>
        <v>696000</v>
      </c>
      <c r="M15" s="2" cm="1">
        <f t="array" ref="M15">INDEX(LOT[#All],MATCH(Margin[[#This Row],[Strategy]],LOT[[#All],[Strategy]],0),MATCH(Margin[[#This Row],[Index]],LOT[#Headers],0))*_xlfn._xlws.FILTER(MR_2[W.O.H],(MR_2[Index]=Margin[[#This Row],[Index]])*(MR_2[Day Type]="Expiry"))</f>
        <v>1800000</v>
      </c>
      <c r="N15" s="2" cm="1">
        <f t="array" ref="N15">INDEX(LOT[#All],MATCH(Margin[[#This Row],[Strategy]],LOT[[#All],[Strategy]],0),MATCH(Margin[[#This Row],[Index]],LOT[#Headers],0))*_xlfn._xlws.FILTER(MR_2[W.H],(MR_2[Index]=Margin[[#This Row],[Index]])*(MR_2[Day Type]="Expiry"))</f>
        <v>1110000</v>
      </c>
      <c r="O15" s="1"/>
      <c r="P15" s="22">
        <v>0.1</v>
      </c>
      <c r="R15" s="5" t="s">
        <v>44</v>
      </c>
      <c r="S15" s="1" t="s">
        <v>45</v>
      </c>
      <c r="T15" s="2">
        <v>24000000</v>
      </c>
      <c r="U15" s="21">
        <v>24000000</v>
      </c>
      <c r="V15" t="s">
        <v>78</v>
      </c>
    </row>
    <row r="16" spans="2:22" x14ac:dyDescent="0.25">
      <c r="B16" s="1" t="s">
        <v>6</v>
      </c>
      <c r="C16" s="4">
        <v>1</v>
      </c>
      <c r="D16" s="4"/>
      <c r="E16" s="4">
        <v>1</v>
      </c>
      <c r="F16" s="4"/>
      <c r="H16" s="1" t="s">
        <v>14</v>
      </c>
      <c r="I16" s="1" t="s">
        <v>2</v>
      </c>
      <c r="J16" s="1"/>
      <c r="K16" s="2">
        <v>350000</v>
      </c>
      <c r="L16" s="2">
        <v>350000</v>
      </c>
      <c r="M16" s="2">
        <v>350000</v>
      </c>
      <c r="N16" s="2">
        <v>350000</v>
      </c>
      <c r="O16" s="3"/>
      <c r="P16" s="3"/>
      <c r="R16" s="5" t="s">
        <v>38</v>
      </c>
      <c r="S16" s="1" t="s">
        <v>39</v>
      </c>
      <c r="T16" s="2">
        <v>14000000</v>
      </c>
      <c r="U16" s="20">
        <v>15000000</v>
      </c>
      <c r="V16" t="s">
        <v>78</v>
      </c>
    </row>
    <row r="17" spans="2:23" x14ac:dyDescent="0.25">
      <c r="B17" s="1" t="s">
        <v>7</v>
      </c>
      <c r="C17" s="4">
        <v>1</v>
      </c>
      <c r="D17" s="4"/>
      <c r="E17" s="4">
        <v>1</v>
      </c>
      <c r="F17" s="4"/>
      <c r="H17" s="1" t="s">
        <v>14</v>
      </c>
      <c r="I17" s="1" t="s">
        <v>3</v>
      </c>
      <c r="J17" s="1"/>
      <c r="K17" s="2">
        <v>350000</v>
      </c>
      <c r="L17" s="2">
        <v>350000</v>
      </c>
      <c r="M17" s="2">
        <v>350000</v>
      </c>
      <c r="N17" s="2">
        <v>350000</v>
      </c>
      <c r="O17" s="3"/>
      <c r="P17" s="3"/>
      <c r="R17" s="5" t="s">
        <v>40</v>
      </c>
      <c r="S17" s="1" t="s">
        <v>41</v>
      </c>
      <c r="T17" s="2">
        <v>13000000</v>
      </c>
      <c r="U17" s="20">
        <v>13000000</v>
      </c>
      <c r="V17" t="s">
        <v>78</v>
      </c>
    </row>
    <row r="18" spans="2:23" x14ac:dyDescent="0.25">
      <c r="B18" s="1" t="s">
        <v>8</v>
      </c>
      <c r="C18" s="4">
        <v>1</v>
      </c>
      <c r="D18" s="4"/>
      <c r="E18" s="4">
        <v>1</v>
      </c>
      <c r="F18" s="4"/>
      <c r="H18" s="1" t="s">
        <v>14</v>
      </c>
      <c r="I18" s="1" t="s">
        <v>4</v>
      </c>
      <c r="J18" s="1"/>
      <c r="K18" s="2">
        <v>350000</v>
      </c>
      <c r="L18" s="2">
        <v>350000</v>
      </c>
      <c r="M18" s="2">
        <v>350000</v>
      </c>
      <c r="N18" s="2">
        <v>350000</v>
      </c>
      <c r="O18" s="3"/>
      <c r="P18" s="3">
        <v>0.05</v>
      </c>
      <c r="R18" s="6" t="s">
        <v>72</v>
      </c>
      <c r="S18" s="7" t="s">
        <v>73</v>
      </c>
      <c r="T18" s="8">
        <v>30000000</v>
      </c>
      <c r="U18" s="13">
        <v>28000000</v>
      </c>
    </row>
    <row r="19" spans="2:23" x14ac:dyDescent="0.25">
      <c r="B19" s="1" t="s">
        <v>9</v>
      </c>
      <c r="C19" s="4">
        <v>1</v>
      </c>
      <c r="D19" s="4"/>
      <c r="E19" s="4">
        <v>1</v>
      </c>
      <c r="F19" s="4"/>
      <c r="H19" s="1" t="s">
        <v>14</v>
      </c>
      <c r="I19" s="1" t="s">
        <v>5</v>
      </c>
      <c r="J19" s="1"/>
      <c r="K19" s="2" cm="1">
        <f t="array" ref="K19">IF(Margin[[#This Row],[Index]]="NIFTY",_xlfn._xlws.FILTER(LOT[NIFTY],(LOT[Strategy]=Margin[[#This Row],[Strategy]]))*$D$30,IF(Margin[[#This Row],[Index]]="SENSEX",_xlfn._xlws.FILTER(LOT[SENSEX],(LOT[Strategy]=Margin[[#This Row],[Strategy]]))*$D$41,_xlfn._xlws.FILTER(LOT[BANKNIFTY],(LOT[Strategy]=Margin[[#This Row],[Strategy]]))*$D$52))</f>
        <v>340000</v>
      </c>
      <c r="L19" s="2" cm="1">
        <f t="array" ref="L19">IF(Margin[[#This Row],[Index]]="NIFTY",_xlfn._xlws.FILTER(LOT[NIFTY],(LOT[Strategy]=Margin[[#This Row],[Strategy]]))*$D$31,IF(Margin[[#This Row],[Index]]="SENSEX",_xlfn._xlws.FILTER(LOT[SENSEX],(LOT[Strategy]=Margin[[#This Row],[Strategy]]))*$D$42,_xlfn._xlws.FILTER(LOT[BANKNIFTY],(LOT[Strategy]=Margin[[#This Row],[Strategy]]))*$D$53))</f>
        <v>235000</v>
      </c>
      <c r="M19" s="2"/>
      <c r="N19" s="2"/>
      <c r="O19" s="3">
        <v>0.05</v>
      </c>
      <c r="P19" s="3"/>
      <c r="R19" s="1" t="s">
        <v>53</v>
      </c>
      <c r="S19" s="1" t="s">
        <v>54</v>
      </c>
      <c r="T19" s="2">
        <v>30000000</v>
      </c>
      <c r="U19" s="20">
        <v>24000000</v>
      </c>
      <c r="V19" s="19" t="s">
        <v>77</v>
      </c>
    </row>
    <row r="20" spans="2:23" x14ac:dyDescent="0.25">
      <c r="B20" s="7" t="s">
        <v>202</v>
      </c>
      <c r="C20" s="4">
        <v>3</v>
      </c>
      <c r="D20" s="4"/>
      <c r="E20" s="4"/>
      <c r="F20" s="4"/>
      <c r="H20" s="1" t="s">
        <v>14</v>
      </c>
      <c r="I20" s="1" t="s">
        <v>6</v>
      </c>
      <c r="J20" s="1"/>
      <c r="K20" s="2" cm="1">
        <f t="array" ref="K20">IF(Margin[[#This Row],[Index]]="NIFTY",_xlfn._xlws.FILTER(LOT[NIFTY],(LOT[Strategy]=Margin[[#This Row],[Strategy]]))*$D$30,IF(Margin[[#This Row],[Index]]="SENSEX",_xlfn._xlws.FILTER(LOT[SENSEX],(LOT[Strategy]=Margin[[#This Row],[Strategy]]))*$D$41,_xlfn._xlws.FILTER(LOT[BANKNIFTY],(LOT[Strategy]=Margin[[#This Row],[Strategy]]))*$D$52))</f>
        <v>340000</v>
      </c>
      <c r="L20" s="2" cm="1">
        <f t="array" ref="L20">IF(Margin[[#This Row],[Index]]="NIFTY",_xlfn._xlws.FILTER(LOT[NIFTY],(LOT[Strategy]=Margin[[#This Row],[Strategy]]))*$D$31,IF(Margin[[#This Row],[Index]]="SENSEX",_xlfn._xlws.FILTER(LOT[SENSEX],(LOT[Strategy]=Margin[[#This Row],[Strategy]]))*$D$42,_xlfn._xlws.FILTER(LOT[BANKNIFTY],(LOT[Strategy]=Margin[[#This Row],[Strategy]]))*$D$53))</f>
        <v>235000</v>
      </c>
      <c r="M20" s="2"/>
      <c r="N20" s="2"/>
      <c r="O20" s="3">
        <v>0.05</v>
      </c>
      <c r="P20" s="3"/>
      <c r="R20" s="6" t="s">
        <v>111</v>
      </c>
      <c r="S20" s="1" t="s">
        <v>25</v>
      </c>
      <c r="T20" s="8"/>
      <c r="U20" s="13">
        <v>59000000</v>
      </c>
    </row>
    <row r="21" spans="2:23" x14ac:dyDescent="0.25">
      <c r="C21" s="4"/>
      <c r="D21" s="4"/>
      <c r="E21" s="4"/>
      <c r="F21" s="4"/>
      <c r="H21" s="1" t="s">
        <v>14</v>
      </c>
      <c r="I21" s="1" t="s">
        <v>7</v>
      </c>
      <c r="J21" s="1"/>
      <c r="K21" s="2">
        <v>2500000</v>
      </c>
      <c r="L21" s="2"/>
      <c r="M21" s="2"/>
      <c r="N21" s="2"/>
      <c r="O21" s="3"/>
      <c r="P21" s="3"/>
      <c r="R21" s="6" t="s">
        <v>112</v>
      </c>
      <c r="S21" s="1" t="s">
        <v>43</v>
      </c>
      <c r="T21" s="2"/>
      <c r="U21" s="12">
        <v>16000000</v>
      </c>
    </row>
    <row r="22" spans="2:23" x14ac:dyDescent="0.25">
      <c r="C22" s="4"/>
      <c r="D22" s="4"/>
      <c r="E22" s="4"/>
      <c r="F22" s="4"/>
      <c r="H22" s="1" t="s">
        <v>14</v>
      </c>
      <c r="I22" s="1" t="s">
        <v>8</v>
      </c>
      <c r="J22" s="1"/>
      <c r="K22" s="2"/>
      <c r="L22" s="2"/>
      <c r="M22" s="2"/>
      <c r="N22" s="2"/>
      <c r="O22" s="3"/>
      <c r="P22" s="3"/>
      <c r="R22" s="5" t="s">
        <v>113</v>
      </c>
      <c r="S22" s="1" t="s">
        <v>27</v>
      </c>
      <c r="T22" s="2"/>
      <c r="U22" s="12">
        <v>19500000</v>
      </c>
    </row>
    <row r="23" spans="2:23" x14ac:dyDescent="0.25">
      <c r="B23" s="1" t="s">
        <v>56</v>
      </c>
      <c r="C23" s="23">
        <v>25000</v>
      </c>
      <c r="D23" s="28"/>
      <c r="E23" s="4"/>
      <c r="F23" s="4"/>
      <c r="H23" s="1" t="s">
        <v>14</v>
      </c>
      <c r="I23" s="1" t="s">
        <v>9</v>
      </c>
      <c r="J23" s="1"/>
      <c r="K23" s="2"/>
      <c r="L23" s="2"/>
      <c r="M23" s="2"/>
      <c r="N23" s="2"/>
      <c r="O23" s="3"/>
      <c r="P23" s="3"/>
    </row>
    <row r="24" spans="2:23" x14ac:dyDescent="0.25">
      <c r="B24" s="1" t="s">
        <v>57</v>
      </c>
      <c r="C24" s="23">
        <v>75</v>
      </c>
      <c r="D24" s="28"/>
      <c r="E24" s="4"/>
      <c r="F24" s="4"/>
      <c r="H24" s="1" t="s">
        <v>14</v>
      </c>
      <c r="I24" s="1" t="s">
        <v>67</v>
      </c>
      <c r="J24" s="1"/>
      <c r="K24" s="2"/>
      <c r="L24" s="2"/>
      <c r="M24" s="2"/>
      <c r="N24" s="2"/>
      <c r="O24" s="3"/>
      <c r="P24" s="3"/>
      <c r="T24" s="18"/>
      <c r="U24" s="18"/>
      <c r="V24" s="18"/>
      <c r="W24" s="18"/>
    </row>
    <row r="25" spans="2:23" x14ac:dyDescent="0.25">
      <c r="B25" s="1" t="s">
        <v>58</v>
      </c>
      <c r="C25" s="24">
        <f>C23*C24</f>
        <v>1875000</v>
      </c>
      <c r="D25" s="28"/>
      <c r="E25" s="4"/>
      <c r="F25" s="4"/>
      <c r="H25" s="1" t="s">
        <v>14</v>
      </c>
      <c r="I25" s="1" t="s">
        <v>66</v>
      </c>
      <c r="J25" s="1"/>
      <c r="K25" s="2">
        <v>261000</v>
      </c>
      <c r="L25" s="2">
        <v>160000</v>
      </c>
      <c r="M25" s="2">
        <v>261000</v>
      </c>
      <c r="N25" s="2">
        <v>160000</v>
      </c>
      <c r="O25" s="3"/>
      <c r="P25" s="3">
        <v>0.05</v>
      </c>
      <c r="T25" s="18"/>
      <c r="U25" s="18"/>
      <c r="V25" s="18"/>
      <c r="W25" s="18"/>
    </row>
    <row r="26" spans="2:23" x14ac:dyDescent="0.25">
      <c r="B26" s="1" t="s">
        <v>59</v>
      </c>
      <c r="C26" s="25">
        <v>9.5000000000000001E-2</v>
      </c>
      <c r="D26" s="28"/>
      <c r="E26" s="4"/>
      <c r="F26" s="4"/>
      <c r="H26" s="1" t="s">
        <v>15</v>
      </c>
      <c r="I26" s="1" t="s">
        <v>66</v>
      </c>
      <c r="J26" s="1"/>
      <c r="K26" s="2" cm="1">
        <f t="array" ref="K26">IF(Margin[[#This Row],[Index]]="NIFTY",_xlfn._xlws.FILTER(LOT[NIFTY],(LOT[Strategy]=Margin[[#This Row],[Strategy]]))*$D$30,IF(Margin[[#This Row],[Index]]="SENSEX",_xlfn._xlws.FILTER(LOT[SENSEX],(LOT[Strategy]=Margin[[#This Row],[Strategy]]))*$D$41,_xlfn._xlws.FILTER(LOT[BANKNIFTY],(LOT[Strategy]=Margin[[#This Row],[Strategy]]))*$D$52))</f>
        <v>300000</v>
      </c>
      <c r="L26" s="2" cm="1">
        <f t="array" ref="L26">IF(Margin[[#This Row],[Index]]="NIFTY",_xlfn._xlws.FILTER(LOT[NIFTY],(LOT[Strategy]=Margin[[#This Row],[Strategy]]))*$D$31,IF(Margin[[#This Row],[Index]]="SENSEX",_xlfn._xlws.FILTER(LOT[SENSEX],(LOT[Strategy]=Margin[[#This Row],[Strategy]]))*$D$42,_xlfn._xlws.FILTER(LOT[BANKNIFTY],(LOT[Strategy]=Margin[[#This Row],[Strategy]]))*$D$53))</f>
        <v>185000</v>
      </c>
      <c r="M26" s="2"/>
      <c r="N26" s="2"/>
      <c r="O26" s="1"/>
      <c r="P26" s="3"/>
      <c r="T26" s="18"/>
      <c r="U26" s="18"/>
      <c r="V26" s="18"/>
      <c r="W26" s="18"/>
    </row>
    <row r="27" spans="2:23" x14ac:dyDescent="0.25">
      <c r="B27" s="1" t="s">
        <v>60</v>
      </c>
      <c r="C27" s="25">
        <v>5.5E-2</v>
      </c>
      <c r="D27" s="28"/>
      <c r="E27" s="4"/>
      <c r="F27" s="4"/>
      <c r="H27" s="1" t="s">
        <v>14</v>
      </c>
      <c r="I27" s="1" t="s">
        <v>68</v>
      </c>
      <c r="J27" s="1"/>
      <c r="K27" s="2"/>
      <c r="L27" s="2"/>
      <c r="M27" s="2"/>
      <c r="N27" s="2"/>
      <c r="O27" s="3"/>
      <c r="P27" s="3"/>
      <c r="T27" s="18"/>
    </row>
    <row r="28" spans="2:23" x14ac:dyDescent="0.25">
      <c r="B28" s="1" t="s">
        <v>61</v>
      </c>
      <c r="C28" s="26">
        <v>0.02</v>
      </c>
      <c r="D28" s="28"/>
      <c r="E28" s="4"/>
      <c r="F28" s="4"/>
      <c r="T28" s="18"/>
      <c r="U28" s="18"/>
    </row>
    <row r="29" spans="2:23" x14ac:dyDescent="0.25">
      <c r="B29" s="1" t="s">
        <v>62</v>
      </c>
      <c r="C29" s="26">
        <v>0.02</v>
      </c>
      <c r="D29" s="2"/>
      <c r="E29" s="4"/>
      <c r="F29" s="4"/>
      <c r="O29" s="42"/>
      <c r="P29" s="42"/>
      <c r="T29" s="18"/>
      <c r="U29" s="18"/>
    </row>
    <row r="30" spans="2:23" x14ac:dyDescent="0.25">
      <c r="B30" s="14" t="s">
        <v>63</v>
      </c>
      <c r="C30" s="24">
        <f>(C23*C24)*C26+(C23*C24)*C28+(C23*C24)*C29</f>
        <v>253125</v>
      </c>
      <c r="D30" s="29">
        <v>340000</v>
      </c>
      <c r="E30" s="4"/>
      <c r="F30" s="4"/>
      <c r="H30" s="41" t="s">
        <v>80</v>
      </c>
      <c r="I30" s="4" t="s">
        <v>106</v>
      </c>
      <c r="J30" s="4" t="s">
        <v>103</v>
      </c>
      <c r="K30" s="4" t="s">
        <v>102</v>
      </c>
      <c r="T30" s="18"/>
      <c r="U30" s="18"/>
    </row>
    <row r="31" spans="2:23" x14ac:dyDescent="0.25">
      <c r="B31" s="1" t="s">
        <v>11</v>
      </c>
      <c r="C31" s="24">
        <f>(C23*C24)*C26+(C23*C24)*C28+(C23*C24)*C29-(C23*C24)*C27</f>
        <v>150000</v>
      </c>
      <c r="D31" s="29">
        <v>235000</v>
      </c>
      <c r="E31" s="4"/>
      <c r="F31" s="4"/>
      <c r="H31" s="41" t="s">
        <v>15</v>
      </c>
      <c r="I31" s="4" t="s">
        <v>104</v>
      </c>
      <c r="J31" s="4">
        <v>185000</v>
      </c>
      <c r="K31" s="4">
        <v>300000</v>
      </c>
      <c r="T31" s="18"/>
      <c r="U31" s="18"/>
    </row>
    <row r="32" spans="2:23" x14ac:dyDescent="0.25">
      <c r="B32" s="1" t="s">
        <v>64</v>
      </c>
      <c r="C32" s="27">
        <f>C25/C30</f>
        <v>7.4074074074074074</v>
      </c>
      <c r="D32" s="29"/>
      <c r="E32" s="4"/>
      <c r="F32" s="4"/>
      <c r="H32" s="41" t="s">
        <v>15</v>
      </c>
      <c r="I32" s="4" t="s">
        <v>105</v>
      </c>
      <c r="J32" s="4">
        <v>116000</v>
      </c>
      <c r="K32" s="4">
        <v>223000</v>
      </c>
      <c r="T32" s="18"/>
      <c r="U32" s="18"/>
    </row>
    <row r="33" spans="2:21" x14ac:dyDescent="0.25">
      <c r="D33" s="30"/>
      <c r="E33" s="4"/>
      <c r="F33" s="4"/>
      <c r="H33" s="41" t="s">
        <v>14</v>
      </c>
      <c r="I33" s="4" t="s">
        <v>104</v>
      </c>
      <c r="J33" s="4">
        <v>240000</v>
      </c>
      <c r="K33" s="4">
        <v>340000</v>
      </c>
      <c r="T33" s="18"/>
      <c r="U33" s="18"/>
    </row>
    <row r="34" spans="2:21" x14ac:dyDescent="0.25">
      <c r="B34" s="1" t="s">
        <v>65</v>
      </c>
      <c r="C34" s="23">
        <v>82500</v>
      </c>
      <c r="D34" s="30"/>
      <c r="E34" s="4"/>
      <c r="F34" s="4"/>
      <c r="H34" s="41" t="s">
        <v>14</v>
      </c>
      <c r="I34" s="4" t="s">
        <v>105</v>
      </c>
      <c r="J34" s="4">
        <v>160000</v>
      </c>
      <c r="K34" s="4">
        <v>261000</v>
      </c>
      <c r="T34" s="18"/>
      <c r="U34" s="18"/>
    </row>
    <row r="35" spans="2:21" x14ac:dyDescent="0.25">
      <c r="B35" s="1" t="s">
        <v>57</v>
      </c>
      <c r="C35" s="23">
        <v>20</v>
      </c>
      <c r="D35" s="30"/>
      <c r="E35" s="4"/>
      <c r="F35" s="4"/>
      <c r="H35" s="41" t="s">
        <v>81</v>
      </c>
      <c r="I35" s="4" t="s">
        <v>104</v>
      </c>
      <c r="J35" s="4">
        <v>250000</v>
      </c>
      <c r="K35" s="4">
        <v>400000</v>
      </c>
      <c r="T35" s="18"/>
      <c r="U35" s="18"/>
    </row>
    <row r="36" spans="2:21" x14ac:dyDescent="0.25">
      <c r="B36" s="1" t="s">
        <v>58</v>
      </c>
      <c r="C36" s="24">
        <f>C34*C35</f>
        <v>1650000</v>
      </c>
      <c r="D36" s="30"/>
      <c r="E36" s="4"/>
      <c r="F36" s="4"/>
      <c r="H36" s="41" t="s">
        <v>81</v>
      </c>
      <c r="I36" s="4" t="s">
        <v>105</v>
      </c>
      <c r="J36" s="4">
        <v>176000</v>
      </c>
      <c r="K36" s="4">
        <v>312000</v>
      </c>
      <c r="T36" s="18"/>
      <c r="U36" s="18"/>
    </row>
    <row r="37" spans="2:21" x14ac:dyDescent="0.25">
      <c r="B37" s="1" t="s">
        <v>59</v>
      </c>
      <c r="C37" s="25">
        <v>9.5000000000000001E-2</v>
      </c>
      <c r="D37" s="29"/>
      <c r="E37" s="4"/>
      <c r="F37" s="4"/>
      <c r="T37" s="18"/>
      <c r="U37" s="18"/>
    </row>
    <row r="38" spans="2:21" x14ac:dyDescent="0.25">
      <c r="B38" s="1" t="s">
        <v>60</v>
      </c>
      <c r="C38" s="25">
        <v>5.5E-2</v>
      </c>
      <c r="D38" s="29"/>
      <c r="E38" s="4"/>
      <c r="F38" s="4"/>
      <c r="T38" s="18"/>
      <c r="U38" s="18"/>
    </row>
    <row r="39" spans="2:21" x14ac:dyDescent="0.25">
      <c r="B39" s="1" t="s">
        <v>61</v>
      </c>
      <c r="C39" s="26">
        <v>0.02</v>
      </c>
      <c r="D39" s="29"/>
      <c r="E39" s="4"/>
      <c r="F39" s="4"/>
      <c r="T39" s="18"/>
      <c r="U39" s="18"/>
    </row>
    <row r="40" spans="2:21" x14ac:dyDescent="0.25">
      <c r="B40" s="1" t="s">
        <v>62</v>
      </c>
      <c r="C40" s="26">
        <v>0.02</v>
      </c>
      <c r="D40" s="2"/>
      <c r="E40" s="4"/>
      <c r="F40" s="4"/>
      <c r="T40" s="18"/>
      <c r="U40" s="18"/>
    </row>
    <row r="41" spans="2:21" x14ac:dyDescent="0.25">
      <c r="B41" s="14" t="s">
        <v>63</v>
      </c>
      <c r="C41" s="24">
        <f>(C34*C35)*C37+(C34*C35)*C39+(C34*C35)*C40</f>
        <v>222750</v>
      </c>
      <c r="D41" s="29">
        <v>300000</v>
      </c>
      <c r="E41" s="4"/>
      <c r="F41" s="4"/>
      <c r="T41" s="18"/>
      <c r="U41" s="18"/>
    </row>
    <row r="42" spans="2:21" x14ac:dyDescent="0.25">
      <c r="B42" s="1" t="s">
        <v>11</v>
      </c>
      <c r="C42" s="24">
        <f>(C34*C35)*C37+(C34*C35)*C39+(C34*C35)*C40-(C34*C35)*C38</f>
        <v>132000</v>
      </c>
      <c r="D42" s="29">
        <v>185000</v>
      </c>
      <c r="E42" s="4"/>
      <c r="F42" s="4"/>
      <c r="T42" s="18"/>
      <c r="U42" s="18"/>
    </row>
    <row r="43" spans="2:21" x14ac:dyDescent="0.25">
      <c r="B43" s="1" t="s">
        <v>64</v>
      </c>
      <c r="C43" s="27">
        <f>C36/C41</f>
        <v>7.4074074074074074</v>
      </c>
      <c r="D43" s="29"/>
      <c r="E43" s="4"/>
      <c r="F43" s="4"/>
      <c r="T43" s="18"/>
      <c r="U43" s="18"/>
    </row>
    <row r="44" spans="2:21" x14ac:dyDescent="0.25">
      <c r="D44" s="30"/>
      <c r="E44" s="4"/>
      <c r="F44" s="4"/>
      <c r="T44" s="18"/>
      <c r="U44" s="18"/>
    </row>
    <row r="45" spans="2:21" x14ac:dyDescent="0.25">
      <c r="B45" s="1" t="s">
        <v>79</v>
      </c>
      <c r="C45" s="23">
        <v>56000</v>
      </c>
      <c r="D45" s="30"/>
      <c r="E45" s="4"/>
      <c r="F45" s="4"/>
      <c r="T45" s="18"/>
      <c r="U45" s="18"/>
    </row>
    <row r="46" spans="2:21" x14ac:dyDescent="0.25">
      <c r="B46" s="1" t="s">
        <v>57</v>
      </c>
      <c r="C46" s="23">
        <v>35</v>
      </c>
      <c r="D46" s="30"/>
      <c r="E46" s="4"/>
      <c r="F46" s="4"/>
      <c r="T46" s="18"/>
      <c r="U46" s="18"/>
    </row>
    <row r="47" spans="2:21" x14ac:dyDescent="0.25">
      <c r="B47" s="1" t="s">
        <v>58</v>
      </c>
      <c r="C47" s="24">
        <f>C45*C46</f>
        <v>1960000</v>
      </c>
      <c r="D47" s="30"/>
      <c r="E47" s="4"/>
      <c r="F47" s="4"/>
      <c r="T47" s="18"/>
      <c r="U47" s="18"/>
    </row>
    <row r="48" spans="2:21" x14ac:dyDescent="0.25">
      <c r="B48" s="1" t="s">
        <v>59</v>
      </c>
      <c r="C48" s="25">
        <v>9.5000000000000001E-2</v>
      </c>
      <c r="D48" s="29"/>
      <c r="E48" s="4"/>
      <c r="F48" s="4"/>
      <c r="T48" s="18"/>
      <c r="U48" s="18"/>
    </row>
    <row r="49" spans="2:21" x14ac:dyDescent="0.25">
      <c r="B49" s="1" t="s">
        <v>60</v>
      </c>
      <c r="C49" s="25">
        <v>5.5E-2</v>
      </c>
      <c r="D49" s="29"/>
      <c r="E49" s="4"/>
      <c r="F49" s="4"/>
      <c r="T49" s="18"/>
      <c r="U49" s="18"/>
    </row>
    <row r="50" spans="2:21" x14ac:dyDescent="0.25">
      <c r="B50" s="1" t="s">
        <v>61</v>
      </c>
      <c r="C50" s="26">
        <v>0.02</v>
      </c>
      <c r="D50" s="29"/>
      <c r="E50" s="4"/>
      <c r="F50" s="4"/>
      <c r="T50" s="18"/>
      <c r="U50" s="18"/>
    </row>
    <row r="51" spans="2:21" x14ac:dyDescent="0.25">
      <c r="B51" s="1" t="s">
        <v>62</v>
      </c>
      <c r="C51" s="26">
        <v>0.02</v>
      </c>
      <c r="D51" s="2"/>
      <c r="E51" s="4"/>
      <c r="F51" s="4"/>
      <c r="T51" s="18"/>
      <c r="U51" s="18"/>
    </row>
    <row r="52" spans="2:21" x14ac:dyDescent="0.25">
      <c r="B52" s="14" t="s">
        <v>63</v>
      </c>
      <c r="C52" s="24">
        <f>(C45*C46)*C48+(C45*C46)*C50+(C45*C46)*C51</f>
        <v>264600</v>
      </c>
      <c r="D52" s="2">
        <v>310000</v>
      </c>
      <c r="E52" s="4"/>
      <c r="F52" s="4"/>
      <c r="T52" s="18"/>
    </row>
    <row r="53" spans="2:21" x14ac:dyDescent="0.25">
      <c r="B53" s="1" t="s">
        <v>11</v>
      </c>
      <c r="C53" s="24">
        <f>(C45*C46)*C48+(C45*C46)*C50+(C45*C46)*C51-(C45*C46)*C49</f>
        <v>156800</v>
      </c>
      <c r="D53" s="2">
        <v>210000</v>
      </c>
      <c r="E53" s="4"/>
      <c r="F53" s="4"/>
      <c r="T53" s="18"/>
    </row>
    <row r="54" spans="2:21" x14ac:dyDescent="0.25">
      <c r="B54" s="1" t="s">
        <v>64</v>
      </c>
      <c r="C54" s="27">
        <f>C47/C52</f>
        <v>7.4074074074074074</v>
      </c>
      <c r="D54" s="2"/>
      <c r="E54" s="4"/>
      <c r="F54" s="4"/>
      <c r="T54" s="18"/>
    </row>
    <row r="55" spans="2:21" x14ac:dyDescent="0.25">
      <c r="E55" s="4"/>
      <c r="F55" s="4"/>
      <c r="T55" s="18"/>
    </row>
    <row r="56" spans="2:21" x14ac:dyDescent="0.25">
      <c r="E56" s="4"/>
      <c r="F56" s="4"/>
      <c r="T56" s="18"/>
    </row>
  </sheetData>
  <phoneticPr fontId="5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14264-8D89-4BCA-A9D3-71AE7D88A7CB}">
  <sheetPr codeName="Sheet7"/>
  <dimension ref="A1:R37"/>
  <sheetViews>
    <sheetView workbookViewId="0">
      <selection activeCell="N14" sqref="N14"/>
    </sheetView>
  </sheetViews>
  <sheetFormatPr defaultRowHeight="15" x14ac:dyDescent="0.25"/>
  <cols>
    <col min="1" max="1" width="2" bestFit="1" customWidth="1"/>
    <col min="2" max="2" width="13.5703125" style="4" bestFit="1" customWidth="1"/>
    <col min="3" max="3" width="10" style="4" bestFit="1" customWidth="1"/>
    <col min="4" max="4" width="7.140625" bestFit="1" customWidth="1"/>
    <col min="5" max="5" width="8.140625" bestFit="1" customWidth="1"/>
    <col min="6" max="6" width="7.5703125" bestFit="1" customWidth="1"/>
    <col min="7" max="9" width="16.85546875" bestFit="1" customWidth="1"/>
    <col min="10" max="10" width="13" bestFit="1" customWidth="1"/>
    <col min="11" max="11" width="12.85546875" bestFit="1" customWidth="1"/>
    <col min="12" max="12" width="13.7109375" bestFit="1" customWidth="1"/>
    <col min="14" max="14" width="15.28515625" bestFit="1" customWidth="1"/>
  </cols>
  <sheetData>
    <row r="1" spans="1:18" x14ac:dyDescent="0.25">
      <c r="E1" s="4" t="s">
        <v>105</v>
      </c>
      <c r="F1" s="4" t="s">
        <v>104</v>
      </c>
      <c r="G1" s="4" t="s">
        <v>105</v>
      </c>
      <c r="H1" s="4" t="s">
        <v>105</v>
      </c>
      <c r="I1" s="4" t="s">
        <v>105</v>
      </c>
      <c r="J1" s="4" t="s">
        <v>105</v>
      </c>
      <c r="K1" s="4" t="s">
        <v>105</v>
      </c>
      <c r="L1" s="4" t="s">
        <v>105</v>
      </c>
    </row>
    <row r="2" spans="1:18" x14ac:dyDescent="0.25">
      <c r="B2"/>
      <c r="C2"/>
      <c r="E2" s="4" t="s">
        <v>14</v>
      </c>
      <c r="F2" s="4" t="s">
        <v>15</v>
      </c>
      <c r="G2" s="4" t="s">
        <v>15</v>
      </c>
      <c r="H2" s="4" t="s">
        <v>81</v>
      </c>
      <c r="I2" s="4" t="s">
        <v>14</v>
      </c>
      <c r="J2" s="4" t="s">
        <v>14</v>
      </c>
      <c r="K2" s="4" t="s">
        <v>14</v>
      </c>
      <c r="L2" s="4" t="s">
        <v>14</v>
      </c>
    </row>
    <row r="3" spans="1:18" x14ac:dyDescent="0.25">
      <c r="B3"/>
      <c r="C3">
        <v>1.1499999999999999</v>
      </c>
      <c r="E3" s="4" t="s">
        <v>103</v>
      </c>
      <c r="F3" s="4" t="s">
        <v>103</v>
      </c>
      <c r="G3" s="4" t="s">
        <v>103</v>
      </c>
      <c r="H3" s="4" t="s">
        <v>102</v>
      </c>
      <c r="I3" s="4" t="s">
        <v>103</v>
      </c>
      <c r="J3" s="4" t="s">
        <v>103</v>
      </c>
      <c r="K3" s="4" t="s">
        <v>103</v>
      </c>
      <c r="L3" s="4" t="s">
        <v>103</v>
      </c>
      <c r="Q3" s="4"/>
      <c r="R3" s="4"/>
    </row>
    <row r="4" spans="1:18" x14ac:dyDescent="0.25">
      <c r="D4" s="38">
        <f>SUM(E4:L4)</f>
        <v>0.35000000000000003</v>
      </c>
      <c r="E4" s="39" cm="1">
        <f t="array" ref="E4">IF(Mon!E3="W.H",_xlfn._xlws.FILTER(Margin[Strategy allotment % with hedge],(Margin[Strategy]=Mon!E$5)*(Margin[Index]=Mon!E$2)),_xlfn._xlws.FILTER(Margin[Strategy allotment % without hedge],(Margin[Strategy]=Mon!E$5)*(Margin[Index]=Mon!E$2)))</f>
        <v>0</v>
      </c>
      <c r="F4" s="39" cm="1">
        <f t="array" ref="F4">IF(Mon!F3="W.H",_xlfn._xlws.FILTER(Margin[Strategy allotment % with hedge],(Margin[Strategy]=Mon!F$5)*(Margin[Index]=Mon!F$2)),_xlfn._xlws.FILTER(Margin[Strategy allotment % without hedge],(Margin[Strategy]=Mon!F$5)*(Margin[Index]=Mon!F$2)))</f>
        <v>0</v>
      </c>
      <c r="G4" s="39" cm="1">
        <f t="array" ref="G4">IF(Mon!G3="W.H",_xlfn._xlws.FILTER(Margin[Strategy allotment % with hedge],(Margin[Strategy]=Mon!G$5)*(Margin[Index]=Mon!G$2)),_xlfn._xlws.FILTER(Margin[Strategy allotment % without hedge],(Margin[Strategy]=Mon!G$5)*(Margin[Index]=Mon!G$2)))</f>
        <v>0.1</v>
      </c>
      <c r="H4" s="39" cm="1">
        <f t="array" ref="H4">IF(Mon!H3="W.H",_xlfn._xlws.FILTER(Margin[Strategy allotment % with hedge],(Margin[Strategy]=Mon!H$5)*(Margin[Index]=Mon!H$2)),_xlfn._xlws.FILTER(Margin[Strategy allotment % without hedge],(Margin[Strategy]=Mon!H$5)*(Margin[Index]=Mon!H$2)))</f>
        <v>0.1</v>
      </c>
      <c r="I4" s="39" cm="1">
        <f t="array" ref="I4">IF(Mon!I3="W.H",_xlfn._xlws.FILTER(Margin[Strategy allotment % with hedge],(Margin[Strategy]=Mon!I$5)*(Margin[Index]=Mon!I$2)),_xlfn._xlws.FILTER(Margin[Strategy allotment % without hedge],(Margin[Strategy]=Mon!I$5)*(Margin[Index]=Mon!I$2)))</f>
        <v>0.1</v>
      </c>
      <c r="J4" s="39" cm="1">
        <f t="array" ref="J4">IF(Mon!J3="W.H",_xlfn._xlws.FILTER(Margin[Strategy allotment % with hedge],(Margin[Strategy]=Mon!J$5)*(Margin[Index]=Mon!J$2)),_xlfn._xlws.FILTER(Margin[Strategy allotment % without hedge],(Margin[Strategy]=Mon!J$5)*(Margin[Index]=Mon!J$2)))</f>
        <v>0</v>
      </c>
      <c r="K4" s="39" cm="1">
        <f t="array" ref="K4">IF(Mon!K3="W.H",_xlfn._xlws.FILTER(Margin[Strategy allotment % with hedge],(Margin[Strategy]=Mon!K$5)*(Margin[Index]=Mon!K$2)),_xlfn._xlws.FILTER(Margin[Strategy allotment % without hedge],(Margin[Strategy]=Mon!K$5)*(Margin[Index]=Mon!K$2)))</f>
        <v>0</v>
      </c>
      <c r="L4" s="39" cm="1">
        <f t="array" ref="L4">IF(Mon!L3="W.H",_xlfn._xlws.FILTER(Margin[Strategy allotment % with hedge],(Margin[Strategy]=Mon!L$5)*(Margin[Index]=Mon!L$2)),_xlfn._xlws.FILTER(Margin[Strategy allotment % without hedge],(Margin[Strategy]=Mon!L$5)*(Margin[Index]=Mon!L$2)))</f>
        <v>0.05</v>
      </c>
    </row>
    <row r="5" spans="1:18" x14ac:dyDescent="0.25">
      <c r="B5" s="16" t="s">
        <v>50</v>
      </c>
      <c r="C5" s="16" t="s">
        <v>51</v>
      </c>
      <c r="D5" s="16" t="s">
        <v>52</v>
      </c>
      <c r="E5" s="16" t="s">
        <v>67</v>
      </c>
      <c r="F5" s="16" t="s">
        <v>66</v>
      </c>
      <c r="G5" s="16" t="s">
        <v>69</v>
      </c>
      <c r="H5" s="16" t="s">
        <v>69</v>
      </c>
      <c r="I5" s="16" t="s">
        <v>69</v>
      </c>
      <c r="J5" s="16" t="s">
        <v>2</v>
      </c>
      <c r="K5" s="16" t="s">
        <v>3</v>
      </c>
      <c r="L5" s="16" t="s">
        <v>4</v>
      </c>
    </row>
    <row r="6" spans="1:18" x14ac:dyDescent="0.25">
      <c r="A6">
        <f>IF(B6="",0,1)</f>
        <v>1</v>
      </c>
      <c r="B6" s="14" t="s">
        <v>20</v>
      </c>
      <c r="C6" s="14" cm="1">
        <f t="array" ref="C6">(_xlfn._xlws.FILTER(Fund[Margin],Fund[Client Id]=B6))/10000000</f>
        <v>7.5</v>
      </c>
      <c r="D6" s="14"/>
      <c r="E6" s="14" t="str" cm="1">
        <f t="array" ref="E6">IFERROR(IF(ROUNDUP((Client_Margin($B6)*Alloted(E$3,E$2,E$5)/Get_Margin(E$3,E$2,E$5,E$1)),0)*Get_Margin(E$3,E$2,E$5,E$1)&gt;((Client_Margin($B6)*Alloted(E$3,E$2,E$5)/Get_Margin(E$3,E$2,E$5,E$1))*Get_Margin(E$3,E$2,E$5,E$1))*$C$3,ROUNDDOWN((Client_Margin($B6)*Alloted(E$3,E$2,E$5)/Get_Margin(E$3,E$2,E$5,E$1)),0),ROUNDUP((Client_Margin($B6)*Alloted(E$3,E$2,E$5)/Get_Margin(E$3,E$2,E$5,E$1)),0)),"-")</f>
        <v>-</v>
      </c>
      <c r="F6" s="14" t="str" cm="1">
        <f t="array" ref="F6">IFERROR(IF(ROUNDUP((Client_Margin($B6)*Alloted(F$3,F$2,F$5)/Get_Margin(F$3,F$2,F$5,F$1)),0)*Get_Margin(F$3,F$2,F$5,F$1)&gt;((Client_Margin($B6)*Alloted(F$3,F$2,F$5)/Get_Margin(F$3,F$2,F$5,F$1))*Get_Margin(F$3,F$2,F$5,F$1))*$C$3,ROUNDDOWN((Client_Margin($B6)*Alloted(F$3,F$2,F$5)/Get_Margin(F$3,F$2,F$5,F$1)),0),ROUNDUP((Client_Margin($B6)*Alloted(F$3,F$2,F$5)/Get_Margin(F$3,F$2,F$5,F$1)),0)),"-")</f>
        <v>-</v>
      </c>
      <c r="G6" s="14" cm="1">
        <f t="array" ref="G6">IFERROR(IF(ROUNDUP((Client_Margin($B6)*Alloted(G$3,G$2,G$5)/Get_Margin(G$3,G$2,G$5,G$1)),0)*Get_Margin(G$3,G$2,G$5,G$1)&gt;((Client_Margin($B6)*Alloted(G$3,G$2,G$5)/Get_Margin(G$3,G$2,G$5,G$1))*Get_Margin(G$3,G$2,G$5,G$1))*$C$3,ROUNDDOWN((Client_Margin($B6)*Alloted(G$3,G$2,G$5)/Get_Margin(G$3,G$2,G$5,G$1)),0),ROUNDUP((Client_Margin($B6)*Alloted(G$3,G$2,G$5)/Get_Margin(G$3,G$2,G$5,G$1)),0)),"-")</f>
        <v>11</v>
      </c>
      <c r="H6" s="14" cm="1">
        <f t="array" ref="H6">IFERROR(IF(ROUNDUP((Client_Margin($B6)*Alloted(H$3,H$2,H$5)/Get_Margin(H$3,H$2,H$5,H$1)),0)*Get_Margin(H$3,H$2,H$5,H$1)&gt;((Client_Margin($B6)*Alloted(H$3,H$2,H$5)/Get_Margin(H$3,H$2,H$5,H$1))*Get_Margin(H$3,H$2,H$5,H$1))*$C$3,ROUNDDOWN((Client_Margin($B6)*Alloted(H$3,H$2,H$5)/Get_Margin(H$3,H$2,H$5,H$1)),0),ROUNDUP((Client_Margin($B6)*Alloted(H$3,H$2,H$5)/Get_Margin(H$3,H$2,H$5,H$1)),0)),"-")</f>
        <v>4</v>
      </c>
      <c r="I6" s="14" cm="1">
        <f t="array" ref="I6">IFERROR(IF(ROUNDUP((Client_Margin($B6)*Alloted(I$3,I$2,I$5)/Get_Margin(I$3,I$2,I$5,I$1)),0)*Get_Margin(I$3,I$2,I$5,I$1)&gt;((Client_Margin($B6)*Alloted(I$3,I$2,I$5)/Get_Margin(I$3,I$2,I$5,I$1))*Get_Margin(I$3,I$2,I$5,I$1))*$C$3,ROUNDDOWN((Client_Margin($B6)*Alloted(I$3,I$2,I$5)/Get_Margin(I$3,I$2,I$5,I$1)),0),ROUNDUP((Client_Margin($B6)*Alloted(I$3,I$2,I$5)/Get_Margin(I$3,I$2,I$5,I$1)),0)),"-")</f>
        <v>5</v>
      </c>
      <c r="J6" s="14" cm="1">
        <f t="array" ref="J6">IFERROR(IF(ROUNDUP((Client_Margin($B6)*Alloted(J$3,J$2,J$5)/Get_Margin(J$3,J$2,J$5,J$1)),0)*Get_Margin(J$3,J$2,J$5,J$1)&gt;((Client_Margin($B6)*Alloted(J$3,J$2,J$5)/Get_Margin(J$3,J$2,J$5,J$1))*Get_Margin(J$3,J$2,J$5,J$1))*$C$3,ROUNDDOWN((Client_Margin($B6)*Alloted(J$3,J$2,J$5)/Get_Margin(J$3,J$2,J$5,J$1)),0),ROUNDUP((Client_Margin($B6)*Alloted(J$3,J$2,J$5)/Get_Margin(J$3,J$2,J$5,J$1)),0)),"-")</f>
        <v>0</v>
      </c>
      <c r="K6" s="14" cm="1">
        <f t="array" ref="K6">IFERROR(IF(ROUNDUP((Client_Margin($B6)*Alloted(K$3,K$2,K$5)/Get_Margin(K$3,K$2,K$5,K$1)),0)*Get_Margin(K$3,K$2,K$5,K$1)&gt;((Client_Margin($B6)*Alloted(K$3,K$2,K$5)/Get_Margin(K$3,K$2,K$5,K$1))*Get_Margin(K$3,K$2,K$5,K$1))*$C$3,ROUNDDOWN((Client_Margin($B6)*Alloted(K$3,K$2,K$5)/Get_Margin(K$3,K$2,K$5,K$1)),0),ROUNDUP((Client_Margin($B6)*Alloted(K$3,K$2,K$5)/Get_Margin(K$3,K$2,K$5,K$1)),0)),"-")</f>
        <v>0</v>
      </c>
      <c r="L6" s="14" cm="1">
        <f t="array" ref="L6">IFERROR(IF(ROUNDUP((Client_Margin($B6)*Alloted(L$3,L$2,L$5)/Get_Margin(L$3,L$2,L$5,L$1)),0)*Get_Margin(L$3,L$2,L$5,L$1)&gt;((Client_Margin($B6)*Alloted(L$3,L$2,L$5)/Get_Margin(L$3,L$2,L$5,L$1))*Get_Margin(L$3,L$2,L$5,L$1))*$C$3,ROUNDDOWN((Client_Margin($B6)*Alloted(L$3,L$2,L$5)/Get_Margin(L$3,L$2,L$5,L$1)),0),ROUNDUP((Client_Margin($B6)*Alloted(L$3,L$2,L$5)/Get_Margin(L$3,L$2,L$5,L$1)),0)),"-")</f>
        <v>11</v>
      </c>
    </row>
    <row r="7" spans="1:18" x14ac:dyDescent="0.25">
      <c r="A7">
        <f t="shared" ref="A7:A11" si="0">IF(B7="",0,1)</f>
        <v>0</v>
      </c>
      <c r="B7" s="14"/>
      <c r="C7" s="14"/>
      <c r="D7" s="15">
        <f>SUM(E7:L7)</f>
        <v>0.35992000000000002</v>
      </c>
      <c r="E7" s="15" t="str" cm="1">
        <f t="array" ref="E7">IFERROR((_xlfn._xlws.FILTER(INDEX(Margin[],0,MATCH(E$1&amp;"_"&amp;E$3,Margin[#Headers],0)),(Margin[Index]=E$2)*(Margin[Strategy]=E$5))*E6)/Client_Margin($B6),"-")</f>
        <v>-</v>
      </c>
      <c r="F7" s="15" t="str" cm="1">
        <f t="array" ref="F7">IFERROR((_xlfn._xlws.FILTER(INDEX(Margin[],0,MATCH(F$1&amp;"_"&amp;F$3,Margin[#Headers],0)),(Margin[Index]=F$2)*(Margin[Strategy]=F$5))*F6)/Client_Margin($B6),"-")</f>
        <v>-</v>
      </c>
      <c r="G7" s="15" cm="1">
        <f t="array" ref="G7">IFERROR((_xlfn._xlws.FILTER(INDEX(Margin[],0,MATCH(G$1&amp;"_"&amp;G$3,Margin[#Headers],0)),(Margin[Index]=G$2)*(Margin[Strategy]=G$5))*G6)/Client_Margin($B6),"-")</f>
        <v>0.10208</v>
      </c>
      <c r="H7" s="15" cm="1">
        <f t="array" ref="H7">IFERROR((_xlfn._xlws.FILTER(INDEX(Margin[],0,MATCH(H$1&amp;"_"&amp;H$3,Margin[#Headers],0)),(Margin[Index]=H$2)*(Margin[Strategy]=H$5))*H6)/Client_Margin($B6),"-")</f>
        <v>9.9839999999999998E-2</v>
      </c>
      <c r="I7" s="15" cm="1">
        <f t="array" ref="I7">IFERROR((_xlfn._xlws.FILTER(INDEX(Margin[],0,MATCH(I$1&amp;"_"&amp;I$3,Margin[#Headers],0)),(Margin[Index]=I$2)*(Margin[Strategy]=I$5))*I6)/Client_Margin($B6),"-")</f>
        <v>0.10666666666666667</v>
      </c>
      <c r="J7" s="15" cm="1">
        <f t="array" ref="J7">IFERROR((_xlfn._xlws.FILTER(INDEX(Margin[],0,MATCH(J$1&amp;"_"&amp;J$3,Margin[#Headers],0)),(Margin[Index]=J$2)*(Margin[Strategy]=J$5))*J6)/Client_Margin($B6),"-")</f>
        <v>0</v>
      </c>
      <c r="K7" s="15" cm="1">
        <f t="array" ref="K7">IFERROR((_xlfn._xlws.FILTER(INDEX(Margin[],0,MATCH(K$1&amp;"_"&amp;K$3,Margin[#Headers],0)),(Margin[Index]=K$2)*(Margin[Strategy]=K$5))*K6)/Client_Margin($B6),"-")</f>
        <v>0</v>
      </c>
      <c r="L7" s="15" cm="1">
        <f t="array" ref="L7">IFERROR((_xlfn._xlws.FILTER(INDEX(Margin[],0,MATCH(L$1&amp;"_"&amp;L$3,Margin[#Headers],0)),(Margin[Index]=L$2)*(Margin[Strategy]=L$5))*L6)/Client_Margin($B6),"-")</f>
        <v>5.1333333333333335E-2</v>
      </c>
    </row>
    <row r="8" spans="1:18" x14ac:dyDescent="0.25">
      <c r="A8">
        <f t="shared" si="0"/>
        <v>1</v>
      </c>
      <c r="B8" s="14" t="s">
        <v>46</v>
      </c>
      <c r="C8" s="14" cm="1">
        <f t="array" ref="C8">(_xlfn._xlws.FILTER(Fund[Margin],Fund[Client Id]=B8))/10000000</f>
        <v>6.8</v>
      </c>
      <c r="D8" s="17"/>
      <c r="E8" s="14" t="str" cm="1">
        <f t="array" ref="E8">IFERROR(IF(ROUNDUP((Client_Margin($B8)*Alloted(E$3,E$2,E$5)/Get_Margin(E$3,E$2,E$5,E$1)),0)*Get_Margin(E$3,E$2,E$5,E$1)&gt;((Client_Margin($B8)*Alloted(E$3,E$2,E$5)/Get_Margin(E$3,E$2,E$5,E$1))*Get_Margin(E$3,E$2,E$5,E$1))*$C$3,ROUNDDOWN((Client_Margin($B8)*Alloted(E$3,E$2,E$5)/Get_Margin(E$3,E$2,E$5,E$1)),0),ROUNDUP((Client_Margin($B8)*Alloted(E$3,E$2,E$5)/Get_Margin(E$3,E$2,E$5,E$1)),0)),"-")</f>
        <v>-</v>
      </c>
      <c r="F8" s="14" t="str" cm="1">
        <f t="array" ref="F8">IFERROR(IF(ROUNDUP((Client_Margin($B8)*Alloted(F$3,F$2,F$5)/Get_Margin(F$3,F$2,F$5,F$1)),0)*Get_Margin(F$3,F$2,F$5,F$1)&gt;((Client_Margin($B8)*Alloted(F$3,F$2,F$5)/Get_Margin(F$3,F$2,F$5,F$1))*Get_Margin(F$3,F$2,F$5,F$1))*$C$3,ROUNDDOWN((Client_Margin($B8)*Alloted(F$3,F$2,F$5)/Get_Margin(F$3,F$2,F$5,F$1)),0),ROUNDUP((Client_Margin($B8)*Alloted(F$3,F$2,F$5)/Get_Margin(F$3,F$2,F$5,F$1)),0)),"-")</f>
        <v>-</v>
      </c>
      <c r="G8" s="14" cm="1">
        <f t="array" ref="G8">IFERROR(IF(ROUNDUP((Client_Margin($B8)*Alloted(G$3,G$2,G$5)/Get_Margin(G$3,G$2,G$5,G$1)),0)*Get_Margin(G$3,G$2,G$5,G$1)&gt;((Client_Margin($B8)*Alloted(G$3,G$2,G$5)/Get_Margin(G$3,G$2,G$5,G$1))*Get_Margin(G$3,G$2,G$5,G$1))*$C$3,ROUNDDOWN((Client_Margin($B8)*Alloted(G$3,G$2,G$5)/Get_Margin(G$3,G$2,G$5,G$1)),0),ROUNDUP((Client_Margin($B8)*Alloted(G$3,G$2,G$5)/Get_Margin(G$3,G$2,G$5,G$1)),0)),"-")</f>
        <v>10</v>
      </c>
      <c r="H8" s="14" cm="1">
        <f t="array" ref="H8">IFERROR(IF(ROUNDUP((Client_Margin($B8)*Alloted(H$3,H$2,H$5)/Get_Margin(H$3,H$2,H$5,H$1)),0)*Get_Margin(H$3,H$2,H$5,H$1)&gt;((Client_Margin($B8)*Alloted(H$3,H$2,H$5)/Get_Margin(H$3,H$2,H$5,H$1))*Get_Margin(H$3,H$2,H$5,H$1))*$C$3,ROUNDDOWN((Client_Margin($B8)*Alloted(H$3,H$2,H$5)/Get_Margin(H$3,H$2,H$5,H$1)),0),ROUNDUP((Client_Margin($B8)*Alloted(H$3,H$2,H$5)/Get_Margin(H$3,H$2,H$5,H$1)),0)),"-")</f>
        <v>4</v>
      </c>
      <c r="I8" s="14" cm="1">
        <f t="array" ref="I8">IFERROR(IF(ROUNDUP((Client_Margin($B8)*Alloted(I$3,I$2,I$5)/Get_Margin(I$3,I$2,I$5,I$1)),0)*Get_Margin(I$3,I$2,I$5,I$1)&gt;((Client_Margin($B8)*Alloted(I$3,I$2,I$5)/Get_Margin(I$3,I$2,I$5,I$1))*Get_Margin(I$3,I$2,I$5,I$1))*$C$3,ROUNDDOWN((Client_Margin($B8)*Alloted(I$3,I$2,I$5)/Get_Margin(I$3,I$2,I$5,I$1)),0),ROUNDUP((Client_Margin($B8)*Alloted(I$3,I$2,I$5)/Get_Margin(I$3,I$2,I$5,I$1)),0)),"-")</f>
        <v>4</v>
      </c>
      <c r="J8" s="14" cm="1">
        <f t="array" ref="J8">IFERROR(IF(ROUNDUP((Client_Margin($B8)*Alloted(J$3,J$2,J$5)/Get_Margin(J$3,J$2,J$5,J$1)),0)*Get_Margin(J$3,J$2,J$5,J$1)&gt;((Client_Margin($B8)*Alloted(J$3,J$2,J$5)/Get_Margin(J$3,J$2,J$5,J$1))*Get_Margin(J$3,J$2,J$5,J$1))*$C$3,ROUNDDOWN((Client_Margin($B8)*Alloted(J$3,J$2,J$5)/Get_Margin(J$3,J$2,J$5,J$1)),0),ROUNDUP((Client_Margin($B8)*Alloted(J$3,J$2,J$5)/Get_Margin(J$3,J$2,J$5,J$1)),0)),"-")</f>
        <v>0</v>
      </c>
      <c r="K8" s="14" cm="1">
        <f t="array" ref="K8">IFERROR(IF(ROUNDUP((Client_Margin($B8)*Alloted(K$3,K$2,K$5)/Get_Margin(K$3,K$2,K$5,K$1)),0)*Get_Margin(K$3,K$2,K$5,K$1)&gt;((Client_Margin($B8)*Alloted(K$3,K$2,K$5)/Get_Margin(K$3,K$2,K$5,K$1))*Get_Margin(K$3,K$2,K$5,K$1))*$C$3,ROUNDDOWN((Client_Margin($B8)*Alloted(K$3,K$2,K$5)/Get_Margin(K$3,K$2,K$5,K$1)),0),ROUNDUP((Client_Margin($B8)*Alloted(K$3,K$2,K$5)/Get_Margin(K$3,K$2,K$5,K$1)),0)),"-")</f>
        <v>0</v>
      </c>
      <c r="L8" s="14" cm="1">
        <f t="array" ref="L8">IFERROR(IF(ROUNDUP((Client_Margin($B8)*Alloted(L$3,L$2,L$5)/Get_Margin(L$3,L$2,L$5,L$1)),0)*Get_Margin(L$3,L$2,L$5,L$1)&gt;((Client_Margin($B8)*Alloted(L$3,L$2,L$5)/Get_Margin(L$3,L$2,L$5,L$1))*Get_Margin(L$3,L$2,L$5,L$1))*$C$3,ROUNDDOWN((Client_Margin($B8)*Alloted(L$3,L$2,L$5)/Get_Margin(L$3,L$2,L$5,L$1)),0),ROUNDUP((Client_Margin($B8)*Alloted(L$3,L$2,L$5)/Get_Margin(L$3,L$2,L$5,L$1)),0)),"-")</f>
        <v>10</v>
      </c>
    </row>
    <row r="9" spans="1:18" x14ac:dyDescent="0.25">
      <c r="A9">
        <f t="shared" si="0"/>
        <v>0</v>
      </c>
      <c r="B9" s="14"/>
      <c r="C9" s="14"/>
      <c r="D9" s="15">
        <f>SUM(E9:L9)</f>
        <v>0.35805882352941176</v>
      </c>
      <c r="E9" s="15" t="str" cm="1">
        <f t="array" ref="E9">IFERROR((_xlfn._xlws.FILTER(INDEX(Margin[],0,MATCH(E$1&amp;"_"&amp;E$3,Margin[#Headers],0)),(Margin[Index]=E$2)*(Margin[Strategy]=E$5))*E8)/Client_Margin($B8),"-")</f>
        <v>-</v>
      </c>
      <c r="F9" s="15" t="str" cm="1">
        <f t="array" ref="F9">IFERROR((_xlfn._xlws.FILTER(INDEX(Margin[],0,MATCH(F$1&amp;"_"&amp;F$3,Margin[#Headers],0)),(Margin[Index]=F$2)*(Margin[Strategy]=F$5))*F8)/Client_Margin($B8),"-")</f>
        <v>-</v>
      </c>
      <c r="G9" s="15" cm="1">
        <f t="array" ref="G9">IFERROR((_xlfn._xlws.FILTER(INDEX(Margin[],0,MATCH(G$1&amp;"_"&amp;G$3,Margin[#Headers],0)),(Margin[Index]=G$2)*(Margin[Strategy]=G$5))*G8)/Client_Margin($B8),"-")</f>
        <v>0.10235294117647059</v>
      </c>
      <c r="H9" s="15" cm="1">
        <f t="array" ref="H9">IFERROR((_xlfn._xlws.FILTER(INDEX(Margin[],0,MATCH(H$1&amp;"_"&amp;H$3,Margin[#Headers],0)),(Margin[Index]=H$2)*(Margin[Strategy]=H$5))*H8)/Client_Margin($B8),"-")</f>
        <v>0.11011764705882353</v>
      </c>
      <c r="I9" s="15" cm="1">
        <f t="array" ref="I9">IFERROR((_xlfn._xlws.FILTER(INDEX(Margin[],0,MATCH(I$1&amp;"_"&amp;I$3,Margin[#Headers],0)),(Margin[Index]=I$2)*(Margin[Strategy]=I$5))*I8)/Client_Margin($B8),"-")</f>
        <v>9.4117647058823528E-2</v>
      </c>
      <c r="J9" s="15" cm="1">
        <f t="array" ref="J9">IFERROR((_xlfn._xlws.FILTER(INDEX(Margin[],0,MATCH(J$1&amp;"_"&amp;J$3,Margin[#Headers],0)),(Margin[Index]=J$2)*(Margin[Strategy]=J$5))*J8)/Client_Margin($B8),"-")</f>
        <v>0</v>
      </c>
      <c r="K9" s="15" cm="1">
        <f t="array" ref="K9">IFERROR((_xlfn._xlws.FILTER(INDEX(Margin[],0,MATCH(K$1&amp;"_"&amp;K$3,Margin[#Headers],0)),(Margin[Index]=K$2)*(Margin[Strategy]=K$5))*K8)/Client_Margin($B8),"-")</f>
        <v>0</v>
      </c>
      <c r="L9" s="15" cm="1">
        <f t="array" ref="L9">IFERROR((_xlfn._xlws.FILTER(INDEX(Margin[],0,MATCH(L$1&amp;"_"&amp;L$3,Margin[#Headers],0)),(Margin[Index]=L$2)*(Margin[Strategy]=L$5))*L8)/Client_Margin($B8),"-")</f>
        <v>5.1470588235294115E-2</v>
      </c>
    </row>
    <row r="10" spans="1:18" x14ac:dyDescent="0.25">
      <c r="A10">
        <f t="shared" si="0"/>
        <v>1</v>
      </c>
      <c r="B10" s="14" t="s">
        <v>30</v>
      </c>
      <c r="C10" s="14" cm="1">
        <f t="array" ref="C10">(_xlfn._xlws.FILTER(Fund[Margin],Fund[Client Id]=B10))/10000000</f>
        <v>6</v>
      </c>
      <c r="D10" s="17"/>
      <c r="E10" s="14" t="str" cm="1">
        <f t="array" ref="E10">IFERROR(IF(ROUNDUP((Client_Margin($B10)*Alloted(E$3,E$2,E$5)/Get_Margin(E$3,E$2,E$5,E$1)),0)*Get_Margin(E$3,E$2,E$5,E$1)&gt;((Client_Margin($B10)*Alloted(E$3,E$2,E$5)/Get_Margin(E$3,E$2,E$5,E$1))*Get_Margin(E$3,E$2,E$5,E$1))*$C$3,ROUNDDOWN((Client_Margin($B10)*Alloted(E$3,E$2,E$5)/Get_Margin(E$3,E$2,E$5,E$1)),0),ROUNDUP((Client_Margin($B10)*Alloted(E$3,E$2,E$5)/Get_Margin(E$3,E$2,E$5,E$1)),0)),"-")</f>
        <v>-</v>
      </c>
      <c r="F10" s="14" t="str" cm="1">
        <f t="array" ref="F10">IFERROR(IF(ROUNDUP((Client_Margin($B10)*Alloted(F$3,F$2,F$5)/Get_Margin(F$3,F$2,F$5,F$1)),0)*Get_Margin(F$3,F$2,F$5,F$1)&gt;((Client_Margin($B10)*Alloted(F$3,F$2,F$5)/Get_Margin(F$3,F$2,F$5,F$1))*Get_Margin(F$3,F$2,F$5,F$1))*$C$3,ROUNDDOWN((Client_Margin($B10)*Alloted(F$3,F$2,F$5)/Get_Margin(F$3,F$2,F$5,F$1)),0),ROUNDUP((Client_Margin($B10)*Alloted(F$3,F$2,F$5)/Get_Margin(F$3,F$2,F$5,F$1)),0)),"-")</f>
        <v>-</v>
      </c>
      <c r="G10" s="14" cm="1">
        <f t="array" ref="G10">IFERROR(IF(ROUNDUP((Client_Margin($B10)*Alloted(G$3,G$2,G$5)/Get_Margin(G$3,G$2,G$5,G$1)),0)*Get_Margin(G$3,G$2,G$5,G$1)&gt;((Client_Margin($B10)*Alloted(G$3,G$2,G$5)/Get_Margin(G$3,G$2,G$5,G$1))*Get_Margin(G$3,G$2,G$5,G$1))*$C$3,ROUNDDOWN((Client_Margin($B10)*Alloted(G$3,G$2,G$5)/Get_Margin(G$3,G$2,G$5,G$1)),0),ROUNDUP((Client_Margin($B10)*Alloted(G$3,G$2,G$5)/Get_Margin(G$3,G$2,G$5,G$1)),0)),"-")</f>
        <v>9</v>
      </c>
      <c r="H10" s="14" cm="1">
        <f t="array" ref="H10">IFERROR(IF(ROUNDUP((Client_Margin($B10)*Alloted(H$3,H$2,H$5)/Get_Margin(H$3,H$2,H$5,H$1)),0)*Get_Margin(H$3,H$2,H$5,H$1)&gt;((Client_Margin($B10)*Alloted(H$3,H$2,H$5)/Get_Margin(H$3,H$2,H$5,H$1))*Get_Margin(H$3,H$2,H$5,H$1))*$C$3,ROUNDDOWN((Client_Margin($B10)*Alloted(H$3,H$2,H$5)/Get_Margin(H$3,H$2,H$5,H$1)),0),ROUNDUP((Client_Margin($B10)*Alloted(H$3,H$2,H$5)/Get_Margin(H$3,H$2,H$5,H$1)),0)),"-")</f>
        <v>3</v>
      </c>
      <c r="I10" s="14" cm="1">
        <f t="array" ref="I10">IFERROR(IF(ROUNDUP((Client_Margin($B10)*Alloted(I$3,I$2,I$5)/Get_Margin(I$3,I$2,I$5,I$1)),0)*Get_Margin(I$3,I$2,I$5,I$1)&gt;((Client_Margin($B10)*Alloted(I$3,I$2,I$5)/Get_Margin(I$3,I$2,I$5,I$1))*Get_Margin(I$3,I$2,I$5,I$1))*$C$3,ROUNDDOWN((Client_Margin($B10)*Alloted(I$3,I$2,I$5)/Get_Margin(I$3,I$2,I$5,I$1)),0),ROUNDUP((Client_Margin($B10)*Alloted(I$3,I$2,I$5)/Get_Margin(I$3,I$2,I$5,I$1)),0)),"-")</f>
        <v>4</v>
      </c>
      <c r="J10" s="14" cm="1">
        <f t="array" ref="J10">IFERROR(IF(ROUNDUP((Client_Margin($B10)*Alloted(J$3,J$2,J$5)/Get_Margin(J$3,J$2,J$5,J$1)),0)*Get_Margin(J$3,J$2,J$5,J$1)&gt;((Client_Margin($B10)*Alloted(J$3,J$2,J$5)/Get_Margin(J$3,J$2,J$5,J$1))*Get_Margin(J$3,J$2,J$5,J$1))*$C$3,ROUNDDOWN((Client_Margin($B10)*Alloted(J$3,J$2,J$5)/Get_Margin(J$3,J$2,J$5,J$1)),0),ROUNDUP((Client_Margin($B10)*Alloted(J$3,J$2,J$5)/Get_Margin(J$3,J$2,J$5,J$1)),0)),"-")</f>
        <v>0</v>
      </c>
      <c r="K10" s="14" cm="1">
        <f t="array" ref="K10">IFERROR(IF(ROUNDUP((Client_Margin($B10)*Alloted(K$3,K$2,K$5)/Get_Margin(K$3,K$2,K$5,K$1)),0)*Get_Margin(K$3,K$2,K$5,K$1)&gt;((Client_Margin($B10)*Alloted(K$3,K$2,K$5)/Get_Margin(K$3,K$2,K$5,K$1))*Get_Margin(K$3,K$2,K$5,K$1))*$C$3,ROUNDDOWN((Client_Margin($B10)*Alloted(K$3,K$2,K$5)/Get_Margin(K$3,K$2,K$5,K$1)),0),ROUNDUP((Client_Margin($B10)*Alloted(K$3,K$2,K$5)/Get_Margin(K$3,K$2,K$5,K$1)),0)),"-")</f>
        <v>0</v>
      </c>
      <c r="L10" s="14" cm="1">
        <f t="array" ref="L10">IFERROR(IF(ROUNDUP((Client_Margin($B10)*Alloted(L$3,L$2,L$5)/Get_Margin(L$3,L$2,L$5,L$1)),0)*Get_Margin(L$3,L$2,L$5,L$1)&gt;((Client_Margin($B10)*Alloted(L$3,L$2,L$5)/Get_Margin(L$3,L$2,L$5,L$1))*Get_Margin(L$3,L$2,L$5,L$1))*$C$3,ROUNDDOWN((Client_Margin($B10)*Alloted(L$3,L$2,L$5)/Get_Margin(L$3,L$2,L$5,L$1)),0),ROUNDUP((Client_Margin($B10)*Alloted(L$3,L$2,L$5)/Get_Margin(L$3,L$2,L$5,L$1)),0)),"-")</f>
        <v>9</v>
      </c>
    </row>
    <row r="11" spans="1:18" x14ac:dyDescent="0.25">
      <c r="A11">
        <f t="shared" si="0"/>
        <v>0</v>
      </c>
      <c r="B11" s="14"/>
      <c r="C11" s="14"/>
      <c r="D11" s="15">
        <f>SUM(E11:L11)</f>
        <v>0.35716666666666669</v>
      </c>
      <c r="E11" s="15" t="str" cm="1">
        <f t="array" ref="E11">IFERROR((_xlfn._xlws.FILTER(INDEX(Margin[],0,MATCH(E$1&amp;"_"&amp;E$3,Margin[#Headers],0)),(Margin[Index]=E$2)*(Margin[Strategy]=E$5))*E10)/Client_Margin($B10),"-")</f>
        <v>-</v>
      </c>
      <c r="F11" s="15" t="str" cm="1">
        <f t="array" ref="F11">IFERROR((_xlfn._xlws.FILTER(INDEX(Margin[],0,MATCH(F$1&amp;"_"&amp;F$3,Margin[#Headers],0)),(Margin[Index]=F$2)*(Margin[Strategy]=F$5))*F10)/Client_Margin($B10),"-")</f>
        <v>-</v>
      </c>
      <c r="G11" s="15" cm="1">
        <f t="array" ref="G11">IFERROR((_xlfn._xlws.FILTER(INDEX(Margin[],0,MATCH(G$1&amp;"_"&amp;G$3,Margin[#Headers],0)),(Margin[Index]=G$2)*(Margin[Strategy]=G$5))*G10)/Client_Margin($B10),"-")</f>
        <v>0.10440000000000001</v>
      </c>
      <c r="H11" s="15" cm="1">
        <f t="array" ref="H11">IFERROR((_xlfn._xlws.FILTER(INDEX(Margin[],0,MATCH(H$1&amp;"_"&amp;H$3,Margin[#Headers],0)),(Margin[Index]=H$2)*(Margin[Strategy]=H$5))*H10)/Client_Margin($B10),"-")</f>
        <v>9.3600000000000003E-2</v>
      </c>
      <c r="I11" s="15" cm="1">
        <f t="array" ref="I11">IFERROR((_xlfn._xlws.FILTER(INDEX(Margin[],0,MATCH(I$1&amp;"_"&amp;I$3,Margin[#Headers],0)),(Margin[Index]=I$2)*(Margin[Strategy]=I$5))*I10)/Client_Margin($B10),"-")</f>
        <v>0.10666666666666667</v>
      </c>
      <c r="J11" s="15" cm="1">
        <f t="array" ref="J11">IFERROR((_xlfn._xlws.FILTER(INDEX(Margin[],0,MATCH(J$1&amp;"_"&amp;J$3,Margin[#Headers],0)),(Margin[Index]=J$2)*(Margin[Strategy]=J$5))*J10)/Client_Margin($B10),"-")</f>
        <v>0</v>
      </c>
      <c r="K11" s="15" cm="1">
        <f t="array" ref="K11">IFERROR((_xlfn._xlws.FILTER(INDEX(Margin[],0,MATCH(K$1&amp;"_"&amp;K$3,Margin[#Headers],0)),(Margin[Index]=K$2)*(Margin[Strategy]=K$5))*K10)/Client_Margin($B10),"-")</f>
        <v>0</v>
      </c>
      <c r="L11" s="15" cm="1">
        <f t="array" ref="L11">IFERROR((_xlfn._xlws.FILTER(INDEX(Margin[],0,MATCH(L$1&amp;"_"&amp;L$3,Margin[#Headers],0)),(Margin[Index]=L$2)*(Margin[Strategy]=L$5))*L10)/Client_Margin($B10),"-")</f>
        <v>5.2499999999999998E-2</v>
      </c>
    </row>
    <row r="12" spans="1:18" x14ac:dyDescent="0.25">
      <c r="A12">
        <f>IF(B12="",0,1)</f>
        <v>1</v>
      </c>
      <c r="B12" s="14" t="s">
        <v>111</v>
      </c>
      <c r="C12" s="14" cm="1">
        <f t="array" ref="C12">(_xlfn._xlws.FILTER(Fund[Margin],Fund[Client Id]=B12))/10000000</f>
        <v>5.9</v>
      </c>
      <c r="D12" s="17"/>
      <c r="E12" s="14" t="str" cm="1">
        <f t="array" ref="E12">IFERROR(IF(ROUNDUP((Client_Margin($B12)*Alloted(E$3,E$2,E$5)/Get_Margin(E$3,E$2,E$5,E$1)),0)*Get_Margin(E$3,E$2,E$5,E$1)&gt;((Client_Margin($B12)*Alloted(E$3,E$2,E$5)/Get_Margin(E$3,E$2,E$5,E$1))*Get_Margin(E$3,E$2,E$5,E$1))*$C$3,ROUNDDOWN((Client_Margin($B12)*Alloted(E$3,E$2,E$5)/Get_Margin(E$3,E$2,E$5,E$1)),0),ROUNDUP((Client_Margin($B12)*Alloted(E$3,E$2,E$5)/Get_Margin(E$3,E$2,E$5,E$1)),0)),"-")</f>
        <v>-</v>
      </c>
      <c r="F12" s="14" t="str" cm="1">
        <f t="array" ref="F12">IFERROR(IF(ROUNDUP((Client_Margin($B12)*Alloted(F$3,F$2,F$5)/Get_Margin(F$3,F$2,F$5,F$1)),0)*Get_Margin(F$3,F$2,F$5,F$1)&gt;((Client_Margin($B12)*Alloted(F$3,F$2,F$5)/Get_Margin(F$3,F$2,F$5,F$1))*Get_Margin(F$3,F$2,F$5,F$1))*$C$3,ROUNDDOWN((Client_Margin($B12)*Alloted(F$3,F$2,F$5)/Get_Margin(F$3,F$2,F$5,F$1)),0),ROUNDUP((Client_Margin($B12)*Alloted(F$3,F$2,F$5)/Get_Margin(F$3,F$2,F$5,F$1)),0)),"-")</f>
        <v>-</v>
      </c>
      <c r="G12" s="14" cm="1">
        <f t="array" ref="G12">IFERROR(IF(ROUNDUP((Client_Margin($B12)*Alloted(G$3,G$2,G$5)/Get_Margin(G$3,G$2,G$5,G$1)),0)*Get_Margin(G$3,G$2,G$5,G$1)&gt;((Client_Margin($B12)*Alloted(G$3,G$2,G$5)/Get_Margin(G$3,G$2,G$5,G$1))*Get_Margin(G$3,G$2,G$5,G$1))*$C$3,ROUNDDOWN((Client_Margin($B12)*Alloted(G$3,G$2,G$5)/Get_Margin(G$3,G$2,G$5,G$1)),0),ROUNDUP((Client_Margin($B12)*Alloted(G$3,G$2,G$5)/Get_Margin(G$3,G$2,G$5,G$1)),0)),"-")</f>
        <v>9</v>
      </c>
      <c r="H12" s="14" cm="1">
        <f t="array" ref="H12">IFERROR(IF(ROUNDUP((Client_Margin($B12)*Alloted(H$3,H$2,H$5)/Get_Margin(H$3,H$2,H$5,H$1)),0)*Get_Margin(H$3,H$2,H$5,H$1)&gt;((Client_Margin($B12)*Alloted(H$3,H$2,H$5)/Get_Margin(H$3,H$2,H$5,H$1))*Get_Margin(H$3,H$2,H$5,H$1))*$C$3,ROUNDDOWN((Client_Margin($B12)*Alloted(H$3,H$2,H$5)/Get_Margin(H$3,H$2,H$5,H$1)),0),ROUNDUP((Client_Margin($B12)*Alloted(H$3,H$2,H$5)/Get_Margin(H$3,H$2,H$5,H$1)),0)),"-")</f>
        <v>3</v>
      </c>
      <c r="I12" s="14" cm="1">
        <f t="array" ref="I12">IFERROR(IF(ROUNDUP((Client_Margin($B12)*Alloted(I$3,I$2,I$5)/Get_Margin(I$3,I$2,I$5,I$1)),0)*Get_Margin(I$3,I$2,I$5,I$1)&gt;((Client_Margin($B12)*Alloted(I$3,I$2,I$5)/Get_Margin(I$3,I$2,I$5,I$1))*Get_Margin(I$3,I$2,I$5,I$1))*$C$3,ROUNDDOWN((Client_Margin($B12)*Alloted(I$3,I$2,I$5)/Get_Margin(I$3,I$2,I$5,I$1)),0),ROUNDUP((Client_Margin($B12)*Alloted(I$3,I$2,I$5)/Get_Margin(I$3,I$2,I$5,I$1)),0)),"-")</f>
        <v>4</v>
      </c>
      <c r="J12" s="14" cm="1">
        <f t="array" ref="J12">IFERROR(IF(ROUNDUP((Client_Margin($B12)*Alloted(J$3,J$2,J$5)/Get_Margin(J$3,J$2,J$5,J$1)),0)*Get_Margin(J$3,J$2,J$5,J$1)&gt;((Client_Margin($B12)*Alloted(J$3,J$2,J$5)/Get_Margin(J$3,J$2,J$5,J$1))*Get_Margin(J$3,J$2,J$5,J$1))*$C$3,ROUNDDOWN((Client_Margin($B12)*Alloted(J$3,J$2,J$5)/Get_Margin(J$3,J$2,J$5,J$1)),0),ROUNDUP((Client_Margin($B12)*Alloted(J$3,J$2,J$5)/Get_Margin(J$3,J$2,J$5,J$1)),0)),"-")</f>
        <v>0</v>
      </c>
      <c r="K12" s="14" cm="1">
        <f t="array" ref="K12">IFERROR(IF(ROUNDUP((Client_Margin($B12)*Alloted(K$3,K$2,K$5)/Get_Margin(K$3,K$2,K$5,K$1)),0)*Get_Margin(K$3,K$2,K$5,K$1)&gt;((Client_Margin($B12)*Alloted(K$3,K$2,K$5)/Get_Margin(K$3,K$2,K$5,K$1))*Get_Margin(K$3,K$2,K$5,K$1))*$C$3,ROUNDDOWN((Client_Margin($B12)*Alloted(K$3,K$2,K$5)/Get_Margin(K$3,K$2,K$5,K$1)),0),ROUNDUP((Client_Margin($B12)*Alloted(K$3,K$2,K$5)/Get_Margin(K$3,K$2,K$5,K$1)),0)),"-")</f>
        <v>0</v>
      </c>
      <c r="L12" s="14" cm="1">
        <f t="array" ref="L12">IFERROR(IF(ROUNDUP((Client_Margin($B12)*Alloted(L$3,L$2,L$5)/Get_Margin(L$3,L$2,L$5,L$1)),0)*Get_Margin(L$3,L$2,L$5,L$1)&gt;((Client_Margin($B12)*Alloted(L$3,L$2,L$5)/Get_Margin(L$3,L$2,L$5,L$1))*Get_Margin(L$3,L$2,L$5,L$1))*$C$3,ROUNDDOWN((Client_Margin($B12)*Alloted(L$3,L$2,L$5)/Get_Margin(L$3,L$2,L$5,L$1)),0),ROUNDUP((Client_Margin($B12)*Alloted(L$3,L$2,L$5)/Get_Margin(L$3,L$2,L$5,L$1)),0)),"-")</f>
        <v>9</v>
      </c>
    </row>
    <row r="13" spans="1:18" x14ac:dyDescent="0.25">
      <c r="A13">
        <f>IF(B13="",0,1)</f>
        <v>0</v>
      </c>
      <c r="B13" s="14"/>
      <c r="C13" s="14"/>
      <c r="D13" s="15">
        <f>SUM(E13:L13)</f>
        <v>0.36322033898305084</v>
      </c>
      <c r="E13" s="15" t="str" cm="1">
        <f t="array" ref="E13">IFERROR((_xlfn._xlws.FILTER(INDEX(Margin[],0,MATCH(E$1&amp;"_"&amp;E$3,Margin[#Headers],0)),(Margin[Index]=E$2)*(Margin[Strategy]=E$5))*E12)/Client_Margin($B12),"-")</f>
        <v>-</v>
      </c>
      <c r="F13" s="15" t="str" cm="1">
        <f t="array" ref="F13">IFERROR((_xlfn._xlws.FILTER(INDEX(Margin[],0,MATCH(F$1&amp;"_"&amp;F$3,Margin[#Headers],0)),(Margin[Index]=F$2)*(Margin[Strategy]=F$5))*F12)/Client_Margin($B12),"-")</f>
        <v>-</v>
      </c>
      <c r="G13" s="15" cm="1">
        <f t="array" ref="G13">IFERROR((_xlfn._xlws.FILTER(INDEX(Margin[],0,MATCH(G$1&amp;"_"&amp;G$3,Margin[#Headers],0)),(Margin[Index]=G$2)*(Margin[Strategy]=G$5))*G12)/Client_Margin($B12),"-")</f>
        <v>0.10616949152542372</v>
      </c>
      <c r="H13" s="15" cm="1">
        <f t="array" ref="H13">IFERROR((_xlfn._xlws.FILTER(INDEX(Margin[],0,MATCH(H$1&amp;"_"&amp;H$3,Margin[#Headers],0)),(Margin[Index]=H$2)*(Margin[Strategy]=H$5))*H12)/Client_Margin($B12),"-")</f>
        <v>9.5186440677966097E-2</v>
      </c>
      <c r="I13" s="15" cm="1">
        <f t="array" ref="I13">IFERROR((_xlfn._xlws.FILTER(INDEX(Margin[],0,MATCH(I$1&amp;"_"&amp;I$3,Margin[#Headers],0)),(Margin[Index]=I$2)*(Margin[Strategy]=I$5))*I12)/Client_Margin($B12),"-")</f>
        <v>0.10847457627118644</v>
      </c>
      <c r="J13" s="15" cm="1">
        <f t="array" ref="J13">IFERROR((_xlfn._xlws.FILTER(INDEX(Margin[],0,MATCH(J$1&amp;"_"&amp;J$3,Margin[#Headers],0)),(Margin[Index]=J$2)*(Margin[Strategy]=J$5))*J12)/Client_Margin($B12),"-")</f>
        <v>0</v>
      </c>
      <c r="K13" s="15" cm="1">
        <f t="array" ref="K13">IFERROR((_xlfn._xlws.FILTER(INDEX(Margin[],0,MATCH(K$1&amp;"_"&amp;K$3,Margin[#Headers],0)),(Margin[Index]=K$2)*(Margin[Strategy]=K$5))*K12)/Client_Margin($B12),"-")</f>
        <v>0</v>
      </c>
      <c r="L13" s="15" cm="1">
        <f t="array" ref="L13">IFERROR((_xlfn._xlws.FILTER(INDEX(Margin[],0,MATCH(L$1&amp;"_"&amp;L$3,Margin[#Headers],0)),(Margin[Index]=L$2)*(Margin[Strategy]=L$5))*L12)/Client_Margin($B12),"-")</f>
        <v>5.3389830508474574E-2</v>
      </c>
    </row>
    <row r="14" spans="1:18" x14ac:dyDescent="0.25">
      <c r="A14">
        <f t="shared" ref="A14:A23" si="1">IF(B14="",0,1)</f>
        <v>1</v>
      </c>
      <c r="B14" s="14" t="s">
        <v>22</v>
      </c>
      <c r="C14" s="14" cm="1">
        <f t="array" ref="C14">(_xlfn._xlws.FILTER(Fund[Margin],Fund[Client Id]=B14))/10000000</f>
        <v>5.0999999999999996</v>
      </c>
      <c r="D14" s="17"/>
      <c r="E14" s="14" t="str" cm="1">
        <f t="array" ref="E14">IFERROR(IF(ROUNDUP((Client_Margin($B14)*Alloted(E$3,E$2,E$5)/Get_Margin(E$3,E$2,E$5,E$1)),0)*Get_Margin(E$3,E$2,E$5,E$1)&gt;((Client_Margin($B14)*Alloted(E$3,E$2,E$5)/Get_Margin(E$3,E$2,E$5,E$1))*Get_Margin(E$3,E$2,E$5,E$1))*$C$3,ROUNDDOWN((Client_Margin($B14)*Alloted(E$3,E$2,E$5)/Get_Margin(E$3,E$2,E$5,E$1)),0),ROUNDUP((Client_Margin($B14)*Alloted(E$3,E$2,E$5)/Get_Margin(E$3,E$2,E$5,E$1)),0)),"-")</f>
        <v>-</v>
      </c>
      <c r="F14" s="14" t="str" cm="1">
        <f t="array" ref="F14">IFERROR(IF(ROUNDUP((Client_Margin($B14)*Alloted(F$3,F$2,F$5)/Get_Margin(F$3,F$2,F$5,F$1)),0)*Get_Margin(F$3,F$2,F$5,F$1)&gt;((Client_Margin($B14)*Alloted(F$3,F$2,F$5)/Get_Margin(F$3,F$2,F$5,F$1))*Get_Margin(F$3,F$2,F$5,F$1))*$C$3,ROUNDDOWN((Client_Margin($B14)*Alloted(F$3,F$2,F$5)/Get_Margin(F$3,F$2,F$5,F$1)),0),ROUNDUP((Client_Margin($B14)*Alloted(F$3,F$2,F$5)/Get_Margin(F$3,F$2,F$5,F$1)),0)),"-")</f>
        <v>-</v>
      </c>
      <c r="G14" s="14" cm="1">
        <f t="array" ref="G14">IFERROR(IF(ROUNDUP((Client_Margin($B14)*Alloted(G$3,G$2,G$5)/Get_Margin(G$3,G$2,G$5,G$1)),0)*Get_Margin(G$3,G$2,G$5,G$1)&gt;((Client_Margin($B14)*Alloted(G$3,G$2,G$5)/Get_Margin(G$3,G$2,G$5,G$1))*Get_Margin(G$3,G$2,G$5,G$1))*$C$3,ROUNDDOWN((Client_Margin($B14)*Alloted(G$3,G$2,G$5)/Get_Margin(G$3,G$2,G$5,G$1)),0),ROUNDUP((Client_Margin($B14)*Alloted(G$3,G$2,G$5)/Get_Margin(G$3,G$2,G$5,G$1)),0)),"-")</f>
        <v>8</v>
      </c>
      <c r="H14" s="14" cm="1">
        <f t="array" ref="H14">IFERROR(IF(ROUNDUP((Client_Margin($B14)*Alloted(H$3,H$2,H$5)/Get_Margin(H$3,H$2,H$5,H$1)),0)*Get_Margin(H$3,H$2,H$5,H$1)&gt;((Client_Margin($B14)*Alloted(H$3,H$2,H$5)/Get_Margin(H$3,H$2,H$5,H$1))*Get_Margin(H$3,H$2,H$5,H$1))*$C$3,ROUNDDOWN((Client_Margin($B14)*Alloted(H$3,H$2,H$5)/Get_Margin(H$3,H$2,H$5,H$1)),0),ROUNDUP((Client_Margin($B14)*Alloted(H$3,H$2,H$5)/Get_Margin(H$3,H$2,H$5,H$1)),0)),"-")</f>
        <v>3</v>
      </c>
      <c r="I14" s="14" cm="1">
        <f t="array" ref="I14">IFERROR(IF(ROUNDUP((Client_Margin($B14)*Alloted(I$3,I$2,I$5)/Get_Margin(I$3,I$2,I$5,I$1)),0)*Get_Margin(I$3,I$2,I$5,I$1)&gt;((Client_Margin($B14)*Alloted(I$3,I$2,I$5)/Get_Margin(I$3,I$2,I$5,I$1))*Get_Margin(I$3,I$2,I$5,I$1))*$C$3,ROUNDDOWN((Client_Margin($B14)*Alloted(I$3,I$2,I$5)/Get_Margin(I$3,I$2,I$5,I$1)),0),ROUNDUP((Client_Margin($B14)*Alloted(I$3,I$2,I$5)/Get_Margin(I$3,I$2,I$5,I$1)),0)),"-")</f>
        <v>3</v>
      </c>
      <c r="J14" s="14" cm="1">
        <f t="array" ref="J14">IFERROR(IF(ROUNDUP((Client_Margin($B14)*Alloted(J$3,J$2,J$5)/Get_Margin(J$3,J$2,J$5,J$1)),0)*Get_Margin(J$3,J$2,J$5,J$1)&gt;((Client_Margin($B14)*Alloted(J$3,J$2,J$5)/Get_Margin(J$3,J$2,J$5,J$1))*Get_Margin(J$3,J$2,J$5,J$1))*$C$3,ROUNDDOWN((Client_Margin($B14)*Alloted(J$3,J$2,J$5)/Get_Margin(J$3,J$2,J$5,J$1)),0),ROUNDUP((Client_Margin($B14)*Alloted(J$3,J$2,J$5)/Get_Margin(J$3,J$2,J$5,J$1)),0)),"-")</f>
        <v>0</v>
      </c>
      <c r="K14" s="14" cm="1">
        <f t="array" ref="K14">IFERROR(IF(ROUNDUP((Client_Margin($B14)*Alloted(K$3,K$2,K$5)/Get_Margin(K$3,K$2,K$5,K$1)),0)*Get_Margin(K$3,K$2,K$5,K$1)&gt;((Client_Margin($B14)*Alloted(K$3,K$2,K$5)/Get_Margin(K$3,K$2,K$5,K$1))*Get_Margin(K$3,K$2,K$5,K$1))*$C$3,ROUNDDOWN((Client_Margin($B14)*Alloted(K$3,K$2,K$5)/Get_Margin(K$3,K$2,K$5,K$1)),0),ROUNDUP((Client_Margin($B14)*Alloted(K$3,K$2,K$5)/Get_Margin(K$3,K$2,K$5,K$1)),0)),"-")</f>
        <v>0</v>
      </c>
      <c r="L14" s="14" cm="1">
        <f t="array" ref="L14">IFERROR(IF(ROUNDUP((Client_Margin($B14)*Alloted(L$3,L$2,L$5)/Get_Margin(L$3,L$2,L$5,L$1)),0)*Get_Margin(L$3,L$2,L$5,L$1)&gt;((Client_Margin($B14)*Alloted(L$3,L$2,L$5)/Get_Margin(L$3,L$2,L$5,L$1))*Get_Margin(L$3,L$2,L$5,L$1))*$C$3,ROUNDDOWN((Client_Margin($B14)*Alloted(L$3,L$2,L$5)/Get_Margin(L$3,L$2,L$5,L$1)),0),ROUNDUP((Client_Margin($B14)*Alloted(L$3,L$2,L$5)/Get_Margin(L$3,L$2,L$5,L$1)),0)),"-")</f>
        <v>8</v>
      </c>
    </row>
    <row r="15" spans="1:18" x14ac:dyDescent="0.25">
      <c r="A15">
        <f t="shared" si="1"/>
        <v>0</v>
      </c>
      <c r="B15" s="14"/>
      <c r="C15" s="14"/>
      <c r="D15" s="15">
        <f>SUM(E15:L15)</f>
        <v>0.36831372549019603</v>
      </c>
      <c r="E15" s="15" t="str" cm="1">
        <f t="array" ref="E15">IFERROR((_xlfn._xlws.FILTER(INDEX(Margin[],0,MATCH(E$1&amp;"_"&amp;E$3,Margin[#Headers],0)),(Margin[Index]=E$2)*(Margin[Strategy]=E$5))*E14)/Client_Margin($B14),"-")</f>
        <v>-</v>
      </c>
      <c r="F15" s="15" t="str" cm="1">
        <f t="array" ref="F15">IFERROR((_xlfn._xlws.FILTER(INDEX(Margin[],0,MATCH(F$1&amp;"_"&amp;F$3,Margin[#Headers],0)),(Margin[Index]=F$2)*(Margin[Strategy]=F$5))*F14)/Client_Margin($B14),"-")</f>
        <v>-</v>
      </c>
      <c r="G15" s="15" cm="1">
        <f t="array" ref="G15">IFERROR((_xlfn._xlws.FILTER(INDEX(Margin[],0,MATCH(G$1&amp;"_"&amp;G$3,Margin[#Headers],0)),(Margin[Index]=G$2)*(Margin[Strategy]=G$5))*G14)/Client_Margin($B14),"-")</f>
        <v>0.10917647058823529</v>
      </c>
      <c r="H15" s="15" cm="1">
        <f t="array" ref="H15">IFERROR((_xlfn._xlws.FILTER(INDEX(Margin[],0,MATCH(H$1&amp;"_"&amp;H$3,Margin[#Headers],0)),(Margin[Index]=H$2)*(Margin[Strategy]=H$5))*H14)/Client_Margin($B14),"-")</f>
        <v>0.11011764705882353</v>
      </c>
      <c r="I15" s="15" cm="1">
        <f t="array" ref="I15">IFERROR((_xlfn._xlws.FILTER(INDEX(Margin[],0,MATCH(I$1&amp;"_"&amp;I$3,Margin[#Headers],0)),(Margin[Index]=I$2)*(Margin[Strategy]=I$5))*I14)/Client_Margin($B14),"-")</f>
        <v>9.4117647058823528E-2</v>
      </c>
      <c r="J15" s="15" cm="1">
        <f t="array" ref="J15">IFERROR((_xlfn._xlws.FILTER(INDEX(Margin[],0,MATCH(J$1&amp;"_"&amp;J$3,Margin[#Headers],0)),(Margin[Index]=J$2)*(Margin[Strategy]=J$5))*J14)/Client_Margin($B14),"-")</f>
        <v>0</v>
      </c>
      <c r="K15" s="15" cm="1">
        <f t="array" ref="K15">IFERROR((_xlfn._xlws.FILTER(INDEX(Margin[],0,MATCH(K$1&amp;"_"&amp;K$3,Margin[#Headers],0)),(Margin[Index]=K$2)*(Margin[Strategy]=K$5))*K14)/Client_Margin($B14),"-")</f>
        <v>0</v>
      </c>
      <c r="L15" s="15" cm="1">
        <f t="array" ref="L15">IFERROR((_xlfn._xlws.FILTER(INDEX(Margin[],0,MATCH(L$1&amp;"_"&amp;L$3,Margin[#Headers],0)),(Margin[Index]=L$2)*(Margin[Strategy]=L$5))*L14)/Client_Margin($B14),"-")</f>
        <v>5.4901960784313725E-2</v>
      </c>
    </row>
    <row r="16" spans="1:18" x14ac:dyDescent="0.25">
      <c r="A16">
        <f t="shared" si="1"/>
        <v>1</v>
      </c>
      <c r="B16" s="14" t="s">
        <v>34</v>
      </c>
      <c r="C16" s="14" cm="1">
        <f t="array" ref="C16">(_xlfn._xlws.FILTER(Fund[Margin],Fund[Client Id]=B16))/10000000</f>
        <v>3.5</v>
      </c>
      <c r="D16" s="17"/>
      <c r="E16" s="14" t="str" cm="1">
        <f t="array" ref="E16">IFERROR(IF(ROUNDUP((Client_Margin($B16)*Alloted(E$3,E$2,E$5)/Get_Margin(E$3,E$2,E$5,E$1)),0)*Get_Margin(E$3,E$2,E$5,E$1)&gt;((Client_Margin($B16)*Alloted(E$3,E$2,E$5)/Get_Margin(E$3,E$2,E$5,E$1))*Get_Margin(E$3,E$2,E$5,E$1))*$C$3,ROUNDDOWN((Client_Margin($B16)*Alloted(E$3,E$2,E$5)/Get_Margin(E$3,E$2,E$5,E$1)),0),ROUNDUP((Client_Margin($B16)*Alloted(E$3,E$2,E$5)/Get_Margin(E$3,E$2,E$5,E$1)),0)),"-")</f>
        <v>-</v>
      </c>
      <c r="F16" s="14" t="str" cm="1">
        <f t="array" ref="F16">IFERROR(IF(ROUNDUP((Client_Margin($B16)*Alloted(F$3,F$2,F$5)/Get_Margin(F$3,F$2,F$5,F$1)),0)*Get_Margin(F$3,F$2,F$5,F$1)&gt;((Client_Margin($B16)*Alloted(F$3,F$2,F$5)/Get_Margin(F$3,F$2,F$5,F$1))*Get_Margin(F$3,F$2,F$5,F$1))*$C$3,ROUNDDOWN((Client_Margin($B16)*Alloted(F$3,F$2,F$5)/Get_Margin(F$3,F$2,F$5,F$1)),0),ROUNDUP((Client_Margin($B16)*Alloted(F$3,F$2,F$5)/Get_Margin(F$3,F$2,F$5,F$1)),0)),"-")</f>
        <v>-</v>
      </c>
      <c r="G16" s="14" cm="1">
        <f t="array" ref="G16">IFERROR(IF(ROUNDUP((Client_Margin($B16)*Alloted(G$3,G$2,G$5)/Get_Margin(G$3,G$2,G$5,G$1)),0)*Get_Margin(G$3,G$2,G$5,G$1)&gt;((Client_Margin($B16)*Alloted(G$3,G$2,G$5)/Get_Margin(G$3,G$2,G$5,G$1))*Get_Margin(G$3,G$2,G$5,G$1))*$C$3,ROUNDDOWN((Client_Margin($B16)*Alloted(G$3,G$2,G$5)/Get_Margin(G$3,G$2,G$5,G$1)),0),ROUNDUP((Client_Margin($B16)*Alloted(G$3,G$2,G$5)/Get_Margin(G$3,G$2,G$5,G$1)),0)),"-")</f>
        <v>5</v>
      </c>
      <c r="H16" s="14" cm="1">
        <f t="array" ref="H16">IFERROR(IF(ROUNDUP((Client_Margin($B16)*Alloted(H$3,H$2,H$5)/Get_Margin(H$3,H$2,H$5,H$1)),0)*Get_Margin(H$3,H$2,H$5,H$1)&gt;((Client_Margin($B16)*Alloted(H$3,H$2,H$5)/Get_Margin(H$3,H$2,H$5,H$1))*Get_Margin(H$3,H$2,H$5,H$1))*$C$3,ROUNDDOWN((Client_Margin($B16)*Alloted(H$3,H$2,H$5)/Get_Margin(H$3,H$2,H$5,H$1)),0),ROUNDUP((Client_Margin($B16)*Alloted(H$3,H$2,H$5)/Get_Margin(H$3,H$2,H$5,H$1)),0)),"-")</f>
        <v>2</v>
      </c>
      <c r="I16" s="14" cm="1">
        <f t="array" ref="I16">IFERROR(IF(ROUNDUP((Client_Margin($B16)*Alloted(I$3,I$2,I$5)/Get_Margin(I$3,I$2,I$5,I$1)),0)*Get_Margin(I$3,I$2,I$5,I$1)&gt;((Client_Margin($B16)*Alloted(I$3,I$2,I$5)/Get_Margin(I$3,I$2,I$5,I$1))*Get_Margin(I$3,I$2,I$5,I$1))*$C$3,ROUNDDOWN((Client_Margin($B16)*Alloted(I$3,I$2,I$5)/Get_Margin(I$3,I$2,I$5,I$1)),0),ROUNDUP((Client_Margin($B16)*Alloted(I$3,I$2,I$5)/Get_Margin(I$3,I$2,I$5,I$1)),0)),"-")</f>
        <v>2</v>
      </c>
      <c r="J16" s="14" cm="1">
        <f t="array" ref="J16">IFERROR(IF(ROUNDUP((Client_Margin($B16)*Alloted(J$3,J$2,J$5)/Get_Margin(J$3,J$2,J$5,J$1)),0)*Get_Margin(J$3,J$2,J$5,J$1)&gt;((Client_Margin($B16)*Alloted(J$3,J$2,J$5)/Get_Margin(J$3,J$2,J$5,J$1))*Get_Margin(J$3,J$2,J$5,J$1))*$C$3,ROUNDDOWN((Client_Margin($B16)*Alloted(J$3,J$2,J$5)/Get_Margin(J$3,J$2,J$5,J$1)),0),ROUNDUP((Client_Margin($B16)*Alloted(J$3,J$2,J$5)/Get_Margin(J$3,J$2,J$5,J$1)),0)),"-")</f>
        <v>0</v>
      </c>
      <c r="K16" s="14" cm="1">
        <f t="array" ref="K16">IFERROR(IF(ROUNDUP((Client_Margin($B16)*Alloted(K$3,K$2,K$5)/Get_Margin(K$3,K$2,K$5,K$1)),0)*Get_Margin(K$3,K$2,K$5,K$1)&gt;((Client_Margin($B16)*Alloted(K$3,K$2,K$5)/Get_Margin(K$3,K$2,K$5,K$1))*Get_Margin(K$3,K$2,K$5,K$1))*$C$3,ROUNDDOWN((Client_Margin($B16)*Alloted(K$3,K$2,K$5)/Get_Margin(K$3,K$2,K$5,K$1)),0),ROUNDUP((Client_Margin($B16)*Alloted(K$3,K$2,K$5)/Get_Margin(K$3,K$2,K$5,K$1)),0)),"-")</f>
        <v>0</v>
      </c>
      <c r="L16" s="14" cm="1">
        <f t="array" ref="L16">IFERROR(IF(ROUNDUP((Client_Margin($B16)*Alloted(L$3,L$2,L$5)/Get_Margin(L$3,L$2,L$5,L$1)),0)*Get_Margin(L$3,L$2,L$5,L$1)&gt;((Client_Margin($B16)*Alloted(L$3,L$2,L$5)/Get_Margin(L$3,L$2,L$5,L$1))*Get_Margin(L$3,L$2,L$5,L$1))*$C$3,ROUNDDOWN((Client_Margin($B16)*Alloted(L$3,L$2,L$5)/Get_Margin(L$3,L$2,L$5,L$1)),0),ROUNDUP((Client_Margin($B16)*Alloted(L$3,L$2,L$5)/Get_Margin(L$3,L$2,L$5,L$1)),0)),"-")</f>
        <v>5</v>
      </c>
    </row>
    <row r="17" spans="1:12" x14ac:dyDescent="0.25">
      <c r="A17">
        <f t="shared" si="1"/>
        <v>0</v>
      </c>
      <c r="B17" s="14"/>
      <c r="C17" s="14"/>
      <c r="D17" s="15">
        <f>SUM(E17:L17)</f>
        <v>0.34782857142857138</v>
      </c>
      <c r="E17" s="15" t="str" cm="1">
        <f t="array" ref="E17">IFERROR((_xlfn._xlws.FILTER(INDEX(Margin[],0,MATCH(E$1&amp;"_"&amp;E$3,Margin[#Headers],0)),(Margin[Index]=E$2)*(Margin[Strategy]=E$5))*E16)/Client_Margin($B16),"-")</f>
        <v>-</v>
      </c>
      <c r="F17" s="15" t="str" cm="1">
        <f t="array" ref="F17">IFERROR((_xlfn._xlws.FILTER(INDEX(Margin[],0,MATCH(F$1&amp;"_"&amp;F$3,Margin[#Headers],0)),(Margin[Index]=F$2)*(Margin[Strategy]=F$5))*F16)/Client_Margin($B16),"-")</f>
        <v>-</v>
      </c>
      <c r="G17" s="15" cm="1">
        <f t="array" ref="G17">IFERROR((_xlfn._xlws.FILTER(INDEX(Margin[],0,MATCH(G$1&amp;"_"&amp;G$3,Margin[#Headers],0)),(Margin[Index]=G$2)*(Margin[Strategy]=G$5))*G16)/Client_Margin($B16),"-")</f>
        <v>9.9428571428571422E-2</v>
      </c>
      <c r="H17" s="15" cm="1">
        <f t="array" ref="H17">IFERROR((_xlfn._xlws.FILTER(INDEX(Margin[],0,MATCH(H$1&amp;"_"&amp;H$3,Margin[#Headers],0)),(Margin[Index]=H$2)*(Margin[Strategy]=H$5))*H16)/Client_Margin($B16),"-")</f>
        <v>0.10697142857142856</v>
      </c>
      <c r="I17" s="15" cm="1">
        <f t="array" ref="I17">IFERROR((_xlfn._xlws.FILTER(INDEX(Margin[],0,MATCH(I$1&amp;"_"&amp;I$3,Margin[#Headers],0)),(Margin[Index]=I$2)*(Margin[Strategy]=I$5))*I16)/Client_Margin($B16),"-")</f>
        <v>9.1428571428571428E-2</v>
      </c>
      <c r="J17" s="15" cm="1">
        <f t="array" ref="J17">IFERROR((_xlfn._xlws.FILTER(INDEX(Margin[],0,MATCH(J$1&amp;"_"&amp;J$3,Margin[#Headers],0)),(Margin[Index]=J$2)*(Margin[Strategy]=J$5))*J16)/Client_Margin($B16),"-")</f>
        <v>0</v>
      </c>
      <c r="K17" s="15" cm="1">
        <f t="array" ref="K17">IFERROR((_xlfn._xlws.FILTER(INDEX(Margin[],0,MATCH(K$1&amp;"_"&amp;K$3,Margin[#Headers],0)),(Margin[Index]=K$2)*(Margin[Strategy]=K$5))*K16)/Client_Margin($B16),"-")</f>
        <v>0</v>
      </c>
      <c r="L17" s="15" cm="1">
        <f t="array" ref="L17">IFERROR((_xlfn._xlws.FILTER(INDEX(Margin[],0,MATCH(L$1&amp;"_"&amp;L$3,Margin[#Headers],0)),(Margin[Index]=L$2)*(Margin[Strategy]=L$5))*L16)/Client_Margin($B16),"-")</f>
        <v>0.05</v>
      </c>
    </row>
    <row r="18" spans="1:12" x14ac:dyDescent="0.25">
      <c r="A18">
        <f t="shared" si="1"/>
        <v>1</v>
      </c>
      <c r="B18" s="14" t="s">
        <v>28</v>
      </c>
      <c r="C18" s="14" cm="1">
        <f t="array" ref="C18">(_xlfn._xlws.FILTER(Fund[Margin],Fund[Client Id]=B18))/10000000</f>
        <v>2.8</v>
      </c>
      <c r="D18" s="17"/>
      <c r="E18" s="14" t="str" cm="1">
        <f t="array" ref="E18">IFERROR(IF(ROUNDUP((Client_Margin($B18)*Alloted(E$3,E$2,E$5)/Get_Margin(E$3,E$2,E$5,E$1)),0)*Get_Margin(E$3,E$2,E$5,E$1)&gt;((Client_Margin($B18)*Alloted(E$3,E$2,E$5)/Get_Margin(E$3,E$2,E$5,E$1))*Get_Margin(E$3,E$2,E$5,E$1))*$C$3,ROUNDDOWN((Client_Margin($B18)*Alloted(E$3,E$2,E$5)/Get_Margin(E$3,E$2,E$5,E$1)),0),ROUNDUP((Client_Margin($B18)*Alloted(E$3,E$2,E$5)/Get_Margin(E$3,E$2,E$5,E$1)),0)),"-")</f>
        <v>-</v>
      </c>
      <c r="F18" s="14" t="str" cm="1">
        <f t="array" ref="F18">IFERROR(IF(ROUNDUP((Client_Margin($B18)*Alloted(F$3,F$2,F$5)/Get_Margin(F$3,F$2,F$5,F$1)),0)*Get_Margin(F$3,F$2,F$5,F$1)&gt;((Client_Margin($B18)*Alloted(F$3,F$2,F$5)/Get_Margin(F$3,F$2,F$5,F$1))*Get_Margin(F$3,F$2,F$5,F$1))*$C$3,ROUNDDOWN((Client_Margin($B18)*Alloted(F$3,F$2,F$5)/Get_Margin(F$3,F$2,F$5,F$1)),0),ROUNDUP((Client_Margin($B18)*Alloted(F$3,F$2,F$5)/Get_Margin(F$3,F$2,F$5,F$1)),0)),"-")</f>
        <v>-</v>
      </c>
      <c r="G18" s="14" cm="1">
        <f t="array" ref="G18">IFERROR(IF(ROUNDUP((Client_Margin($B18)*Alloted(G$3,G$2,G$5)/Get_Margin(G$3,G$2,G$5,G$1)),0)*Get_Margin(G$3,G$2,G$5,G$1)&gt;((Client_Margin($B18)*Alloted(G$3,G$2,G$5)/Get_Margin(G$3,G$2,G$5,G$1))*Get_Margin(G$3,G$2,G$5,G$1))*$C$3,ROUNDDOWN((Client_Margin($B18)*Alloted(G$3,G$2,G$5)/Get_Margin(G$3,G$2,G$5,G$1)),0),ROUNDUP((Client_Margin($B18)*Alloted(G$3,G$2,G$5)/Get_Margin(G$3,G$2,G$5,G$1)),0)),"-")</f>
        <v>4</v>
      </c>
      <c r="H18" s="14" cm="1">
        <f t="array" ref="H18">IFERROR(IF(ROUNDUP((Client_Margin($B18)*Alloted(H$3,H$2,H$5)/Get_Margin(H$3,H$2,H$5,H$1)),0)*Get_Margin(H$3,H$2,H$5,H$1)&gt;((Client_Margin($B18)*Alloted(H$3,H$2,H$5)/Get_Margin(H$3,H$2,H$5,H$1))*Get_Margin(H$3,H$2,H$5,H$1))*$C$3,ROUNDDOWN((Client_Margin($B18)*Alloted(H$3,H$2,H$5)/Get_Margin(H$3,H$2,H$5,H$1)),0),ROUNDUP((Client_Margin($B18)*Alloted(H$3,H$2,H$5)/Get_Margin(H$3,H$2,H$5,H$1)),0)),"-")</f>
        <v>1</v>
      </c>
      <c r="I18" s="14" cm="1">
        <f t="array" ref="I18">IFERROR(IF(ROUNDUP((Client_Margin($B18)*Alloted(I$3,I$2,I$5)/Get_Margin(I$3,I$2,I$5,I$1)),0)*Get_Margin(I$3,I$2,I$5,I$1)&gt;((Client_Margin($B18)*Alloted(I$3,I$2,I$5)/Get_Margin(I$3,I$2,I$5,I$1))*Get_Margin(I$3,I$2,I$5,I$1))*$C$3,ROUNDDOWN((Client_Margin($B18)*Alloted(I$3,I$2,I$5)/Get_Margin(I$3,I$2,I$5,I$1)),0),ROUNDUP((Client_Margin($B18)*Alloted(I$3,I$2,I$5)/Get_Margin(I$3,I$2,I$5,I$1)),0)),"-")</f>
        <v>2</v>
      </c>
      <c r="J18" s="14" cm="1">
        <f t="array" ref="J18">IFERROR(IF(ROUNDUP((Client_Margin($B18)*Alloted(J$3,J$2,J$5)/Get_Margin(J$3,J$2,J$5,J$1)),0)*Get_Margin(J$3,J$2,J$5,J$1)&gt;((Client_Margin($B18)*Alloted(J$3,J$2,J$5)/Get_Margin(J$3,J$2,J$5,J$1))*Get_Margin(J$3,J$2,J$5,J$1))*$C$3,ROUNDDOWN((Client_Margin($B18)*Alloted(J$3,J$2,J$5)/Get_Margin(J$3,J$2,J$5,J$1)),0),ROUNDUP((Client_Margin($B18)*Alloted(J$3,J$2,J$5)/Get_Margin(J$3,J$2,J$5,J$1)),0)),"-")</f>
        <v>0</v>
      </c>
      <c r="K18" s="14" cm="1">
        <f t="array" ref="K18">IFERROR(IF(ROUNDUP((Client_Margin($B18)*Alloted(K$3,K$2,K$5)/Get_Margin(K$3,K$2,K$5,K$1)),0)*Get_Margin(K$3,K$2,K$5,K$1)&gt;((Client_Margin($B18)*Alloted(K$3,K$2,K$5)/Get_Margin(K$3,K$2,K$5,K$1))*Get_Margin(K$3,K$2,K$5,K$1))*$C$3,ROUNDDOWN((Client_Margin($B18)*Alloted(K$3,K$2,K$5)/Get_Margin(K$3,K$2,K$5,K$1)),0),ROUNDUP((Client_Margin($B18)*Alloted(K$3,K$2,K$5)/Get_Margin(K$3,K$2,K$5,K$1)),0)),"-")</f>
        <v>0</v>
      </c>
      <c r="L18" s="14" cm="1">
        <f t="array" ref="L18">IFERROR(IF(ROUNDUP((Client_Margin($B18)*Alloted(L$3,L$2,L$5)/Get_Margin(L$3,L$2,L$5,L$1)),0)*Get_Margin(L$3,L$2,L$5,L$1)&gt;((Client_Margin($B18)*Alloted(L$3,L$2,L$5)/Get_Margin(L$3,L$2,L$5,L$1))*Get_Margin(L$3,L$2,L$5,L$1))*$C$3,ROUNDDOWN((Client_Margin($B18)*Alloted(L$3,L$2,L$5)/Get_Margin(L$3,L$2,L$5,L$1)),0),ROUNDUP((Client_Margin($B18)*Alloted(L$3,L$2,L$5)/Get_Margin(L$3,L$2,L$5,L$1)),0)),"-")</f>
        <v>4</v>
      </c>
    </row>
    <row r="19" spans="1:12" x14ac:dyDescent="0.25">
      <c r="A19">
        <f t="shared" si="1"/>
        <v>0</v>
      </c>
      <c r="B19" s="14"/>
      <c r="C19" s="14"/>
      <c r="D19" s="15">
        <f>SUM(E19:L19)</f>
        <v>0.33057142857142852</v>
      </c>
      <c r="E19" s="15" t="str" cm="1">
        <f t="array" ref="E19">IFERROR((_xlfn._xlws.FILTER(INDEX(Margin[],0,MATCH(E$1&amp;"_"&amp;E$3,Margin[#Headers],0)),(Margin[Index]=E$2)*(Margin[Strategy]=E$5))*E18)/Client_Margin($B18),"-")</f>
        <v>-</v>
      </c>
      <c r="F19" s="15" t="str" cm="1">
        <f t="array" ref="F19">IFERROR((_xlfn._xlws.FILTER(INDEX(Margin[],0,MATCH(F$1&amp;"_"&amp;F$3,Margin[#Headers],0)),(Margin[Index]=F$2)*(Margin[Strategy]=F$5))*F18)/Client_Margin($B18),"-")</f>
        <v>-</v>
      </c>
      <c r="G19" s="15" cm="1">
        <f t="array" ref="G19">IFERROR((_xlfn._xlws.FILTER(INDEX(Margin[],0,MATCH(G$1&amp;"_"&amp;G$3,Margin[#Headers],0)),(Margin[Index]=G$2)*(Margin[Strategy]=G$5))*G18)/Client_Margin($B18),"-")</f>
        <v>9.9428571428571422E-2</v>
      </c>
      <c r="H19" s="15" cm="1">
        <f t="array" ref="H19">IFERROR((_xlfn._xlws.FILTER(INDEX(Margin[],0,MATCH(H$1&amp;"_"&amp;H$3,Margin[#Headers],0)),(Margin[Index]=H$2)*(Margin[Strategy]=H$5))*H18)/Client_Margin($B18),"-")</f>
        <v>6.6857142857142851E-2</v>
      </c>
      <c r="I19" s="15" cm="1">
        <f t="array" ref="I19">IFERROR((_xlfn._xlws.FILTER(INDEX(Margin[],0,MATCH(I$1&amp;"_"&amp;I$3,Margin[#Headers],0)),(Margin[Index]=I$2)*(Margin[Strategy]=I$5))*I18)/Client_Margin($B18),"-")</f>
        <v>0.11428571428571428</v>
      </c>
      <c r="J19" s="15" cm="1">
        <f t="array" ref="J19">IFERROR((_xlfn._xlws.FILTER(INDEX(Margin[],0,MATCH(J$1&amp;"_"&amp;J$3,Margin[#Headers],0)),(Margin[Index]=J$2)*(Margin[Strategy]=J$5))*J18)/Client_Margin($B18),"-")</f>
        <v>0</v>
      </c>
      <c r="K19" s="15" cm="1">
        <f t="array" ref="K19">IFERROR((_xlfn._xlws.FILTER(INDEX(Margin[],0,MATCH(K$1&amp;"_"&amp;K$3,Margin[#Headers],0)),(Margin[Index]=K$2)*(Margin[Strategy]=K$5))*K18)/Client_Margin($B18),"-")</f>
        <v>0</v>
      </c>
      <c r="L19" s="15" cm="1">
        <f t="array" ref="L19">IFERROR((_xlfn._xlws.FILTER(INDEX(Margin[],0,MATCH(L$1&amp;"_"&amp;L$3,Margin[#Headers],0)),(Margin[Index]=L$2)*(Margin[Strategy]=L$5))*L18)/Client_Margin($B18),"-")</f>
        <v>0.05</v>
      </c>
    </row>
    <row r="20" spans="1:12" x14ac:dyDescent="0.25">
      <c r="A20">
        <f t="shared" si="1"/>
        <v>1</v>
      </c>
      <c r="B20" s="14" t="s">
        <v>48</v>
      </c>
      <c r="C20" s="14" cm="1">
        <f t="array" ref="C20">(_xlfn._xlws.FILTER(Fund[Margin],Fund[Client Id]=B20))/10000000</f>
        <v>2.9</v>
      </c>
      <c r="D20" s="17"/>
      <c r="E20" s="14" t="str" cm="1">
        <f t="array" ref="E20">IFERROR(IF(ROUNDUP((Client_Margin($B20)*Alloted(E$3,E$2,E$5)/Get_Margin(E$3,E$2,E$5,E$1)),0)*Get_Margin(E$3,E$2,E$5,E$1)&gt;((Client_Margin($B20)*Alloted(E$3,E$2,E$5)/Get_Margin(E$3,E$2,E$5,E$1))*Get_Margin(E$3,E$2,E$5,E$1))*$C$3,ROUNDDOWN((Client_Margin($B20)*Alloted(E$3,E$2,E$5)/Get_Margin(E$3,E$2,E$5,E$1)),0),ROUNDUP((Client_Margin($B20)*Alloted(E$3,E$2,E$5)/Get_Margin(E$3,E$2,E$5,E$1)),0)),"-")</f>
        <v>-</v>
      </c>
      <c r="F20" s="14" t="str" cm="1">
        <f t="array" ref="F20">IFERROR(IF(ROUNDUP((Client_Margin($B20)*Alloted(F$3,F$2,F$5)/Get_Margin(F$3,F$2,F$5,F$1)),0)*Get_Margin(F$3,F$2,F$5,F$1)&gt;((Client_Margin($B20)*Alloted(F$3,F$2,F$5)/Get_Margin(F$3,F$2,F$5,F$1))*Get_Margin(F$3,F$2,F$5,F$1))*$C$3,ROUNDDOWN((Client_Margin($B20)*Alloted(F$3,F$2,F$5)/Get_Margin(F$3,F$2,F$5,F$1)),0),ROUNDUP((Client_Margin($B20)*Alloted(F$3,F$2,F$5)/Get_Margin(F$3,F$2,F$5,F$1)),0)),"-")</f>
        <v>-</v>
      </c>
      <c r="G20" s="14" cm="1">
        <f t="array" ref="G20">IFERROR(IF(ROUNDUP((Client_Margin($B20)*Alloted(G$3,G$2,G$5)/Get_Margin(G$3,G$2,G$5,G$1)),0)*Get_Margin(G$3,G$2,G$5,G$1)&gt;((Client_Margin($B20)*Alloted(G$3,G$2,G$5)/Get_Margin(G$3,G$2,G$5,G$1))*Get_Margin(G$3,G$2,G$5,G$1))*$C$3,ROUNDDOWN((Client_Margin($B20)*Alloted(G$3,G$2,G$5)/Get_Margin(G$3,G$2,G$5,G$1)),0),ROUNDUP((Client_Margin($B20)*Alloted(G$3,G$2,G$5)/Get_Margin(G$3,G$2,G$5,G$1)),0)),"-")</f>
        <v>4</v>
      </c>
      <c r="H20" s="14" cm="1">
        <f t="array" ref="H20">IFERROR(IF(ROUNDUP((Client_Margin($B20)*Alloted(H$3,H$2,H$5)/Get_Margin(H$3,H$2,H$5,H$1)),0)*Get_Margin(H$3,H$2,H$5,H$1)&gt;((Client_Margin($B20)*Alloted(H$3,H$2,H$5)/Get_Margin(H$3,H$2,H$5,H$1))*Get_Margin(H$3,H$2,H$5,H$1))*$C$3,ROUNDDOWN((Client_Margin($B20)*Alloted(H$3,H$2,H$5)/Get_Margin(H$3,H$2,H$5,H$1)),0),ROUNDUP((Client_Margin($B20)*Alloted(H$3,H$2,H$5)/Get_Margin(H$3,H$2,H$5,H$1)),0)),"-")</f>
        <v>1</v>
      </c>
      <c r="I20" s="14" cm="1">
        <f t="array" ref="I20">IFERROR(IF(ROUNDUP((Client_Margin($B20)*Alloted(I$3,I$2,I$5)/Get_Margin(I$3,I$2,I$5,I$1)),0)*Get_Margin(I$3,I$2,I$5,I$1)&gt;((Client_Margin($B20)*Alloted(I$3,I$2,I$5)/Get_Margin(I$3,I$2,I$5,I$1))*Get_Margin(I$3,I$2,I$5,I$1))*$C$3,ROUNDDOWN((Client_Margin($B20)*Alloted(I$3,I$2,I$5)/Get_Margin(I$3,I$2,I$5,I$1)),0),ROUNDUP((Client_Margin($B20)*Alloted(I$3,I$2,I$5)/Get_Margin(I$3,I$2,I$5,I$1)),0)),"-")</f>
        <v>2</v>
      </c>
      <c r="J20" s="14" cm="1">
        <f t="array" ref="J20">IFERROR(IF(ROUNDUP((Client_Margin($B20)*Alloted(J$3,J$2,J$5)/Get_Margin(J$3,J$2,J$5,J$1)),0)*Get_Margin(J$3,J$2,J$5,J$1)&gt;((Client_Margin($B20)*Alloted(J$3,J$2,J$5)/Get_Margin(J$3,J$2,J$5,J$1))*Get_Margin(J$3,J$2,J$5,J$1))*$C$3,ROUNDDOWN((Client_Margin($B20)*Alloted(J$3,J$2,J$5)/Get_Margin(J$3,J$2,J$5,J$1)),0),ROUNDUP((Client_Margin($B20)*Alloted(J$3,J$2,J$5)/Get_Margin(J$3,J$2,J$5,J$1)),0)),"-")</f>
        <v>0</v>
      </c>
      <c r="K20" s="14" cm="1">
        <f t="array" ref="K20">IFERROR(IF(ROUNDUP((Client_Margin($B20)*Alloted(K$3,K$2,K$5)/Get_Margin(K$3,K$2,K$5,K$1)),0)*Get_Margin(K$3,K$2,K$5,K$1)&gt;((Client_Margin($B20)*Alloted(K$3,K$2,K$5)/Get_Margin(K$3,K$2,K$5,K$1))*Get_Margin(K$3,K$2,K$5,K$1))*$C$3,ROUNDDOWN((Client_Margin($B20)*Alloted(K$3,K$2,K$5)/Get_Margin(K$3,K$2,K$5,K$1)),0),ROUNDUP((Client_Margin($B20)*Alloted(K$3,K$2,K$5)/Get_Margin(K$3,K$2,K$5,K$1)),0)),"-")</f>
        <v>0</v>
      </c>
      <c r="L20" s="14" cm="1">
        <f t="array" ref="L20">IFERROR(IF(ROUNDUP((Client_Margin($B20)*Alloted(L$3,L$2,L$5)/Get_Margin(L$3,L$2,L$5,L$1)),0)*Get_Margin(L$3,L$2,L$5,L$1)&gt;((Client_Margin($B20)*Alloted(L$3,L$2,L$5)/Get_Margin(L$3,L$2,L$5,L$1))*Get_Margin(L$3,L$2,L$5,L$1))*$C$3,ROUNDDOWN((Client_Margin($B20)*Alloted(L$3,L$2,L$5)/Get_Margin(L$3,L$2,L$5,L$1)),0),ROUNDUP((Client_Margin($B20)*Alloted(L$3,L$2,L$5)/Get_Margin(L$3,L$2,L$5,L$1)),0)),"-")</f>
        <v>4</v>
      </c>
    </row>
    <row r="21" spans="1:12" x14ac:dyDescent="0.25">
      <c r="A21">
        <f t="shared" si="1"/>
        <v>0</v>
      </c>
      <c r="B21" s="14"/>
      <c r="C21" s="14"/>
      <c r="D21" s="15">
        <f>SUM(E21:L21)</f>
        <v>0.31917241379310346</v>
      </c>
      <c r="E21" s="15" t="str" cm="1">
        <f t="array" ref="E21">IFERROR((_xlfn._xlws.FILTER(INDEX(Margin[],0,MATCH(E$1&amp;"_"&amp;E$3,Margin[#Headers],0)),(Margin[Index]=E$2)*(Margin[Strategy]=E$5))*E20)/Client_Margin($B20),"-")</f>
        <v>-</v>
      </c>
      <c r="F21" s="15" t="str" cm="1">
        <f t="array" ref="F21">IFERROR((_xlfn._xlws.FILTER(INDEX(Margin[],0,MATCH(F$1&amp;"_"&amp;F$3,Margin[#Headers],0)),(Margin[Index]=F$2)*(Margin[Strategy]=F$5))*F20)/Client_Margin($B20),"-")</f>
        <v>-</v>
      </c>
      <c r="G21" s="15" cm="1">
        <f t="array" ref="G21">IFERROR((_xlfn._xlws.FILTER(INDEX(Margin[],0,MATCH(G$1&amp;"_"&amp;G$3,Margin[#Headers],0)),(Margin[Index]=G$2)*(Margin[Strategy]=G$5))*G20)/Client_Margin($B20),"-")</f>
        <v>9.6000000000000002E-2</v>
      </c>
      <c r="H21" s="15" cm="1">
        <f t="array" ref="H21">IFERROR((_xlfn._xlws.FILTER(INDEX(Margin[],0,MATCH(H$1&amp;"_"&amp;H$3,Margin[#Headers],0)),(Margin[Index]=H$2)*(Margin[Strategy]=H$5))*H20)/Client_Margin($B20),"-")</f>
        <v>6.4551724137931032E-2</v>
      </c>
      <c r="I21" s="15" cm="1">
        <f t="array" ref="I21">IFERROR((_xlfn._xlws.FILTER(INDEX(Margin[],0,MATCH(I$1&amp;"_"&amp;I$3,Margin[#Headers],0)),(Margin[Index]=I$2)*(Margin[Strategy]=I$5))*I20)/Client_Margin($B20),"-")</f>
        <v>0.1103448275862069</v>
      </c>
      <c r="J21" s="15" cm="1">
        <f t="array" ref="J21">IFERROR((_xlfn._xlws.FILTER(INDEX(Margin[],0,MATCH(J$1&amp;"_"&amp;J$3,Margin[#Headers],0)),(Margin[Index]=J$2)*(Margin[Strategy]=J$5))*J20)/Client_Margin($B20),"-")</f>
        <v>0</v>
      </c>
      <c r="K21" s="15" cm="1">
        <f t="array" ref="K21">IFERROR((_xlfn._xlws.FILTER(INDEX(Margin[],0,MATCH(K$1&amp;"_"&amp;K$3,Margin[#Headers],0)),(Margin[Index]=K$2)*(Margin[Strategy]=K$5))*K20)/Client_Margin($B20),"-")</f>
        <v>0</v>
      </c>
      <c r="L21" s="15" cm="1">
        <f t="array" ref="L21">IFERROR((_xlfn._xlws.FILTER(INDEX(Margin[],0,MATCH(L$1&amp;"_"&amp;L$3,Margin[#Headers],0)),(Margin[Index]=L$2)*(Margin[Strategy]=L$5))*L20)/Client_Margin($B20),"-")</f>
        <v>4.8275862068965517E-2</v>
      </c>
    </row>
    <row r="22" spans="1:12" x14ac:dyDescent="0.25">
      <c r="A22">
        <f t="shared" si="1"/>
        <v>1</v>
      </c>
      <c r="B22" s="14" t="s">
        <v>53</v>
      </c>
      <c r="C22" s="14" cm="1">
        <f t="array" ref="C22">(_xlfn._xlws.FILTER(Fund[Margin],Fund[Client Id]=B22))/10000000</f>
        <v>2.4</v>
      </c>
      <c r="D22" s="17"/>
      <c r="E22" s="14" t="str" cm="1">
        <f t="array" ref="E22">IFERROR(IF(ROUNDUP((Client_Margin($B22)*Alloted(E$3,E$2,E$5)/Get_Margin(E$3,E$2,E$5,E$1)),0)*Get_Margin(E$3,E$2,E$5,E$1)&gt;((Client_Margin($B22)*Alloted(E$3,E$2,E$5)/Get_Margin(E$3,E$2,E$5,E$1))*Get_Margin(E$3,E$2,E$5,E$1))*$C$3,ROUNDDOWN((Client_Margin($B22)*Alloted(E$3,E$2,E$5)/Get_Margin(E$3,E$2,E$5,E$1)),0),ROUNDUP((Client_Margin($B22)*Alloted(E$3,E$2,E$5)/Get_Margin(E$3,E$2,E$5,E$1)),0)),"-")</f>
        <v>-</v>
      </c>
      <c r="F22" s="14" t="str" cm="1">
        <f t="array" ref="F22">IFERROR(IF(ROUNDUP((Client_Margin($B22)*Alloted(F$3,F$2,F$5)/Get_Margin(F$3,F$2,F$5,F$1)),0)*Get_Margin(F$3,F$2,F$5,F$1)&gt;((Client_Margin($B22)*Alloted(F$3,F$2,F$5)/Get_Margin(F$3,F$2,F$5,F$1))*Get_Margin(F$3,F$2,F$5,F$1))*$C$3,ROUNDDOWN((Client_Margin($B22)*Alloted(F$3,F$2,F$5)/Get_Margin(F$3,F$2,F$5,F$1)),0),ROUNDUP((Client_Margin($B22)*Alloted(F$3,F$2,F$5)/Get_Margin(F$3,F$2,F$5,F$1)),0)),"-")</f>
        <v>-</v>
      </c>
      <c r="G22" s="14" cm="1">
        <f t="array" ref="G22">IFERROR(IF(ROUNDUP((Client_Margin($B22)*Alloted(G$3,G$2,G$5)/Get_Margin(G$3,G$2,G$5,G$1)),0)*Get_Margin(G$3,G$2,G$5,G$1)&gt;((Client_Margin($B22)*Alloted(G$3,G$2,G$5)/Get_Margin(G$3,G$2,G$5,G$1))*Get_Margin(G$3,G$2,G$5,G$1))*$C$3,ROUNDDOWN((Client_Margin($B22)*Alloted(G$3,G$2,G$5)/Get_Margin(G$3,G$2,G$5,G$1)),0),ROUNDUP((Client_Margin($B22)*Alloted(G$3,G$2,G$5)/Get_Margin(G$3,G$2,G$5,G$1)),0)),"-")</f>
        <v>3</v>
      </c>
      <c r="H22" s="14" cm="1">
        <f t="array" ref="H22">IFERROR(IF(ROUNDUP((Client_Margin($B22)*Alloted(H$3,H$2,H$5)/Get_Margin(H$3,H$2,H$5,H$1)),0)*Get_Margin(H$3,H$2,H$5,H$1)&gt;((Client_Margin($B22)*Alloted(H$3,H$2,H$5)/Get_Margin(H$3,H$2,H$5,H$1))*Get_Margin(H$3,H$2,H$5,H$1))*$C$3,ROUNDDOWN((Client_Margin($B22)*Alloted(H$3,H$2,H$5)/Get_Margin(H$3,H$2,H$5,H$1)),0),ROUNDUP((Client_Margin($B22)*Alloted(H$3,H$2,H$5)/Get_Margin(H$3,H$2,H$5,H$1)),0)),"-")</f>
        <v>1</v>
      </c>
      <c r="I22" s="14" cm="1">
        <f t="array" ref="I22">IFERROR(IF(ROUNDUP((Client_Margin($B22)*Alloted(I$3,I$2,I$5)/Get_Margin(I$3,I$2,I$5,I$1)),0)*Get_Margin(I$3,I$2,I$5,I$1)&gt;((Client_Margin($B22)*Alloted(I$3,I$2,I$5)/Get_Margin(I$3,I$2,I$5,I$1))*Get_Margin(I$3,I$2,I$5,I$1))*$C$3,ROUNDDOWN((Client_Margin($B22)*Alloted(I$3,I$2,I$5)/Get_Margin(I$3,I$2,I$5,I$1)),0),ROUNDUP((Client_Margin($B22)*Alloted(I$3,I$2,I$5)/Get_Margin(I$3,I$2,I$5,I$1)),0)),"-")</f>
        <v>1</v>
      </c>
      <c r="J22" s="14" cm="1">
        <f t="array" ref="J22">IFERROR(IF(ROUNDUP((Client_Margin($B22)*Alloted(J$3,J$2,J$5)/Get_Margin(J$3,J$2,J$5,J$1)),0)*Get_Margin(J$3,J$2,J$5,J$1)&gt;((Client_Margin($B22)*Alloted(J$3,J$2,J$5)/Get_Margin(J$3,J$2,J$5,J$1))*Get_Margin(J$3,J$2,J$5,J$1))*$C$3,ROUNDDOWN((Client_Margin($B22)*Alloted(J$3,J$2,J$5)/Get_Margin(J$3,J$2,J$5,J$1)),0),ROUNDUP((Client_Margin($B22)*Alloted(J$3,J$2,J$5)/Get_Margin(J$3,J$2,J$5,J$1)),0)),"-")</f>
        <v>0</v>
      </c>
      <c r="K22" s="14" cm="1">
        <f t="array" ref="K22">IFERROR(IF(ROUNDUP((Client_Margin($B22)*Alloted(K$3,K$2,K$5)/Get_Margin(K$3,K$2,K$5,K$1)),0)*Get_Margin(K$3,K$2,K$5,K$1)&gt;((Client_Margin($B22)*Alloted(K$3,K$2,K$5)/Get_Margin(K$3,K$2,K$5,K$1))*Get_Margin(K$3,K$2,K$5,K$1))*$C$3,ROUNDDOWN((Client_Margin($B22)*Alloted(K$3,K$2,K$5)/Get_Margin(K$3,K$2,K$5,K$1)),0),ROUNDUP((Client_Margin($B22)*Alloted(K$3,K$2,K$5)/Get_Margin(K$3,K$2,K$5,K$1)),0)),"-")</f>
        <v>0</v>
      </c>
      <c r="L22" s="14" cm="1">
        <f t="array" ref="L22">IFERROR(IF(ROUNDUP((Client_Margin($B22)*Alloted(L$3,L$2,L$5)/Get_Margin(L$3,L$2,L$5,L$1)),0)*Get_Margin(L$3,L$2,L$5,L$1)&gt;((Client_Margin($B22)*Alloted(L$3,L$2,L$5)/Get_Margin(L$3,L$2,L$5,L$1))*Get_Margin(L$3,L$2,L$5,L$1))*$C$3,ROUNDDOWN((Client_Margin($B22)*Alloted(L$3,L$2,L$5)/Get_Margin(L$3,L$2,L$5,L$1)),0),ROUNDUP((Client_Margin($B22)*Alloted(L$3,L$2,L$5)/Get_Margin(L$3,L$2,L$5,L$1)),0)),"-")</f>
        <v>3</v>
      </c>
    </row>
    <row r="23" spans="1:12" x14ac:dyDescent="0.25">
      <c r="A23">
        <f t="shared" si="1"/>
        <v>0</v>
      </c>
      <c r="B23" s="14"/>
      <c r="C23" s="14"/>
      <c r="D23" s="15">
        <f>SUM(E23:L23)</f>
        <v>0.27541666666666664</v>
      </c>
      <c r="E23" s="15" t="str" cm="1">
        <f t="array" ref="E23">IFERROR((_xlfn._xlws.FILTER(INDEX(Margin[],0,MATCH(E$1&amp;"_"&amp;E$3,Margin[#Headers],0)),(Margin[Index]=E$2)*(Margin[Strategy]=E$5))*E22)/Client_Margin($B22),"-")</f>
        <v>-</v>
      </c>
      <c r="F23" s="15" t="str" cm="1">
        <f t="array" ref="F23">IFERROR((_xlfn._xlws.FILTER(INDEX(Margin[],0,MATCH(F$1&amp;"_"&amp;F$3,Margin[#Headers],0)),(Margin[Index]=F$2)*(Margin[Strategy]=F$5))*F22)/Client_Margin($B22),"-")</f>
        <v>-</v>
      </c>
      <c r="G23" s="15" cm="1">
        <f t="array" ref="G23">IFERROR((_xlfn._xlws.FILTER(INDEX(Margin[],0,MATCH(G$1&amp;"_"&amp;G$3,Margin[#Headers],0)),(Margin[Index]=G$2)*(Margin[Strategy]=G$5))*G22)/Client_Margin($B22),"-")</f>
        <v>8.6999999999999994E-2</v>
      </c>
      <c r="H23" s="15" cm="1">
        <f t="array" ref="H23">IFERROR((_xlfn._xlws.FILTER(INDEX(Margin[],0,MATCH(H$1&amp;"_"&amp;H$3,Margin[#Headers],0)),(Margin[Index]=H$2)*(Margin[Strategy]=H$5))*H22)/Client_Margin($B22),"-")</f>
        <v>7.8E-2</v>
      </c>
      <c r="I23" s="15" cm="1">
        <f t="array" ref="I23">IFERROR((_xlfn._xlws.FILTER(INDEX(Margin[],0,MATCH(I$1&amp;"_"&amp;I$3,Margin[#Headers],0)),(Margin[Index]=I$2)*(Margin[Strategy]=I$5))*I22)/Client_Margin($B22),"-")</f>
        <v>6.6666666666666666E-2</v>
      </c>
      <c r="J23" s="15" cm="1">
        <f t="array" ref="J23">IFERROR((_xlfn._xlws.FILTER(INDEX(Margin[],0,MATCH(J$1&amp;"_"&amp;J$3,Margin[#Headers],0)),(Margin[Index]=J$2)*(Margin[Strategy]=J$5))*J22)/Client_Margin($B22),"-")</f>
        <v>0</v>
      </c>
      <c r="K23" s="15" cm="1">
        <f t="array" ref="K23">IFERROR((_xlfn._xlws.FILTER(INDEX(Margin[],0,MATCH(K$1&amp;"_"&amp;K$3,Margin[#Headers],0)),(Margin[Index]=K$2)*(Margin[Strategy]=K$5))*K22)/Client_Margin($B22),"-")</f>
        <v>0</v>
      </c>
      <c r="L23" s="15" cm="1">
        <f t="array" ref="L23">IFERROR((_xlfn._xlws.FILTER(INDEX(Margin[],0,MATCH(L$1&amp;"_"&amp;L$3,Margin[#Headers],0)),(Margin[Index]=L$2)*(Margin[Strategy]=L$5))*L22)/Client_Margin($B22),"-")</f>
        <v>4.3749999999999997E-2</v>
      </c>
    </row>
    <row r="24" spans="1:12" x14ac:dyDescent="0.25">
      <c r="A24">
        <f>IF(B24="",0,1)</f>
        <v>1</v>
      </c>
      <c r="B24" s="14" t="s">
        <v>44</v>
      </c>
      <c r="C24" s="14" cm="1">
        <f t="array" ref="C24">(_xlfn._xlws.FILTER(Fund[Margin],Fund[Client Id]=B24))/10000000</f>
        <v>2.4</v>
      </c>
      <c r="D24" s="17"/>
      <c r="E24" s="14" t="str" cm="1">
        <f t="array" ref="E24">IFERROR(IF(ROUNDUP((Client_Margin($B24)*Alloted(E$3,E$2,E$5)/Get_Margin(E$3,E$2,E$5,E$1)),0)*Get_Margin(E$3,E$2,E$5,E$1)&gt;((Client_Margin($B24)*Alloted(E$3,E$2,E$5)/Get_Margin(E$3,E$2,E$5,E$1))*Get_Margin(E$3,E$2,E$5,E$1))*$C$3,ROUNDDOWN((Client_Margin($B24)*Alloted(E$3,E$2,E$5)/Get_Margin(E$3,E$2,E$5,E$1)),0),ROUNDUP((Client_Margin($B24)*Alloted(E$3,E$2,E$5)/Get_Margin(E$3,E$2,E$5,E$1)),0)),"-")</f>
        <v>-</v>
      </c>
      <c r="F24" s="14" t="str" cm="1">
        <f t="array" ref="F24">IFERROR(IF(ROUNDUP((Client_Margin($B24)*Alloted(F$3,F$2,F$5)/Get_Margin(F$3,F$2,F$5,F$1)),0)*Get_Margin(F$3,F$2,F$5,F$1)&gt;((Client_Margin($B24)*Alloted(F$3,F$2,F$5)/Get_Margin(F$3,F$2,F$5,F$1))*Get_Margin(F$3,F$2,F$5,F$1))*$C$3,ROUNDDOWN((Client_Margin($B24)*Alloted(F$3,F$2,F$5)/Get_Margin(F$3,F$2,F$5,F$1)),0),ROUNDUP((Client_Margin($B24)*Alloted(F$3,F$2,F$5)/Get_Margin(F$3,F$2,F$5,F$1)),0)),"-")</f>
        <v>-</v>
      </c>
      <c r="G24" s="14" cm="1">
        <f t="array" ref="G24">IFERROR(IF(ROUNDUP((Client_Margin($B24)*Alloted(G$3,G$2,G$5)/Get_Margin(G$3,G$2,G$5,G$1)),0)*Get_Margin(G$3,G$2,G$5,G$1)&gt;((Client_Margin($B24)*Alloted(G$3,G$2,G$5)/Get_Margin(G$3,G$2,G$5,G$1))*Get_Margin(G$3,G$2,G$5,G$1))*$C$3,ROUNDDOWN((Client_Margin($B24)*Alloted(G$3,G$2,G$5)/Get_Margin(G$3,G$2,G$5,G$1)),0),ROUNDUP((Client_Margin($B24)*Alloted(G$3,G$2,G$5)/Get_Margin(G$3,G$2,G$5,G$1)),0)),"-")</f>
        <v>3</v>
      </c>
      <c r="H24" s="14" cm="1">
        <f t="array" ref="H24">IFERROR(IF(ROUNDUP((Client_Margin($B24)*Alloted(H$3,H$2,H$5)/Get_Margin(H$3,H$2,H$5,H$1)),0)*Get_Margin(H$3,H$2,H$5,H$1)&gt;((Client_Margin($B24)*Alloted(H$3,H$2,H$5)/Get_Margin(H$3,H$2,H$5,H$1))*Get_Margin(H$3,H$2,H$5,H$1))*$C$3,ROUNDDOWN((Client_Margin($B24)*Alloted(H$3,H$2,H$5)/Get_Margin(H$3,H$2,H$5,H$1)),0),ROUNDUP((Client_Margin($B24)*Alloted(H$3,H$2,H$5)/Get_Margin(H$3,H$2,H$5,H$1)),0)),"-")</f>
        <v>1</v>
      </c>
      <c r="I24" s="14" cm="1">
        <f t="array" ref="I24">IFERROR(IF(ROUNDUP((Client_Margin($B24)*Alloted(I$3,I$2,I$5)/Get_Margin(I$3,I$2,I$5,I$1)),0)*Get_Margin(I$3,I$2,I$5,I$1)&gt;((Client_Margin($B24)*Alloted(I$3,I$2,I$5)/Get_Margin(I$3,I$2,I$5,I$1))*Get_Margin(I$3,I$2,I$5,I$1))*$C$3,ROUNDDOWN((Client_Margin($B24)*Alloted(I$3,I$2,I$5)/Get_Margin(I$3,I$2,I$5,I$1)),0),ROUNDUP((Client_Margin($B24)*Alloted(I$3,I$2,I$5)/Get_Margin(I$3,I$2,I$5,I$1)),0)),"-")</f>
        <v>1</v>
      </c>
      <c r="J24" s="14" cm="1">
        <f t="array" ref="J24">IFERROR(IF(ROUNDUP((Client_Margin($B24)*Alloted(J$3,J$2,J$5)/Get_Margin(J$3,J$2,J$5,J$1)),0)*Get_Margin(J$3,J$2,J$5,J$1)&gt;((Client_Margin($B24)*Alloted(J$3,J$2,J$5)/Get_Margin(J$3,J$2,J$5,J$1))*Get_Margin(J$3,J$2,J$5,J$1))*$C$3,ROUNDDOWN((Client_Margin($B24)*Alloted(J$3,J$2,J$5)/Get_Margin(J$3,J$2,J$5,J$1)),0),ROUNDUP((Client_Margin($B24)*Alloted(J$3,J$2,J$5)/Get_Margin(J$3,J$2,J$5,J$1)),0)),"-")</f>
        <v>0</v>
      </c>
      <c r="K24" s="14" cm="1">
        <f t="array" ref="K24">IFERROR(IF(ROUNDUP((Client_Margin($B24)*Alloted(K$3,K$2,K$5)/Get_Margin(K$3,K$2,K$5,K$1)),0)*Get_Margin(K$3,K$2,K$5,K$1)&gt;((Client_Margin($B24)*Alloted(K$3,K$2,K$5)/Get_Margin(K$3,K$2,K$5,K$1))*Get_Margin(K$3,K$2,K$5,K$1))*$C$3,ROUNDDOWN((Client_Margin($B24)*Alloted(K$3,K$2,K$5)/Get_Margin(K$3,K$2,K$5,K$1)),0),ROUNDUP((Client_Margin($B24)*Alloted(K$3,K$2,K$5)/Get_Margin(K$3,K$2,K$5,K$1)),0)),"-")</f>
        <v>0</v>
      </c>
      <c r="L24" s="14" cm="1">
        <f t="array" ref="L24">IFERROR(IF(ROUNDUP((Client_Margin($B24)*Alloted(L$3,L$2,L$5)/Get_Margin(L$3,L$2,L$5,L$1)),0)*Get_Margin(L$3,L$2,L$5,L$1)&gt;((Client_Margin($B24)*Alloted(L$3,L$2,L$5)/Get_Margin(L$3,L$2,L$5,L$1))*Get_Margin(L$3,L$2,L$5,L$1))*$C$3,ROUNDDOWN((Client_Margin($B24)*Alloted(L$3,L$2,L$5)/Get_Margin(L$3,L$2,L$5,L$1)),0),ROUNDUP((Client_Margin($B24)*Alloted(L$3,L$2,L$5)/Get_Margin(L$3,L$2,L$5,L$1)),0)),"-")</f>
        <v>3</v>
      </c>
    </row>
    <row r="25" spans="1:12" x14ac:dyDescent="0.25">
      <c r="A25">
        <f>IF(B25="",0,1)</f>
        <v>0</v>
      </c>
      <c r="B25" s="14"/>
      <c r="C25" s="14"/>
      <c r="D25" s="15">
        <f>SUM(E25:L25)</f>
        <v>0.27541666666666664</v>
      </c>
      <c r="E25" s="15" t="str" cm="1">
        <f t="array" ref="E25">IFERROR((_xlfn._xlws.FILTER(INDEX(Margin[],0,MATCH(E$1&amp;"_"&amp;E$3,Margin[#Headers],0)),(Margin[Index]=E$2)*(Margin[Strategy]=E$5))*E24)/Client_Margin($B24),"-")</f>
        <v>-</v>
      </c>
      <c r="F25" s="15" t="str" cm="1">
        <f t="array" ref="F25">IFERROR((_xlfn._xlws.FILTER(INDEX(Margin[],0,MATCH(F$1&amp;"_"&amp;F$3,Margin[#Headers],0)),(Margin[Index]=F$2)*(Margin[Strategy]=F$5))*F24)/Client_Margin($B24),"-")</f>
        <v>-</v>
      </c>
      <c r="G25" s="15" cm="1">
        <f t="array" ref="G25">IFERROR((_xlfn._xlws.FILTER(INDEX(Margin[],0,MATCH(G$1&amp;"_"&amp;G$3,Margin[#Headers],0)),(Margin[Index]=G$2)*(Margin[Strategy]=G$5))*G24)/Client_Margin($B24),"-")</f>
        <v>8.6999999999999994E-2</v>
      </c>
      <c r="H25" s="15" cm="1">
        <f t="array" ref="H25">IFERROR((_xlfn._xlws.FILTER(INDEX(Margin[],0,MATCH(H$1&amp;"_"&amp;H$3,Margin[#Headers],0)),(Margin[Index]=H$2)*(Margin[Strategy]=H$5))*H24)/Client_Margin($B24),"-")</f>
        <v>7.8E-2</v>
      </c>
      <c r="I25" s="15" cm="1">
        <f t="array" ref="I25">IFERROR((_xlfn._xlws.FILTER(INDEX(Margin[],0,MATCH(I$1&amp;"_"&amp;I$3,Margin[#Headers],0)),(Margin[Index]=I$2)*(Margin[Strategy]=I$5))*I24)/Client_Margin($B24),"-")</f>
        <v>6.6666666666666666E-2</v>
      </c>
      <c r="J25" s="15" cm="1">
        <f t="array" ref="J25">IFERROR((_xlfn._xlws.FILTER(INDEX(Margin[],0,MATCH(J$1&amp;"_"&amp;J$3,Margin[#Headers],0)),(Margin[Index]=J$2)*(Margin[Strategy]=J$5))*J24)/Client_Margin($B24),"-")</f>
        <v>0</v>
      </c>
      <c r="K25" s="15" cm="1">
        <f t="array" ref="K25">IFERROR((_xlfn._xlws.FILTER(INDEX(Margin[],0,MATCH(K$1&amp;"_"&amp;K$3,Margin[#Headers],0)),(Margin[Index]=K$2)*(Margin[Strategy]=K$5))*K24)/Client_Margin($B24),"-")</f>
        <v>0</v>
      </c>
      <c r="L25" s="15" cm="1">
        <f t="array" ref="L25">IFERROR((_xlfn._xlws.FILTER(INDEX(Margin[],0,MATCH(L$1&amp;"_"&amp;L$3,Margin[#Headers],0)),(Margin[Index]=L$2)*(Margin[Strategy]=L$5))*L24)/Client_Margin($B24),"-")</f>
        <v>4.3749999999999997E-2</v>
      </c>
    </row>
    <row r="26" spans="1:12" x14ac:dyDescent="0.25">
      <c r="A26">
        <f t="shared" ref="A26:A27" si="2">IF(B26="",0,1)</f>
        <v>1</v>
      </c>
      <c r="B26" s="14" t="s">
        <v>113</v>
      </c>
      <c r="C26" s="14" cm="1">
        <f t="array" ref="C26">(_xlfn._xlws.FILTER(Fund[Margin],Fund[Client Id]=B26))/10000000</f>
        <v>1.95</v>
      </c>
      <c r="D26" s="17"/>
      <c r="E26" s="14" t="str" cm="1">
        <f t="array" ref="E26">IFERROR(IF(ROUNDUP((Client_Margin($B26)*Alloted(E$3,E$2,E$5)/Get_Margin(E$3,E$2,E$5,E$1)),0)*Get_Margin(E$3,E$2,E$5,E$1)&gt;((Client_Margin($B26)*Alloted(E$3,E$2,E$5)/Get_Margin(E$3,E$2,E$5,E$1))*Get_Margin(E$3,E$2,E$5,E$1))*$C$3,ROUNDDOWN((Client_Margin($B26)*Alloted(E$3,E$2,E$5)/Get_Margin(E$3,E$2,E$5,E$1)),0),ROUNDUP((Client_Margin($B26)*Alloted(E$3,E$2,E$5)/Get_Margin(E$3,E$2,E$5,E$1)),0)),"-")</f>
        <v>-</v>
      </c>
      <c r="F26" s="14" t="str" cm="1">
        <f t="array" ref="F26">IFERROR(IF(ROUNDUP((Client_Margin($B26)*Alloted(F$3,F$2,F$5)/Get_Margin(F$3,F$2,F$5,F$1)),0)*Get_Margin(F$3,F$2,F$5,F$1)&gt;((Client_Margin($B26)*Alloted(F$3,F$2,F$5)/Get_Margin(F$3,F$2,F$5,F$1))*Get_Margin(F$3,F$2,F$5,F$1))*$C$3,ROUNDDOWN((Client_Margin($B26)*Alloted(F$3,F$2,F$5)/Get_Margin(F$3,F$2,F$5,F$1)),0),ROUNDUP((Client_Margin($B26)*Alloted(F$3,F$2,F$5)/Get_Margin(F$3,F$2,F$5,F$1)),0)),"-")</f>
        <v>-</v>
      </c>
      <c r="G26" s="14" cm="1">
        <f t="array" ref="G26">IFERROR(IF(ROUNDUP((Client_Margin($B26)*Alloted(G$3,G$2,G$5)/Get_Margin(G$3,G$2,G$5,G$1)),0)*Get_Margin(G$3,G$2,G$5,G$1)&gt;((Client_Margin($B26)*Alloted(G$3,G$2,G$5)/Get_Margin(G$3,G$2,G$5,G$1))*Get_Margin(G$3,G$2,G$5,G$1))*$C$3,ROUNDDOWN((Client_Margin($B26)*Alloted(G$3,G$2,G$5)/Get_Margin(G$3,G$2,G$5,G$1)),0),ROUNDUP((Client_Margin($B26)*Alloted(G$3,G$2,G$5)/Get_Margin(G$3,G$2,G$5,G$1)),0)),"-")</f>
        <v>3</v>
      </c>
      <c r="H26" s="14" cm="1">
        <f t="array" ref="H26">IFERROR(IF(ROUNDUP((Client_Margin($B26)*Alloted(H$3,H$2,H$5)/Get_Margin(H$3,H$2,H$5,H$1)),0)*Get_Margin(H$3,H$2,H$5,H$1)&gt;((Client_Margin($B26)*Alloted(H$3,H$2,H$5)/Get_Margin(H$3,H$2,H$5,H$1))*Get_Margin(H$3,H$2,H$5,H$1))*$C$3,ROUNDDOWN((Client_Margin($B26)*Alloted(H$3,H$2,H$5)/Get_Margin(H$3,H$2,H$5,H$1)),0),ROUNDUP((Client_Margin($B26)*Alloted(H$3,H$2,H$5)/Get_Margin(H$3,H$2,H$5,H$1)),0)),"-")</f>
        <v>1</v>
      </c>
      <c r="I26" s="14" cm="1">
        <f t="array" ref="I26">IFERROR(IF(ROUNDUP((Client_Margin($B26)*Alloted(I$3,I$2,I$5)/Get_Margin(I$3,I$2,I$5,I$1)),0)*Get_Margin(I$3,I$2,I$5,I$1)&gt;((Client_Margin($B26)*Alloted(I$3,I$2,I$5)/Get_Margin(I$3,I$2,I$5,I$1))*Get_Margin(I$3,I$2,I$5,I$1))*$C$3,ROUNDDOWN((Client_Margin($B26)*Alloted(I$3,I$2,I$5)/Get_Margin(I$3,I$2,I$5,I$1)),0),ROUNDUP((Client_Margin($B26)*Alloted(I$3,I$2,I$5)/Get_Margin(I$3,I$2,I$5,I$1)),0)),"-")</f>
        <v>1</v>
      </c>
      <c r="J26" s="14" cm="1">
        <f t="array" ref="J26">IFERROR(IF(ROUNDUP((Client_Margin($B26)*Alloted(J$3,J$2,J$5)/Get_Margin(J$3,J$2,J$5,J$1)),0)*Get_Margin(J$3,J$2,J$5,J$1)&gt;((Client_Margin($B26)*Alloted(J$3,J$2,J$5)/Get_Margin(J$3,J$2,J$5,J$1))*Get_Margin(J$3,J$2,J$5,J$1))*$C$3,ROUNDDOWN((Client_Margin($B26)*Alloted(J$3,J$2,J$5)/Get_Margin(J$3,J$2,J$5,J$1)),0),ROUNDUP((Client_Margin($B26)*Alloted(J$3,J$2,J$5)/Get_Margin(J$3,J$2,J$5,J$1)),0)),"-")</f>
        <v>0</v>
      </c>
      <c r="K26" s="14" cm="1">
        <f t="array" ref="K26">IFERROR(IF(ROUNDUP((Client_Margin($B26)*Alloted(K$3,K$2,K$5)/Get_Margin(K$3,K$2,K$5,K$1)),0)*Get_Margin(K$3,K$2,K$5,K$1)&gt;((Client_Margin($B26)*Alloted(K$3,K$2,K$5)/Get_Margin(K$3,K$2,K$5,K$1))*Get_Margin(K$3,K$2,K$5,K$1))*$C$3,ROUNDDOWN((Client_Margin($B26)*Alloted(K$3,K$2,K$5)/Get_Margin(K$3,K$2,K$5,K$1)),0),ROUNDUP((Client_Margin($B26)*Alloted(K$3,K$2,K$5)/Get_Margin(K$3,K$2,K$5,K$1)),0)),"-")</f>
        <v>0</v>
      </c>
      <c r="L26" s="43">
        <v>0</v>
      </c>
    </row>
    <row r="27" spans="1:12" x14ac:dyDescent="0.25">
      <c r="A27">
        <f t="shared" si="2"/>
        <v>0</v>
      </c>
      <c r="B27" s="14"/>
      <c r="C27" s="14"/>
      <c r="D27" s="15">
        <f>SUM(E27:L27)</f>
        <v>0.28512820512820514</v>
      </c>
      <c r="E27" s="15" t="str" cm="1">
        <f t="array" ref="E27">IFERROR((_xlfn._xlws.FILTER(INDEX(Margin[],0,MATCH(E$1&amp;"_"&amp;E$3,Margin[#Headers],0)),(Margin[Index]=E$2)*(Margin[Strategy]=E$5))*E26)/Client_Margin($B26),"-")</f>
        <v>-</v>
      </c>
      <c r="F27" s="15" t="str" cm="1">
        <f t="array" ref="F27">IFERROR((_xlfn._xlws.FILTER(INDEX(Margin[],0,MATCH(F$1&amp;"_"&amp;F$3,Margin[#Headers],0)),(Margin[Index]=F$2)*(Margin[Strategy]=F$5))*F26)/Client_Margin($B26),"-")</f>
        <v>-</v>
      </c>
      <c r="G27" s="15" cm="1">
        <f t="array" ref="G27">IFERROR((_xlfn._xlws.FILTER(INDEX(Margin[],0,MATCH(G$1&amp;"_"&amp;G$3,Margin[#Headers],0)),(Margin[Index]=G$2)*(Margin[Strategy]=G$5))*G26)/Client_Margin($B26),"-")</f>
        <v>0.10707692307692308</v>
      </c>
      <c r="H27" s="15" cm="1">
        <f t="array" ref="H27">IFERROR((_xlfn._xlws.FILTER(INDEX(Margin[],0,MATCH(H$1&amp;"_"&amp;H$3,Margin[#Headers],0)),(Margin[Index]=H$2)*(Margin[Strategy]=H$5))*H26)/Client_Margin($B26),"-")</f>
        <v>9.6000000000000002E-2</v>
      </c>
      <c r="I27" s="15" cm="1">
        <f t="array" ref="I27">IFERROR((_xlfn._xlws.FILTER(INDEX(Margin[],0,MATCH(I$1&amp;"_"&amp;I$3,Margin[#Headers],0)),(Margin[Index]=I$2)*(Margin[Strategy]=I$5))*I26)/Client_Margin($B26),"-")</f>
        <v>8.2051282051282051E-2</v>
      </c>
      <c r="J27" s="15" cm="1">
        <f t="array" ref="J27">IFERROR((_xlfn._xlws.FILTER(INDEX(Margin[],0,MATCH(J$1&amp;"_"&amp;J$3,Margin[#Headers],0)),(Margin[Index]=J$2)*(Margin[Strategy]=J$5))*J26)/Client_Margin($B26),"-")</f>
        <v>0</v>
      </c>
      <c r="K27" s="15" cm="1">
        <f t="array" ref="K27">IFERROR((_xlfn._xlws.FILTER(INDEX(Margin[],0,MATCH(K$1&amp;"_"&amp;K$3,Margin[#Headers],0)),(Margin[Index]=K$2)*(Margin[Strategy]=K$5))*K26)/Client_Margin($B26),"-")</f>
        <v>0</v>
      </c>
      <c r="L27" s="15" cm="1">
        <f t="array" ref="L27">IFERROR((_xlfn._xlws.FILTER(INDEX(Margin[],0,MATCH(L$1&amp;"_"&amp;L$3,Margin[#Headers],0)),(Margin[Index]=L$2)*(Margin[Strategy]=L$5))*L26)/Client_Margin($B26),"-")</f>
        <v>0</v>
      </c>
    </row>
    <row r="28" spans="1:12" x14ac:dyDescent="0.25">
      <c r="A28">
        <f>IF(B28="",0,1)</f>
        <v>1</v>
      </c>
      <c r="B28" s="14" t="s">
        <v>36</v>
      </c>
      <c r="C28" s="14" cm="1">
        <f t="array" ref="C28">(_xlfn._xlws.FILTER(Fund[Margin],Fund[Client Id]=B28))/10000000</f>
        <v>1.8</v>
      </c>
      <c r="D28" s="17"/>
      <c r="E28" s="14" t="str" cm="1">
        <f t="array" ref="E28">IFERROR(IF(ROUNDUP((Client_Margin($B28)*Alloted(E$3,E$2,E$5)/Get_Margin(E$3,E$2,E$5,E$1)),0)*Get_Margin(E$3,E$2,E$5,E$1)&gt;((Client_Margin($B28)*Alloted(E$3,E$2,E$5)/Get_Margin(E$3,E$2,E$5,E$1))*Get_Margin(E$3,E$2,E$5,E$1))*$C$3,ROUNDDOWN((Client_Margin($B28)*Alloted(E$3,E$2,E$5)/Get_Margin(E$3,E$2,E$5,E$1)),0),ROUNDUP((Client_Margin($B28)*Alloted(E$3,E$2,E$5)/Get_Margin(E$3,E$2,E$5,E$1)),0)),"-")</f>
        <v>-</v>
      </c>
      <c r="F28" s="14" t="str" cm="1">
        <f t="array" ref="F28">IFERROR(IF(ROUNDUP((Client_Margin($B28)*Alloted(F$3,F$2,F$5)/Get_Margin(F$3,F$2,F$5,F$1)),0)*Get_Margin(F$3,F$2,F$5,F$1)&gt;((Client_Margin($B28)*Alloted(F$3,F$2,F$5)/Get_Margin(F$3,F$2,F$5,F$1))*Get_Margin(F$3,F$2,F$5,F$1))*$C$3,ROUNDDOWN((Client_Margin($B28)*Alloted(F$3,F$2,F$5)/Get_Margin(F$3,F$2,F$5,F$1)),0),ROUNDUP((Client_Margin($B28)*Alloted(F$3,F$2,F$5)/Get_Margin(F$3,F$2,F$5,F$1)),0)),"-")</f>
        <v>-</v>
      </c>
      <c r="G28" s="14" cm="1">
        <f t="array" ref="G28">IFERROR(IF(ROUNDUP((Client_Margin($B28)*Alloted(G$3,G$2,G$5)/Get_Margin(G$3,G$2,G$5,G$1)),0)*Get_Margin(G$3,G$2,G$5,G$1)&gt;((Client_Margin($B28)*Alloted(G$3,G$2,G$5)/Get_Margin(G$3,G$2,G$5,G$1))*Get_Margin(G$3,G$2,G$5,G$1))*$C$3,ROUNDDOWN((Client_Margin($B28)*Alloted(G$3,G$2,G$5)/Get_Margin(G$3,G$2,G$5,G$1)),0),ROUNDUP((Client_Margin($B28)*Alloted(G$3,G$2,G$5)/Get_Margin(G$3,G$2,G$5,G$1)),0)),"-")</f>
        <v>2</v>
      </c>
      <c r="H28" s="14" cm="1">
        <f t="array" ref="H28">IFERROR(IF(ROUNDUP((Client_Margin($B28)*Alloted(H$3,H$2,H$5)/Get_Margin(H$3,H$2,H$5,H$1)),0)*Get_Margin(H$3,H$2,H$5,H$1)&gt;((Client_Margin($B28)*Alloted(H$3,H$2,H$5)/Get_Margin(H$3,H$2,H$5,H$1))*Get_Margin(H$3,H$2,H$5,H$1))*$C$3,ROUNDDOWN((Client_Margin($B28)*Alloted(H$3,H$2,H$5)/Get_Margin(H$3,H$2,H$5,H$1)),0),ROUNDUP((Client_Margin($B28)*Alloted(H$3,H$2,H$5)/Get_Margin(H$3,H$2,H$5,H$1)),0)),"-")</f>
        <v>1</v>
      </c>
      <c r="I28" s="14" cm="1">
        <f t="array" ref="I28">IFERROR(IF(ROUNDUP((Client_Margin($B28)*Alloted(I$3,I$2,I$5)/Get_Margin(I$3,I$2,I$5,I$1)),0)*Get_Margin(I$3,I$2,I$5,I$1)&gt;((Client_Margin($B28)*Alloted(I$3,I$2,I$5)/Get_Margin(I$3,I$2,I$5,I$1))*Get_Margin(I$3,I$2,I$5,I$1))*$C$3,ROUNDDOWN((Client_Margin($B28)*Alloted(I$3,I$2,I$5)/Get_Margin(I$3,I$2,I$5,I$1)),0),ROUNDUP((Client_Margin($B28)*Alloted(I$3,I$2,I$5)/Get_Margin(I$3,I$2,I$5,I$1)),0)),"-")</f>
        <v>1</v>
      </c>
      <c r="J28" s="14" cm="1">
        <f t="array" ref="J28">IFERROR(IF(ROUNDUP((Client_Margin($B28)*Alloted(J$3,J$2,J$5)/Get_Margin(J$3,J$2,J$5,J$1)),0)*Get_Margin(J$3,J$2,J$5,J$1)&gt;((Client_Margin($B28)*Alloted(J$3,J$2,J$5)/Get_Margin(J$3,J$2,J$5,J$1))*Get_Margin(J$3,J$2,J$5,J$1))*$C$3,ROUNDDOWN((Client_Margin($B28)*Alloted(J$3,J$2,J$5)/Get_Margin(J$3,J$2,J$5,J$1)),0),ROUNDUP((Client_Margin($B28)*Alloted(J$3,J$2,J$5)/Get_Margin(J$3,J$2,J$5,J$1)),0)),"-")</f>
        <v>0</v>
      </c>
      <c r="K28" s="14" cm="1">
        <f t="array" ref="K28">IFERROR(IF(ROUNDUP((Client_Margin($B28)*Alloted(K$3,K$2,K$5)/Get_Margin(K$3,K$2,K$5,K$1)),0)*Get_Margin(K$3,K$2,K$5,K$1)&gt;((Client_Margin($B28)*Alloted(K$3,K$2,K$5)/Get_Margin(K$3,K$2,K$5,K$1))*Get_Margin(K$3,K$2,K$5,K$1))*$C$3,ROUNDDOWN((Client_Margin($B28)*Alloted(K$3,K$2,K$5)/Get_Margin(K$3,K$2,K$5,K$1)),0),ROUNDUP((Client_Margin($B28)*Alloted(K$3,K$2,K$5)/Get_Margin(K$3,K$2,K$5,K$1)),0)),"-")</f>
        <v>0</v>
      </c>
      <c r="L28" s="43">
        <v>0</v>
      </c>
    </row>
    <row r="29" spans="1:12" x14ac:dyDescent="0.25">
      <c r="A29">
        <f>IF(B29="",0,1)</f>
        <v>0</v>
      </c>
      <c r="B29" s="14"/>
      <c r="C29" s="14"/>
      <c r="D29" s="15">
        <f>SUM(E29:L29)</f>
        <v>0.27022222222222225</v>
      </c>
      <c r="E29" s="15" t="str" cm="1">
        <f t="array" ref="E29">IFERROR((_xlfn._xlws.FILTER(INDEX(Margin[],0,MATCH(E$1&amp;"_"&amp;E$3,Margin[#Headers],0)),(Margin[Index]=E$2)*(Margin[Strategy]=E$5))*E28)/Client_Margin($B28),"-")</f>
        <v>-</v>
      </c>
      <c r="F29" s="15" t="str" cm="1">
        <f t="array" ref="F29">IFERROR((_xlfn._xlws.FILTER(INDEX(Margin[],0,MATCH(F$1&amp;"_"&amp;F$3,Margin[#Headers],0)),(Margin[Index]=F$2)*(Margin[Strategy]=F$5))*F28)/Client_Margin($B28),"-")</f>
        <v>-</v>
      </c>
      <c r="G29" s="15" cm="1">
        <f t="array" ref="G29">IFERROR((_xlfn._xlws.FILTER(INDEX(Margin[],0,MATCH(G$1&amp;"_"&amp;G$3,Margin[#Headers],0)),(Margin[Index]=G$2)*(Margin[Strategy]=G$5))*G28)/Client_Margin($B28),"-")</f>
        <v>7.7333333333333337E-2</v>
      </c>
      <c r="H29" s="15" cm="1">
        <f t="array" ref="H29">IFERROR((_xlfn._xlws.FILTER(INDEX(Margin[],0,MATCH(H$1&amp;"_"&amp;H$3,Margin[#Headers],0)),(Margin[Index]=H$2)*(Margin[Strategy]=H$5))*H28)/Client_Margin($B28),"-")</f>
        <v>0.104</v>
      </c>
      <c r="I29" s="15" cm="1">
        <f t="array" ref="I29">IFERROR((_xlfn._xlws.FILTER(INDEX(Margin[],0,MATCH(I$1&amp;"_"&amp;I$3,Margin[#Headers],0)),(Margin[Index]=I$2)*(Margin[Strategy]=I$5))*I28)/Client_Margin($B28),"-")</f>
        <v>8.8888888888888892E-2</v>
      </c>
      <c r="J29" s="15" cm="1">
        <f t="array" ref="J29">IFERROR((_xlfn._xlws.FILTER(INDEX(Margin[],0,MATCH(J$1&amp;"_"&amp;J$3,Margin[#Headers],0)),(Margin[Index]=J$2)*(Margin[Strategy]=J$5))*J28)/Client_Margin($B28),"-")</f>
        <v>0</v>
      </c>
      <c r="K29" s="15" cm="1">
        <f t="array" ref="K29">IFERROR((_xlfn._xlws.FILTER(INDEX(Margin[],0,MATCH(K$1&amp;"_"&amp;K$3,Margin[#Headers],0)),(Margin[Index]=K$2)*(Margin[Strategy]=K$5))*K28)/Client_Margin($B28),"-")</f>
        <v>0</v>
      </c>
      <c r="L29" s="15" cm="1">
        <f t="array" ref="L29">IFERROR((_xlfn._xlws.FILTER(INDEX(Margin[],0,MATCH(L$1&amp;"_"&amp;L$3,Margin[#Headers],0)),(Margin[Index]=L$2)*(Margin[Strategy]=L$5))*L28)/Client_Margin($B28),"-")</f>
        <v>0</v>
      </c>
    </row>
    <row r="30" spans="1:12" x14ac:dyDescent="0.25">
      <c r="A30">
        <f t="shared" ref="A30:A37" si="3">IF(B30="",0,1)</f>
        <v>1</v>
      </c>
      <c r="B30" s="14" t="s">
        <v>32</v>
      </c>
      <c r="C30" s="14" cm="1">
        <f t="array" ref="C30">(_xlfn._xlws.FILTER(Fund[Margin],Fund[Client Id]=B30))/10000000</f>
        <v>1.8</v>
      </c>
      <c r="D30" s="17"/>
      <c r="E30" s="14" t="str" cm="1">
        <f t="array" ref="E30">IFERROR(IF(ROUNDUP((Client_Margin($B30)*Alloted(E$3,E$2,E$5)/Get_Margin(E$3,E$2,E$5,E$1)),0)*Get_Margin(E$3,E$2,E$5,E$1)&gt;((Client_Margin($B30)*Alloted(E$3,E$2,E$5)/Get_Margin(E$3,E$2,E$5,E$1))*Get_Margin(E$3,E$2,E$5,E$1))*$C$3,ROUNDDOWN((Client_Margin($B30)*Alloted(E$3,E$2,E$5)/Get_Margin(E$3,E$2,E$5,E$1)),0),ROUNDUP((Client_Margin($B30)*Alloted(E$3,E$2,E$5)/Get_Margin(E$3,E$2,E$5,E$1)),0)),"-")</f>
        <v>-</v>
      </c>
      <c r="F30" s="14" t="str" cm="1">
        <f t="array" ref="F30">IFERROR(IF(ROUNDUP((Client_Margin($B30)*Alloted(F$3,F$2,F$5)/Get_Margin(F$3,F$2,F$5,F$1)),0)*Get_Margin(F$3,F$2,F$5,F$1)&gt;((Client_Margin($B30)*Alloted(F$3,F$2,F$5)/Get_Margin(F$3,F$2,F$5,F$1))*Get_Margin(F$3,F$2,F$5,F$1))*$C$3,ROUNDDOWN((Client_Margin($B30)*Alloted(F$3,F$2,F$5)/Get_Margin(F$3,F$2,F$5,F$1)),0),ROUNDUP((Client_Margin($B30)*Alloted(F$3,F$2,F$5)/Get_Margin(F$3,F$2,F$5,F$1)),0)),"-")</f>
        <v>-</v>
      </c>
      <c r="G30" s="14" cm="1">
        <f t="array" ref="G30">IFERROR(IF(ROUNDUP((Client_Margin($B30)*Alloted(G$3,G$2,G$5)/Get_Margin(G$3,G$2,G$5,G$1)),0)*Get_Margin(G$3,G$2,G$5,G$1)&gt;((Client_Margin($B30)*Alloted(G$3,G$2,G$5)/Get_Margin(G$3,G$2,G$5,G$1))*Get_Margin(G$3,G$2,G$5,G$1))*$C$3,ROUNDDOWN((Client_Margin($B30)*Alloted(G$3,G$2,G$5)/Get_Margin(G$3,G$2,G$5,G$1)),0),ROUNDUP((Client_Margin($B30)*Alloted(G$3,G$2,G$5)/Get_Margin(G$3,G$2,G$5,G$1)),0)),"-")</f>
        <v>2</v>
      </c>
      <c r="H30" s="14" cm="1">
        <f t="array" ref="H30">IFERROR(IF(ROUNDUP((Client_Margin($B30)*Alloted(H$3,H$2,H$5)/Get_Margin(H$3,H$2,H$5,H$1)),0)*Get_Margin(H$3,H$2,H$5,H$1)&gt;((Client_Margin($B30)*Alloted(H$3,H$2,H$5)/Get_Margin(H$3,H$2,H$5,H$1))*Get_Margin(H$3,H$2,H$5,H$1))*$C$3,ROUNDDOWN((Client_Margin($B30)*Alloted(H$3,H$2,H$5)/Get_Margin(H$3,H$2,H$5,H$1)),0),ROUNDUP((Client_Margin($B30)*Alloted(H$3,H$2,H$5)/Get_Margin(H$3,H$2,H$5,H$1)),0)),"-")</f>
        <v>1</v>
      </c>
      <c r="I30" s="14" cm="1">
        <f t="array" ref="I30">IFERROR(IF(ROUNDUP((Client_Margin($B30)*Alloted(I$3,I$2,I$5)/Get_Margin(I$3,I$2,I$5,I$1)),0)*Get_Margin(I$3,I$2,I$5,I$1)&gt;((Client_Margin($B30)*Alloted(I$3,I$2,I$5)/Get_Margin(I$3,I$2,I$5,I$1))*Get_Margin(I$3,I$2,I$5,I$1))*$C$3,ROUNDDOWN((Client_Margin($B30)*Alloted(I$3,I$2,I$5)/Get_Margin(I$3,I$2,I$5,I$1)),0),ROUNDUP((Client_Margin($B30)*Alloted(I$3,I$2,I$5)/Get_Margin(I$3,I$2,I$5,I$1)),0)),"-")</f>
        <v>1</v>
      </c>
      <c r="J30" s="14" cm="1">
        <f t="array" ref="J30">IFERROR(IF(ROUNDUP((Client_Margin($B30)*Alloted(J$3,J$2,J$5)/Get_Margin(J$3,J$2,J$5,J$1)),0)*Get_Margin(J$3,J$2,J$5,J$1)&gt;((Client_Margin($B30)*Alloted(J$3,J$2,J$5)/Get_Margin(J$3,J$2,J$5,J$1))*Get_Margin(J$3,J$2,J$5,J$1))*$C$3,ROUNDDOWN((Client_Margin($B30)*Alloted(J$3,J$2,J$5)/Get_Margin(J$3,J$2,J$5,J$1)),0),ROUNDUP((Client_Margin($B30)*Alloted(J$3,J$2,J$5)/Get_Margin(J$3,J$2,J$5,J$1)),0)),"-")</f>
        <v>0</v>
      </c>
      <c r="K30" s="14" cm="1">
        <f t="array" ref="K30">IFERROR(IF(ROUNDUP((Client_Margin($B30)*Alloted(K$3,K$2,K$5)/Get_Margin(K$3,K$2,K$5,K$1)),0)*Get_Margin(K$3,K$2,K$5,K$1)&gt;((Client_Margin($B30)*Alloted(K$3,K$2,K$5)/Get_Margin(K$3,K$2,K$5,K$1))*Get_Margin(K$3,K$2,K$5,K$1))*$C$3,ROUNDDOWN((Client_Margin($B30)*Alloted(K$3,K$2,K$5)/Get_Margin(K$3,K$2,K$5,K$1)),0),ROUNDUP((Client_Margin($B30)*Alloted(K$3,K$2,K$5)/Get_Margin(K$3,K$2,K$5,K$1)),0)),"-")</f>
        <v>0</v>
      </c>
      <c r="L30" s="43">
        <v>0</v>
      </c>
    </row>
    <row r="31" spans="1:12" x14ac:dyDescent="0.25">
      <c r="A31">
        <f t="shared" si="3"/>
        <v>0</v>
      </c>
      <c r="B31" s="14"/>
      <c r="C31" s="14"/>
      <c r="D31" s="15">
        <f>SUM(E31:L31)</f>
        <v>0.27022222222222225</v>
      </c>
      <c r="E31" s="15" t="str" cm="1">
        <f t="array" ref="E31">IFERROR((_xlfn._xlws.FILTER(INDEX(Margin[],0,MATCH(E$1&amp;"_"&amp;E$3,Margin[#Headers],0)),(Margin[Index]=E$2)*(Margin[Strategy]=E$5))*E30)/Client_Margin($B30),"-")</f>
        <v>-</v>
      </c>
      <c r="F31" s="15" t="str" cm="1">
        <f t="array" ref="F31">IFERROR((_xlfn._xlws.FILTER(INDEX(Margin[],0,MATCH(F$1&amp;"_"&amp;F$3,Margin[#Headers],0)),(Margin[Index]=F$2)*(Margin[Strategy]=F$5))*F30)/Client_Margin($B30),"-")</f>
        <v>-</v>
      </c>
      <c r="G31" s="15" cm="1">
        <f t="array" ref="G31">IFERROR((_xlfn._xlws.FILTER(INDEX(Margin[],0,MATCH(G$1&amp;"_"&amp;G$3,Margin[#Headers],0)),(Margin[Index]=G$2)*(Margin[Strategy]=G$5))*G30)/Client_Margin($B30),"-")</f>
        <v>7.7333333333333337E-2</v>
      </c>
      <c r="H31" s="15" cm="1">
        <f t="array" ref="H31">IFERROR((_xlfn._xlws.FILTER(INDEX(Margin[],0,MATCH(H$1&amp;"_"&amp;H$3,Margin[#Headers],0)),(Margin[Index]=H$2)*(Margin[Strategy]=H$5))*H30)/Client_Margin($B30),"-")</f>
        <v>0.104</v>
      </c>
      <c r="I31" s="15" cm="1">
        <f t="array" ref="I31">IFERROR((_xlfn._xlws.FILTER(INDEX(Margin[],0,MATCH(I$1&amp;"_"&amp;I$3,Margin[#Headers],0)),(Margin[Index]=I$2)*(Margin[Strategy]=I$5))*I30)/Client_Margin($B30),"-")</f>
        <v>8.8888888888888892E-2</v>
      </c>
      <c r="J31" s="15" cm="1">
        <f t="array" ref="J31">IFERROR((_xlfn._xlws.FILTER(INDEX(Margin[],0,MATCH(J$1&amp;"_"&amp;J$3,Margin[#Headers],0)),(Margin[Index]=J$2)*(Margin[Strategy]=J$5))*J30)/Client_Margin($B30),"-")</f>
        <v>0</v>
      </c>
      <c r="K31" s="15" cm="1">
        <f t="array" ref="K31">IFERROR((_xlfn._xlws.FILTER(INDEX(Margin[],0,MATCH(K$1&amp;"_"&amp;K$3,Margin[#Headers],0)),(Margin[Index]=K$2)*(Margin[Strategy]=K$5))*K30)/Client_Margin($B30),"-")</f>
        <v>0</v>
      </c>
      <c r="L31" s="15" cm="1">
        <f t="array" ref="L31">IFERROR((_xlfn._xlws.FILTER(INDEX(Margin[],0,MATCH(L$1&amp;"_"&amp;L$3,Margin[#Headers],0)),(Margin[Index]=L$2)*(Margin[Strategy]=L$5))*L30)/Client_Margin($B30),"-")</f>
        <v>0</v>
      </c>
    </row>
    <row r="32" spans="1:12" x14ac:dyDescent="0.25">
      <c r="A32">
        <f t="shared" si="3"/>
        <v>1</v>
      </c>
      <c r="B32" s="14" t="s">
        <v>112</v>
      </c>
      <c r="C32" s="14" cm="1">
        <f t="array" ref="C32">(_xlfn._xlws.FILTER(Fund[Margin],Fund[Client Id]=B32))/10000000</f>
        <v>1.6</v>
      </c>
      <c r="D32" s="17"/>
      <c r="E32" s="14" t="str" cm="1">
        <f t="array" ref="E32">IFERROR(IF(ROUNDUP((Client_Margin($B32)*Alloted(E$3,E$2,E$5)/Get_Margin(E$3,E$2,E$5,E$1)),0)*Get_Margin(E$3,E$2,E$5,E$1)&gt;((Client_Margin($B32)*Alloted(E$3,E$2,E$5)/Get_Margin(E$3,E$2,E$5,E$1))*Get_Margin(E$3,E$2,E$5,E$1))*$C$3,ROUNDDOWN((Client_Margin($B32)*Alloted(E$3,E$2,E$5)/Get_Margin(E$3,E$2,E$5,E$1)),0),ROUNDUP((Client_Margin($B32)*Alloted(E$3,E$2,E$5)/Get_Margin(E$3,E$2,E$5,E$1)),0)),"-")</f>
        <v>-</v>
      </c>
      <c r="F32" s="14" t="str" cm="1">
        <f t="array" ref="F32">IFERROR(IF(ROUNDUP((Client_Margin($B32)*Alloted(F$3,F$2,F$5)/Get_Margin(F$3,F$2,F$5,F$1)),0)*Get_Margin(F$3,F$2,F$5,F$1)&gt;((Client_Margin($B32)*Alloted(F$3,F$2,F$5)/Get_Margin(F$3,F$2,F$5,F$1))*Get_Margin(F$3,F$2,F$5,F$1))*$C$3,ROUNDDOWN((Client_Margin($B32)*Alloted(F$3,F$2,F$5)/Get_Margin(F$3,F$2,F$5,F$1)),0),ROUNDUP((Client_Margin($B32)*Alloted(F$3,F$2,F$5)/Get_Margin(F$3,F$2,F$5,F$1)),0)),"-")</f>
        <v>-</v>
      </c>
      <c r="G32" s="14" cm="1">
        <f t="array" ref="G32">IFERROR(IF(ROUNDUP((Client_Margin($B32)*Alloted(G$3,G$2,G$5)/Get_Margin(G$3,G$2,G$5,G$1)),0)*Get_Margin(G$3,G$2,G$5,G$1)&gt;((Client_Margin($B32)*Alloted(G$3,G$2,G$5)/Get_Margin(G$3,G$2,G$5,G$1))*Get_Margin(G$3,G$2,G$5,G$1))*$C$3,ROUNDDOWN((Client_Margin($B32)*Alloted(G$3,G$2,G$5)/Get_Margin(G$3,G$2,G$5,G$1)),0),ROUNDUP((Client_Margin($B32)*Alloted(G$3,G$2,G$5)/Get_Margin(G$3,G$2,G$5,G$1)),0)),"-")</f>
        <v>2</v>
      </c>
      <c r="H32" s="43">
        <v>1</v>
      </c>
      <c r="I32" s="14" cm="1">
        <f t="array" ref="I32">IFERROR(IF(ROUNDUP((Client_Margin($B32)*Alloted(I$3,I$2,I$5)/Get_Margin(I$3,I$2,I$5,I$1)),0)*Get_Margin(I$3,I$2,I$5,I$1)&gt;((Client_Margin($B32)*Alloted(I$3,I$2,I$5)/Get_Margin(I$3,I$2,I$5,I$1))*Get_Margin(I$3,I$2,I$5,I$1))*$C$3,ROUNDDOWN((Client_Margin($B32)*Alloted(I$3,I$2,I$5)/Get_Margin(I$3,I$2,I$5,I$1)),0),ROUNDUP((Client_Margin($B32)*Alloted(I$3,I$2,I$5)/Get_Margin(I$3,I$2,I$5,I$1)),0)),"-")</f>
        <v>1</v>
      </c>
      <c r="J32" s="14" cm="1">
        <f t="array" ref="J32">IFERROR(IF(ROUNDUP((Client_Margin($B32)*Alloted(J$3,J$2,J$5)/Get_Margin(J$3,J$2,J$5,J$1)),0)*Get_Margin(J$3,J$2,J$5,J$1)&gt;((Client_Margin($B32)*Alloted(J$3,J$2,J$5)/Get_Margin(J$3,J$2,J$5,J$1))*Get_Margin(J$3,J$2,J$5,J$1))*$C$3,ROUNDDOWN((Client_Margin($B32)*Alloted(J$3,J$2,J$5)/Get_Margin(J$3,J$2,J$5,J$1)),0),ROUNDUP((Client_Margin($B32)*Alloted(J$3,J$2,J$5)/Get_Margin(J$3,J$2,J$5,J$1)),0)),"-")</f>
        <v>0</v>
      </c>
      <c r="K32" s="14" cm="1">
        <f t="array" ref="K32">IFERROR(IF(ROUNDUP((Client_Margin($B32)*Alloted(K$3,K$2,K$5)/Get_Margin(K$3,K$2,K$5,K$1)),0)*Get_Margin(K$3,K$2,K$5,K$1)&gt;((Client_Margin($B32)*Alloted(K$3,K$2,K$5)/Get_Margin(K$3,K$2,K$5,K$1))*Get_Margin(K$3,K$2,K$5,K$1))*$C$3,ROUNDDOWN((Client_Margin($B32)*Alloted(K$3,K$2,K$5)/Get_Margin(K$3,K$2,K$5,K$1)),0),ROUNDUP((Client_Margin($B32)*Alloted(K$3,K$2,K$5)/Get_Margin(K$3,K$2,K$5,K$1)),0)),"-")</f>
        <v>0</v>
      </c>
      <c r="L32" s="43">
        <v>0</v>
      </c>
    </row>
    <row r="33" spans="1:12" x14ac:dyDescent="0.25">
      <c r="A33">
        <f t="shared" si="3"/>
        <v>0</v>
      </c>
      <c r="B33" s="14"/>
      <c r="C33" s="14"/>
      <c r="D33" s="15">
        <f>SUM(E33:L33)</f>
        <v>0.30400000000000005</v>
      </c>
      <c r="E33" s="15" t="str" cm="1">
        <f t="array" ref="E33">IFERROR((_xlfn._xlws.FILTER(INDEX(Margin[],0,MATCH(E$1&amp;"_"&amp;E$3,Margin[#Headers],0)),(Margin[Index]=E$2)*(Margin[Strategy]=E$5))*E32)/Client_Margin($B32),"-")</f>
        <v>-</v>
      </c>
      <c r="F33" s="15" t="str" cm="1">
        <f t="array" ref="F33">IFERROR((_xlfn._xlws.FILTER(INDEX(Margin[],0,MATCH(F$1&amp;"_"&amp;F$3,Margin[#Headers],0)),(Margin[Index]=F$2)*(Margin[Strategy]=F$5))*F32)/Client_Margin($B32),"-")</f>
        <v>-</v>
      </c>
      <c r="G33" s="15" cm="1">
        <f t="array" ref="G33">IFERROR((_xlfn._xlws.FILTER(INDEX(Margin[],0,MATCH(G$1&amp;"_"&amp;G$3,Margin[#Headers],0)),(Margin[Index]=G$2)*(Margin[Strategy]=G$5))*G32)/Client_Margin($B32),"-")</f>
        <v>8.6999999999999994E-2</v>
      </c>
      <c r="H33" s="15" cm="1">
        <f t="array" ref="H33">IFERROR((_xlfn._xlws.FILTER(INDEX(Margin[],0,MATCH(H$1&amp;"_"&amp;H$3,Margin[#Headers],0)),(Margin[Index]=H$2)*(Margin[Strategy]=H$5))*H32)/Client_Margin($B32),"-")</f>
        <v>0.11700000000000001</v>
      </c>
      <c r="I33" s="15" cm="1">
        <f t="array" ref="I33">IFERROR((_xlfn._xlws.FILTER(INDEX(Margin[],0,MATCH(I$1&amp;"_"&amp;I$3,Margin[#Headers],0)),(Margin[Index]=I$2)*(Margin[Strategy]=I$5))*I32)/Client_Margin($B32),"-")</f>
        <v>0.1</v>
      </c>
      <c r="J33" s="15" cm="1">
        <f t="array" ref="J33">IFERROR((_xlfn._xlws.FILTER(INDEX(Margin[],0,MATCH(J$1&amp;"_"&amp;J$3,Margin[#Headers],0)),(Margin[Index]=J$2)*(Margin[Strategy]=J$5))*J32)/Client_Margin($B32),"-")</f>
        <v>0</v>
      </c>
      <c r="K33" s="15" cm="1">
        <f t="array" ref="K33">IFERROR((_xlfn._xlws.FILTER(INDEX(Margin[],0,MATCH(K$1&amp;"_"&amp;K$3,Margin[#Headers],0)),(Margin[Index]=K$2)*(Margin[Strategy]=K$5))*K32)/Client_Margin($B32),"-")</f>
        <v>0</v>
      </c>
      <c r="L33" s="15" cm="1">
        <f t="array" ref="L33">IFERROR((_xlfn._xlws.FILTER(INDEX(Margin[],0,MATCH(L$1&amp;"_"&amp;L$3,Margin[#Headers],0)),(Margin[Index]=L$2)*(Margin[Strategy]=L$5))*L32)/Client_Margin($B32),"-")</f>
        <v>0</v>
      </c>
    </row>
    <row r="34" spans="1:12" x14ac:dyDescent="0.25">
      <c r="A34">
        <f t="shared" si="3"/>
        <v>1</v>
      </c>
      <c r="B34" s="14" t="s">
        <v>38</v>
      </c>
      <c r="C34" s="14" cm="1">
        <f t="array" ref="C34">(_xlfn._xlws.FILTER(Fund[Margin],Fund[Client Id]=B34))/10000000</f>
        <v>1.5</v>
      </c>
      <c r="D34" s="17"/>
      <c r="E34" s="14" t="str" cm="1">
        <f t="array" ref="E34">IFERROR(IF(ROUNDUP((Client_Margin($B34)*Alloted(E$3,E$2,E$5)/Get_Margin(E$3,E$2,E$5,E$1)),0)*Get_Margin(E$3,E$2,E$5,E$1)&gt;((Client_Margin($B34)*Alloted(E$3,E$2,E$5)/Get_Margin(E$3,E$2,E$5,E$1))*Get_Margin(E$3,E$2,E$5,E$1))*$C$3,ROUNDDOWN((Client_Margin($B34)*Alloted(E$3,E$2,E$5)/Get_Margin(E$3,E$2,E$5,E$1)),0),ROUNDUP((Client_Margin($B34)*Alloted(E$3,E$2,E$5)/Get_Margin(E$3,E$2,E$5,E$1)),0)),"-")</f>
        <v>-</v>
      </c>
      <c r="F34" s="14" t="str" cm="1">
        <f t="array" ref="F34">IFERROR(IF(ROUNDUP((Client_Margin($B34)*Alloted(F$3,F$2,F$5)/Get_Margin(F$3,F$2,F$5,F$1)),0)*Get_Margin(F$3,F$2,F$5,F$1)&gt;((Client_Margin($B34)*Alloted(F$3,F$2,F$5)/Get_Margin(F$3,F$2,F$5,F$1))*Get_Margin(F$3,F$2,F$5,F$1))*$C$3,ROUNDDOWN((Client_Margin($B34)*Alloted(F$3,F$2,F$5)/Get_Margin(F$3,F$2,F$5,F$1)),0),ROUNDUP((Client_Margin($B34)*Alloted(F$3,F$2,F$5)/Get_Margin(F$3,F$2,F$5,F$1)),0)),"-")</f>
        <v>-</v>
      </c>
      <c r="G34" s="14" cm="1">
        <f t="array" ref="G34">IFERROR(IF(ROUNDUP((Client_Margin($B34)*Alloted(G$3,G$2,G$5)/Get_Margin(G$3,G$2,G$5,G$1)),0)*Get_Margin(G$3,G$2,G$5,G$1)&gt;((Client_Margin($B34)*Alloted(G$3,G$2,G$5)/Get_Margin(G$3,G$2,G$5,G$1))*Get_Margin(G$3,G$2,G$5,G$1))*$C$3,ROUNDDOWN((Client_Margin($B34)*Alloted(G$3,G$2,G$5)/Get_Margin(G$3,G$2,G$5,G$1)),0),ROUNDUP((Client_Margin($B34)*Alloted(G$3,G$2,G$5)/Get_Margin(G$3,G$2,G$5,G$1)),0)),"-")</f>
        <v>2</v>
      </c>
      <c r="H34" s="43">
        <v>1</v>
      </c>
      <c r="I34" s="14" cm="1">
        <f t="array" ref="I34">IFERROR(IF(ROUNDUP((Client_Margin($B34)*Alloted(I$3,I$2,I$5)/Get_Margin(I$3,I$2,I$5,I$1)),0)*Get_Margin(I$3,I$2,I$5,I$1)&gt;((Client_Margin($B34)*Alloted(I$3,I$2,I$5)/Get_Margin(I$3,I$2,I$5,I$1))*Get_Margin(I$3,I$2,I$5,I$1))*$C$3,ROUNDDOWN((Client_Margin($B34)*Alloted(I$3,I$2,I$5)/Get_Margin(I$3,I$2,I$5,I$1)),0),ROUNDUP((Client_Margin($B34)*Alloted(I$3,I$2,I$5)/Get_Margin(I$3,I$2,I$5,I$1)),0)),"-")</f>
        <v>1</v>
      </c>
      <c r="J34" s="14" cm="1">
        <f t="array" ref="J34">IFERROR(IF(ROUNDUP((Client_Margin($B34)*Alloted(J$3,J$2,J$5)/Get_Margin(J$3,J$2,J$5,J$1)),0)*Get_Margin(J$3,J$2,J$5,J$1)&gt;((Client_Margin($B34)*Alloted(J$3,J$2,J$5)/Get_Margin(J$3,J$2,J$5,J$1))*Get_Margin(J$3,J$2,J$5,J$1))*$C$3,ROUNDDOWN((Client_Margin($B34)*Alloted(J$3,J$2,J$5)/Get_Margin(J$3,J$2,J$5,J$1)),0),ROUNDUP((Client_Margin($B34)*Alloted(J$3,J$2,J$5)/Get_Margin(J$3,J$2,J$5,J$1)),0)),"-")</f>
        <v>0</v>
      </c>
      <c r="K34" s="14" cm="1">
        <f t="array" ref="K34">IFERROR(IF(ROUNDUP((Client_Margin($B34)*Alloted(K$3,K$2,K$5)/Get_Margin(K$3,K$2,K$5,K$1)),0)*Get_Margin(K$3,K$2,K$5,K$1)&gt;((Client_Margin($B34)*Alloted(K$3,K$2,K$5)/Get_Margin(K$3,K$2,K$5,K$1))*Get_Margin(K$3,K$2,K$5,K$1))*$C$3,ROUNDDOWN((Client_Margin($B34)*Alloted(K$3,K$2,K$5)/Get_Margin(K$3,K$2,K$5,K$1)),0),ROUNDUP((Client_Margin($B34)*Alloted(K$3,K$2,K$5)/Get_Margin(K$3,K$2,K$5,K$1)),0)),"-")</f>
        <v>0</v>
      </c>
      <c r="L34" s="43">
        <v>0</v>
      </c>
    </row>
    <row r="35" spans="1:12" x14ac:dyDescent="0.25">
      <c r="A35">
        <f t="shared" si="3"/>
        <v>0</v>
      </c>
      <c r="B35" s="14"/>
      <c r="C35" s="14"/>
      <c r="D35" s="15">
        <f>SUM(E35:L35)</f>
        <v>0.32426666666666665</v>
      </c>
      <c r="E35" s="15" t="str" cm="1">
        <f t="array" ref="E35">IFERROR((_xlfn._xlws.FILTER(INDEX(Margin[],0,MATCH(E$1&amp;"_"&amp;E$3,Margin[#Headers],0)),(Margin[Index]=E$2)*(Margin[Strategy]=E$5))*E34)/Client_Margin($B34),"-")</f>
        <v>-</v>
      </c>
      <c r="F35" s="15" t="str" cm="1">
        <f t="array" ref="F35">IFERROR((_xlfn._xlws.FILTER(INDEX(Margin[],0,MATCH(F$1&amp;"_"&amp;F$3,Margin[#Headers],0)),(Margin[Index]=F$2)*(Margin[Strategy]=F$5))*F34)/Client_Margin($B34),"-")</f>
        <v>-</v>
      </c>
      <c r="G35" s="15" cm="1">
        <f t="array" ref="G35">IFERROR((_xlfn._xlws.FILTER(INDEX(Margin[],0,MATCH(G$1&amp;"_"&amp;G$3,Margin[#Headers],0)),(Margin[Index]=G$2)*(Margin[Strategy]=G$5))*G34)/Client_Margin($B34),"-")</f>
        <v>9.2799999999999994E-2</v>
      </c>
      <c r="H35" s="15" cm="1">
        <f t="array" ref="H35">IFERROR((_xlfn._xlws.FILTER(INDEX(Margin[],0,MATCH(H$1&amp;"_"&amp;H$3,Margin[#Headers],0)),(Margin[Index]=H$2)*(Margin[Strategy]=H$5))*H34)/Client_Margin($B34),"-")</f>
        <v>0.12479999999999999</v>
      </c>
      <c r="I35" s="15" cm="1">
        <f t="array" ref="I35">IFERROR((_xlfn._xlws.FILTER(INDEX(Margin[],0,MATCH(I$1&amp;"_"&amp;I$3,Margin[#Headers],0)),(Margin[Index]=I$2)*(Margin[Strategy]=I$5))*I34)/Client_Margin($B34),"-")</f>
        <v>0.10666666666666667</v>
      </c>
      <c r="J35" s="15" cm="1">
        <f t="array" ref="J35">IFERROR((_xlfn._xlws.FILTER(INDEX(Margin[],0,MATCH(J$1&amp;"_"&amp;J$3,Margin[#Headers],0)),(Margin[Index]=J$2)*(Margin[Strategy]=J$5))*J34)/Client_Margin($B34),"-")</f>
        <v>0</v>
      </c>
      <c r="K35" s="15" cm="1">
        <f t="array" ref="K35">IFERROR((_xlfn._xlws.FILTER(INDEX(Margin[],0,MATCH(K$1&amp;"_"&amp;K$3,Margin[#Headers],0)),(Margin[Index]=K$2)*(Margin[Strategy]=K$5))*K34)/Client_Margin($B34),"-")</f>
        <v>0</v>
      </c>
      <c r="L35" s="15" cm="1">
        <f t="array" ref="L35">IFERROR((_xlfn._xlws.FILTER(INDEX(Margin[],0,MATCH(L$1&amp;"_"&amp;L$3,Margin[#Headers],0)),(Margin[Index]=L$2)*(Margin[Strategy]=L$5))*L34)/Client_Margin($B34),"-")</f>
        <v>0</v>
      </c>
    </row>
    <row r="36" spans="1:12" x14ac:dyDescent="0.25">
      <c r="A36">
        <f t="shared" si="3"/>
        <v>1</v>
      </c>
      <c r="B36" s="14" t="s">
        <v>40</v>
      </c>
      <c r="C36" s="14" cm="1">
        <f t="array" ref="C36">(_xlfn._xlws.FILTER(Fund[Margin],Fund[Client Id]=B36))/10000000</f>
        <v>1.3</v>
      </c>
      <c r="D36" s="17"/>
      <c r="E36" s="14" t="str" cm="1">
        <f t="array" ref="E36">IFERROR(IF(ROUNDUP((Client_Margin($B36)*Alloted(E$3,E$2,E$5)/Get_Margin(E$3,E$2,E$5,E$1)),0)*Get_Margin(E$3,E$2,E$5,E$1)&gt;((Client_Margin($B36)*Alloted(E$3,E$2,E$5)/Get_Margin(E$3,E$2,E$5,E$1))*Get_Margin(E$3,E$2,E$5,E$1))*$C$3,ROUNDDOWN((Client_Margin($B36)*Alloted(E$3,E$2,E$5)/Get_Margin(E$3,E$2,E$5,E$1)),0),ROUNDUP((Client_Margin($B36)*Alloted(E$3,E$2,E$5)/Get_Margin(E$3,E$2,E$5,E$1)),0)),"-")</f>
        <v>-</v>
      </c>
      <c r="F36" s="14" t="str" cm="1">
        <f t="array" ref="F36">IFERROR(IF(ROUNDUP((Client_Margin($B36)*Alloted(F$3,F$2,F$5)/Get_Margin(F$3,F$2,F$5,F$1)),0)*Get_Margin(F$3,F$2,F$5,F$1)&gt;((Client_Margin($B36)*Alloted(F$3,F$2,F$5)/Get_Margin(F$3,F$2,F$5,F$1))*Get_Margin(F$3,F$2,F$5,F$1))*$C$3,ROUNDDOWN((Client_Margin($B36)*Alloted(F$3,F$2,F$5)/Get_Margin(F$3,F$2,F$5,F$1)),0),ROUNDUP((Client_Margin($B36)*Alloted(F$3,F$2,F$5)/Get_Margin(F$3,F$2,F$5,F$1)),0)),"-")</f>
        <v>-</v>
      </c>
      <c r="G36" s="14" cm="1">
        <f t="array" ref="G36">IFERROR(IF(ROUNDUP((Client_Margin($B36)*Alloted(G$3,G$2,G$5)/Get_Margin(G$3,G$2,G$5,G$1)),0)*Get_Margin(G$3,G$2,G$5,G$1)&gt;((Client_Margin($B36)*Alloted(G$3,G$2,G$5)/Get_Margin(G$3,G$2,G$5,G$1))*Get_Margin(G$3,G$2,G$5,G$1))*$C$3,ROUNDDOWN((Client_Margin($B36)*Alloted(G$3,G$2,G$5)/Get_Margin(G$3,G$2,G$5,G$1)),0),ROUNDUP((Client_Margin($B36)*Alloted(G$3,G$2,G$5)/Get_Margin(G$3,G$2,G$5,G$1)),0)),"-")</f>
        <v>2</v>
      </c>
      <c r="H36" s="43">
        <v>1</v>
      </c>
      <c r="I36" s="43">
        <v>1</v>
      </c>
      <c r="J36" s="14" cm="1">
        <f t="array" ref="J36">IFERROR(IF(ROUNDUP((Client_Margin($B36)*Alloted(J$3,J$2,J$5)/Get_Margin(J$3,J$2,J$5,J$1)),0)*Get_Margin(J$3,J$2,J$5,J$1)&gt;((Client_Margin($B36)*Alloted(J$3,J$2,J$5)/Get_Margin(J$3,J$2,J$5,J$1))*Get_Margin(J$3,J$2,J$5,J$1))*$C$3,ROUNDDOWN((Client_Margin($B36)*Alloted(J$3,J$2,J$5)/Get_Margin(J$3,J$2,J$5,J$1)),0),ROUNDUP((Client_Margin($B36)*Alloted(J$3,J$2,J$5)/Get_Margin(J$3,J$2,J$5,J$1)),0)),"-")</f>
        <v>0</v>
      </c>
      <c r="K36" s="14" cm="1">
        <f t="array" ref="K36">IFERROR(IF(ROUNDUP((Client_Margin($B36)*Alloted(K$3,K$2,K$5)/Get_Margin(K$3,K$2,K$5,K$1)),0)*Get_Margin(K$3,K$2,K$5,K$1)&gt;((Client_Margin($B36)*Alloted(K$3,K$2,K$5)/Get_Margin(K$3,K$2,K$5,K$1))*Get_Margin(K$3,K$2,K$5,K$1))*$C$3,ROUNDDOWN((Client_Margin($B36)*Alloted(K$3,K$2,K$5)/Get_Margin(K$3,K$2,K$5,K$1)),0),ROUNDUP((Client_Margin($B36)*Alloted(K$3,K$2,K$5)/Get_Margin(K$3,K$2,K$5,K$1)),0)),"-")</f>
        <v>0</v>
      </c>
      <c r="L36" s="43">
        <v>0</v>
      </c>
    </row>
    <row r="37" spans="1:12" x14ac:dyDescent="0.25">
      <c r="A37">
        <f t="shared" si="3"/>
        <v>0</v>
      </c>
      <c r="B37" s="14"/>
      <c r="C37" s="14"/>
      <c r="D37" s="15">
        <f>SUM(E37:L37)</f>
        <v>0.37415384615384617</v>
      </c>
      <c r="E37" s="15" t="str" cm="1">
        <f t="array" ref="E37">IFERROR((_xlfn._xlws.FILTER(INDEX(Margin[],0,MATCH(E$1&amp;"_"&amp;E$3,Margin[#Headers],0)),(Margin[Index]=E$2)*(Margin[Strategy]=E$5))*E36)/Client_Margin($B36),"-")</f>
        <v>-</v>
      </c>
      <c r="F37" s="15" t="str" cm="1">
        <f t="array" ref="F37">IFERROR((_xlfn._xlws.FILTER(INDEX(Margin[],0,MATCH(F$1&amp;"_"&amp;F$3,Margin[#Headers],0)),(Margin[Index]=F$2)*(Margin[Strategy]=F$5))*F36)/Client_Margin($B36),"-")</f>
        <v>-</v>
      </c>
      <c r="G37" s="15" cm="1">
        <f t="array" ref="G37">IFERROR((_xlfn._xlws.FILTER(INDEX(Margin[],0,MATCH(G$1&amp;"_"&amp;G$3,Margin[#Headers],0)),(Margin[Index]=G$2)*(Margin[Strategy]=G$5))*G36)/Client_Margin($B36),"-")</f>
        <v>0.10707692307692308</v>
      </c>
      <c r="H37" s="15" cm="1">
        <f t="array" ref="H37">IFERROR((_xlfn._xlws.FILTER(INDEX(Margin[],0,MATCH(H$1&amp;"_"&amp;H$3,Margin[#Headers],0)),(Margin[Index]=H$2)*(Margin[Strategy]=H$5))*H36)/Client_Margin($B36),"-")</f>
        <v>0.14399999999999999</v>
      </c>
      <c r="I37" s="15" cm="1">
        <f t="array" ref="I37">IFERROR((_xlfn._xlws.FILTER(INDEX(Margin[],0,MATCH(I$1&amp;"_"&amp;I$3,Margin[#Headers],0)),(Margin[Index]=I$2)*(Margin[Strategy]=I$5))*I36)/Client_Margin($B36),"-")</f>
        <v>0.12307692307692308</v>
      </c>
      <c r="J37" s="15" cm="1">
        <f t="array" ref="J37">IFERROR((_xlfn._xlws.FILTER(INDEX(Margin[],0,MATCH(J$1&amp;"_"&amp;J$3,Margin[#Headers],0)),(Margin[Index]=J$2)*(Margin[Strategy]=J$5))*J36)/Client_Margin($B36),"-")</f>
        <v>0</v>
      </c>
      <c r="K37" s="15" cm="1">
        <f t="array" ref="K37">IFERROR((_xlfn._xlws.FILTER(INDEX(Margin[],0,MATCH(K$1&amp;"_"&amp;K$3,Margin[#Headers],0)),(Margin[Index]=K$2)*(Margin[Strategy]=K$5))*K36)/Client_Margin($B36),"-")</f>
        <v>0</v>
      </c>
      <c r="L37" s="15" cm="1">
        <f t="array" ref="L37">IFERROR((_xlfn._xlws.FILTER(INDEX(Margin[],0,MATCH(L$1&amp;"_"&amp;L$3,Margin[#Headers],0)),(Margin[Index]=L$2)*(Margin[Strategy]=L$5))*L36)/Client_Margin($B36),"-")</f>
        <v>0</v>
      </c>
    </row>
  </sheetData>
  <autoFilter ref="A5:L38" xr:uid="{FB2A7FDE-B9DB-4D72-966A-43E82A79E3BC}"/>
  <conditionalFormatting sqref="D7:L7">
    <cfRule type="expression" dxfId="126" priority="16">
      <formula>D7&gt;D$4</formula>
    </cfRule>
  </conditionalFormatting>
  <conditionalFormatting sqref="D9:L9">
    <cfRule type="expression" dxfId="125" priority="15">
      <formula>D9&gt;D$4</formula>
    </cfRule>
  </conditionalFormatting>
  <conditionalFormatting sqref="D11:L11">
    <cfRule type="expression" dxfId="124" priority="14">
      <formula>D11&gt;D$4</formula>
    </cfRule>
  </conditionalFormatting>
  <conditionalFormatting sqref="D13:L13">
    <cfRule type="expression" dxfId="123" priority="13">
      <formula>D13&gt;D$4</formula>
    </cfRule>
  </conditionalFormatting>
  <conditionalFormatting sqref="D15:L15">
    <cfRule type="expression" dxfId="122" priority="12">
      <formula>D15&gt;D$4</formula>
    </cfRule>
  </conditionalFormatting>
  <conditionalFormatting sqref="D17:L17">
    <cfRule type="expression" dxfId="121" priority="11">
      <formula>D17&gt;D$4</formula>
    </cfRule>
  </conditionalFormatting>
  <conditionalFormatting sqref="D19:L19">
    <cfRule type="expression" dxfId="120" priority="10">
      <formula>D19&gt;D$4</formula>
    </cfRule>
  </conditionalFormatting>
  <conditionalFormatting sqref="D21:L21">
    <cfRule type="expression" dxfId="119" priority="9">
      <formula>D21&gt;D$4</formula>
    </cfRule>
  </conditionalFormatting>
  <conditionalFormatting sqref="D23:L23">
    <cfRule type="expression" dxfId="118" priority="8">
      <formula>D23&gt;D$4</formula>
    </cfRule>
  </conditionalFormatting>
  <conditionalFormatting sqref="D25:L25">
    <cfRule type="expression" dxfId="117" priority="7">
      <formula>D25&gt;D$4</formula>
    </cfRule>
  </conditionalFormatting>
  <conditionalFormatting sqref="D27:L27">
    <cfRule type="expression" dxfId="116" priority="6">
      <formula>D27&gt;D$4</formula>
    </cfRule>
  </conditionalFormatting>
  <conditionalFormatting sqref="D29:L29">
    <cfRule type="expression" dxfId="115" priority="5">
      <formula>D29&gt;D$4</formula>
    </cfRule>
  </conditionalFormatting>
  <conditionalFormatting sqref="D31:L31">
    <cfRule type="expression" dxfId="114" priority="4">
      <formula>D31&gt;D$4</formula>
    </cfRule>
  </conditionalFormatting>
  <conditionalFormatting sqref="D33:L33">
    <cfRule type="expression" dxfId="113" priority="3">
      <formula>D33&gt;D$4</formula>
    </cfRule>
  </conditionalFormatting>
  <conditionalFormatting sqref="D35:L35">
    <cfRule type="expression" dxfId="112" priority="2">
      <formula>D35&gt;D$4</formula>
    </cfRule>
  </conditionalFormatting>
  <conditionalFormatting sqref="D37:L37">
    <cfRule type="expression" dxfId="111" priority="1">
      <formula>D37&gt;D$4</formula>
    </cfRule>
  </conditionalFormatting>
  <dataValidations count="2">
    <dataValidation type="list" allowBlank="1" showInputMessage="1" showErrorMessage="1" sqref="E1:L1" xr:uid="{02C31F86-7913-4696-8BE6-F8A55841D280}">
      <formula1>"Expiry,N.Expiry"</formula1>
    </dataValidation>
    <dataValidation type="list" allowBlank="1" showInputMessage="1" showErrorMessage="1" sqref="E3:L3" xr:uid="{1FD11167-F4E8-4B32-8A0C-D70A44EEAB8B}">
      <formula1>"W.O.H,W.H"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466E6-21EF-4A54-B30A-CDD04654CD43}">
  <sheetPr codeName="Sheet8"/>
  <dimension ref="A1:T37"/>
  <sheetViews>
    <sheetView workbookViewId="0">
      <selection activeCell="J16" sqref="J16"/>
    </sheetView>
  </sheetViews>
  <sheetFormatPr defaultRowHeight="15" x14ac:dyDescent="0.25"/>
  <cols>
    <col min="1" max="1" width="2" bestFit="1" customWidth="1"/>
    <col min="2" max="2" width="13.5703125" style="4" bestFit="1" customWidth="1"/>
    <col min="3" max="3" width="10" style="4" bestFit="1" customWidth="1"/>
    <col min="4" max="4" width="8.140625" bestFit="1" customWidth="1"/>
    <col min="5" max="5" width="7.85546875" bestFit="1" customWidth="1"/>
    <col min="6" max="6" width="8.140625" bestFit="1" customWidth="1"/>
    <col min="7" max="9" width="16.85546875" bestFit="1" customWidth="1"/>
    <col min="10" max="10" width="11.7109375" bestFit="1" customWidth="1"/>
    <col min="11" max="11" width="8" bestFit="1" customWidth="1"/>
    <col min="12" max="12" width="13" bestFit="1" customWidth="1"/>
    <col min="13" max="13" width="12.85546875" bestFit="1" customWidth="1"/>
    <col min="14" max="14" width="13.7109375" bestFit="1" customWidth="1"/>
    <col min="16" max="16" width="15.28515625" bestFit="1" customWidth="1"/>
  </cols>
  <sheetData>
    <row r="1" spans="1:20" x14ac:dyDescent="0.25">
      <c r="E1" s="4" t="s">
        <v>104</v>
      </c>
      <c r="F1" s="4" t="s">
        <v>105</v>
      </c>
      <c r="G1" s="4" t="s">
        <v>105</v>
      </c>
      <c r="H1" s="4" t="s">
        <v>105</v>
      </c>
      <c r="I1" s="4" t="s">
        <v>105</v>
      </c>
      <c r="J1" s="4" t="s">
        <v>104</v>
      </c>
      <c r="K1" s="4" t="s">
        <v>104</v>
      </c>
      <c r="L1" s="4" t="s">
        <v>105</v>
      </c>
      <c r="M1" s="4" t="s">
        <v>105</v>
      </c>
      <c r="N1" s="4" t="s">
        <v>104</v>
      </c>
    </row>
    <row r="2" spans="1:20" x14ac:dyDescent="0.25">
      <c r="B2"/>
      <c r="C2"/>
      <c r="E2" s="4" t="s">
        <v>14</v>
      </c>
      <c r="F2" s="4" t="s">
        <v>14</v>
      </c>
      <c r="G2" s="4" t="s">
        <v>15</v>
      </c>
      <c r="H2" s="4" t="s">
        <v>81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</row>
    <row r="3" spans="1:20" x14ac:dyDescent="0.25">
      <c r="B3"/>
      <c r="C3">
        <v>1.1499999999999999</v>
      </c>
      <c r="E3" s="4" t="s">
        <v>103</v>
      </c>
      <c r="F3" s="4" t="s">
        <v>103</v>
      </c>
      <c r="G3" s="4" t="s">
        <v>103</v>
      </c>
      <c r="H3" s="4" t="s">
        <v>102</v>
      </c>
      <c r="I3" s="4" t="s">
        <v>103</v>
      </c>
      <c r="J3" s="4" t="s">
        <v>103</v>
      </c>
      <c r="K3" s="4" t="s">
        <v>103</v>
      </c>
      <c r="L3" s="4" t="s">
        <v>103</v>
      </c>
      <c r="M3" s="4" t="s">
        <v>103</v>
      </c>
      <c r="N3" s="4" t="s">
        <v>103</v>
      </c>
      <c r="S3" s="4"/>
      <c r="T3" s="4"/>
    </row>
    <row r="4" spans="1:20" x14ac:dyDescent="0.25">
      <c r="D4" s="38">
        <f>SUM(E4:N4)</f>
        <v>0.95</v>
      </c>
      <c r="E4" s="39" cm="1">
        <f t="array" ref="E4">IF('Tue(NF)'!E3="W.H",_xlfn._xlws.FILTER(Margin[Strategy allotment % with hedge],(Margin[Strategy]='Tue(NF)'!E$5)*(Margin[Index]='Tue(NF)'!E$2)),_xlfn._xlws.FILTER(Margin[Strategy allotment % without hedge],(Margin[Strategy]='Tue(NF)'!E$5)*(Margin[Index]='Tue(NF)'!E$2)))</f>
        <v>0</v>
      </c>
      <c r="F4" s="39" cm="1">
        <f t="array" ref="F4">IF('Tue(NF)'!F3="W.H",_xlfn._xlws.FILTER(Margin[Strategy allotment % with hedge],(Margin[Strategy]='Tue(NF)'!F$5)*(Margin[Index]='Tue(NF)'!F$2)),_xlfn._xlws.FILTER(Margin[Strategy allotment % without hedge],(Margin[Strategy]='Tue(NF)'!F$5)*(Margin[Index]='Tue(NF)'!F$2)))</f>
        <v>0.05</v>
      </c>
      <c r="G4" s="39" cm="1">
        <f t="array" ref="G4">IF('Tue(NF)'!G3="W.H",_xlfn._xlws.FILTER(Margin[Strategy allotment % with hedge],(Margin[Strategy]='Tue(NF)'!G$5)*(Margin[Index]='Tue(NF)'!G$2)),_xlfn._xlws.FILTER(Margin[Strategy allotment % without hedge],(Margin[Strategy]='Tue(NF)'!G$5)*(Margin[Index]='Tue(NF)'!G$2)))</f>
        <v>0.1</v>
      </c>
      <c r="H4" s="39" cm="1">
        <f t="array" ref="H4">IF('Tue(NF)'!H3="W.H",_xlfn._xlws.FILTER(Margin[Strategy allotment % with hedge],(Margin[Strategy]='Tue(NF)'!H$5)*(Margin[Index]='Tue(NF)'!H$2)),_xlfn._xlws.FILTER(Margin[Strategy allotment % without hedge],(Margin[Strategy]='Tue(NF)'!H$5)*(Margin[Index]='Tue(NF)'!H$2)))</f>
        <v>0.1</v>
      </c>
      <c r="I4" s="39" cm="1">
        <f t="array" ref="I4">IF('Tue(NF)'!I3="W.H",_xlfn._xlws.FILTER(Margin[Strategy allotment % with hedge],(Margin[Strategy]='Tue(NF)'!I$5)*(Margin[Index]='Tue(NF)'!I$2)),_xlfn._xlws.FILTER(Margin[Strategy allotment % without hedge],(Margin[Strategy]='Tue(NF)'!I$5)*(Margin[Index]='Tue(NF)'!I$2)))</f>
        <v>0.1</v>
      </c>
      <c r="J4" s="39" cm="1">
        <f t="array" ref="J4">IF('Tue(NF)'!J3="W.H",_xlfn._xlws.FILTER(Margin[Strategy allotment % with hedge],(Margin[Strategy]='Tue(NF)'!J$5)*(Margin[Index]='Tue(NF)'!J$2)),_xlfn._xlws.FILTER(Margin[Strategy allotment % without hedge],(Margin[Strategy]='Tue(NF)'!J$5)*(Margin[Index]='Tue(NF)'!J$2)))</f>
        <v>0.1</v>
      </c>
      <c r="K4" s="39" cm="1">
        <f t="array" ref="K4">IF('Tue(NF)'!K3="W.H",_xlfn._xlws.FILTER(Margin[Strategy allotment % with hedge],(Margin[Strategy]='Tue(NF)'!K$5)*(Margin[Index]='Tue(NF)'!K$2)),_xlfn._xlws.FILTER(Margin[Strategy allotment % without hedge],(Margin[Strategy]='Tue(NF)'!K$5)*(Margin[Index]='Tue(NF)'!K$2)))</f>
        <v>0.45</v>
      </c>
      <c r="L4" s="39" cm="1">
        <f t="array" ref="L4">IF('Tue(NF)'!L3="W.H",_xlfn._xlws.FILTER(Margin[Strategy allotment % with hedge],(Margin[Strategy]='Tue(NF)'!L$5)*(Margin[Index]='Tue(NF)'!L$2)),_xlfn._xlws.FILTER(Margin[Strategy allotment % without hedge],(Margin[Strategy]='Tue(NF)'!L$5)*(Margin[Index]='Tue(NF)'!L$2)))</f>
        <v>0</v>
      </c>
      <c r="M4" s="39" cm="1">
        <f t="array" ref="M4">IF('Tue(NF)'!M3="W.H",_xlfn._xlws.FILTER(Margin[Strategy allotment % with hedge],(Margin[Strategy]='Tue(NF)'!M$5)*(Margin[Index]='Tue(NF)'!M$2)),_xlfn._xlws.FILTER(Margin[Strategy allotment % without hedge],(Margin[Strategy]='Tue(NF)'!M$5)*(Margin[Index]='Tue(NF)'!M$2)))</f>
        <v>0</v>
      </c>
      <c r="N4" s="39" cm="1">
        <f t="array" ref="N4">IF('Tue(NF)'!N3="W.H",_xlfn._xlws.FILTER(Margin[Strategy allotment % with hedge],(Margin[Strategy]='Tue(NF)'!N$5)*(Margin[Index]='Tue(NF)'!N$2)),_xlfn._xlws.FILTER(Margin[Strategy allotment % without hedge],(Margin[Strategy]='Tue(NF)'!N$5)*(Margin[Index]='Tue(NF)'!N$2)))</f>
        <v>0.05</v>
      </c>
    </row>
    <row r="5" spans="1:20" x14ac:dyDescent="0.25">
      <c r="B5" s="16" t="s">
        <v>50</v>
      </c>
      <c r="C5" s="16" t="s">
        <v>51</v>
      </c>
      <c r="D5" s="16" t="s">
        <v>52</v>
      </c>
      <c r="E5" s="16" t="s">
        <v>67</v>
      </c>
      <c r="F5" s="16" t="s">
        <v>66</v>
      </c>
      <c r="G5" s="16" t="s">
        <v>69</v>
      </c>
      <c r="H5" s="16" t="s">
        <v>69</v>
      </c>
      <c r="I5" s="16" t="s">
        <v>69</v>
      </c>
      <c r="J5" s="16" t="s">
        <v>154</v>
      </c>
      <c r="K5" s="16" t="s">
        <v>1</v>
      </c>
      <c r="L5" s="16" t="s">
        <v>2</v>
      </c>
      <c r="M5" s="16" t="s">
        <v>3</v>
      </c>
      <c r="N5" s="16" t="s">
        <v>4</v>
      </c>
    </row>
    <row r="6" spans="1:20" x14ac:dyDescent="0.25">
      <c r="A6">
        <f>IF(B6="",0,1)</f>
        <v>1</v>
      </c>
      <c r="B6" s="14" t="s">
        <v>20</v>
      </c>
      <c r="C6" s="14" cm="1">
        <f t="array" ref="C6">(_xlfn._xlws.FILTER(Fund[Margin],Fund[Client Id]=B6))/10000000</f>
        <v>7.5</v>
      </c>
      <c r="D6" s="14"/>
      <c r="E6" s="14" t="str" cm="1">
        <f t="array" ref="E6">IFERROR(IF(ROUNDUP((Client_Margin($B6)*Alloted(E$3,E$2,E$5)/Get_Margin(E$3,E$2,E$5,E$1)),0)*Get_Margin(E$3,E$2,E$5,E$1)&gt;((Client_Margin($B6)*Alloted(E$3,E$2,E$5)/Get_Margin(E$3,E$2,E$5,E$1))*Get_Margin(E$3,E$2,E$5,E$1))*$C$3,ROUNDDOWN((Client_Margin($B6)*Alloted(E$3,E$2,E$5)/Get_Margin(E$3,E$2,E$5,E$1)),0),ROUNDUP((Client_Margin($B6)*Alloted(E$3,E$2,E$5)/Get_Margin(E$3,E$2,E$5,E$1)),0)),"-")</f>
        <v>-</v>
      </c>
      <c r="F6" s="14" cm="1">
        <f t="array" ref="F6">IFERROR(IF(ROUNDUP((Client_Margin($B6)*Alloted(F$3,F$2,F$5)/Get_Margin(F$3,F$2,F$5,F$1)),0)*Get_Margin(F$3,F$2,F$5,F$1)&gt;((Client_Margin($B6)*Alloted(F$3,F$2,F$5)/Get_Margin(F$3,F$2,F$5,F$1))*Get_Margin(F$3,F$2,F$5,F$1))*$C$3,ROUNDDOWN((Client_Margin($B6)*Alloted(F$3,F$2,F$5)/Get_Margin(F$3,F$2,F$5,F$1)),0),ROUNDUP((Client_Margin($B6)*Alloted(F$3,F$2,F$5)/Get_Margin(F$3,F$2,F$5,F$1)),0)),"-")</f>
        <v>24</v>
      </c>
      <c r="G6" s="14" cm="1">
        <f t="array" ref="G6">IFERROR(IF(ROUNDUP((Client_Margin($B6)*Alloted(G$3,G$2,G$5)/Get_Margin(G$3,G$2,G$5,G$1)),0)*Get_Margin(G$3,G$2,G$5,G$1)&gt;((Client_Margin($B6)*Alloted(G$3,G$2,G$5)/Get_Margin(G$3,G$2,G$5,G$1))*Get_Margin(G$3,G$2,G$5,G$1))*$C$3,ROUNDDOWN((Client_Margin($B6)*Alloted(G$3,G$2,G$5)/Get_Margin(G$3,G$2,G$5,G$1)),0),ROUNDUP((Client_Margin($B6)*Alloted(G$3,G$2,G$5)/Get_Margin(G$3,G$2,G$5,G$1)),0)),"-")</f>
        <v>11</v>
      </c>
      <c r="H6" s="14" cm="1">
        <f t="array" ref="H6">IFERROR(IF(ROUNDUP((Client_Margin($B6)*Alloted(H$3,H$2,H$5)/Get_Margin(H$3,H$2,H$5,H$1)),0)*Get_Margin(H$3,H$2,H$5,H$1)&gt;((Client_Margin($B6)*Alloted(H$3,H$2,H$5)/Get_Margin(H$3,H$2,H$5,H$1))*Get_Margin(H$3,H$2,H$5,H$1))*$C$3,ROUNDDOWN((Client_Margin($B6)*Alloted(H$3,H$2,H$5)/Get_Margin(H$3,H$2,H$5,H$1)),0),ROUNDUP((Client_Margin($B6)*Alloted(H$3,H$2,H$5)/Get_Margin(H$3,H$2,H$5,H$1)),0)),"-")</f>
        <v>4</v>
      </c>
      <c r="I6" s="14" cm="1">
        <f t="array" ref="I6">IFERROR(IF(ROUNDUP((Client_Margin($B6)*Alloted(I$3,I$2,I$5)/Get_Margin(I$3,I$2,I$5,I$1)),0)*Get_Margin(I$3,I$2,I$5,I$1)&gt;((Client_Margin($B6)*Alloted(I$3,I$2,I$5)/Get_Margin(I$3,I$2,I$5,I$1))*Get_Margin(I$3,I$2,I$5,I$1))*$C$3,ROUNDDOWN((Client_Margin($B6)*Alloted(I$3,I$2,I$5)/Get_Margin(I$3,I$2,I$5,I$1)),0),ROUNDUP((Client_Margin($B6)*Alloted(I$3,I$2,I$5)/Get_Margin(I$3,I$2,I$5,I$1)),0)),"-")</f>
        <v>5</v>
      </c>
      <c r="J6" s="14" cm="1">
        <f t="array" ref="J6">IFERROR(IF(ROUNDUP((Client_Margin($B6)*Alloted(J$3,J$2,J$5)/Get_Margin(J$3,J$2,J$5,J$1)),0)*Get_Margin(J$3,J$2,J$5,J$1)&gt;((Client_Margin($B6)*Alloted(J$3,J$2,J$5)/Get_Margin(J$3,J$2,J$5,J$1))*Get_Margin(J$3,J$2,J$5,J$1))*$C$3,ROUNDDOWN((Client_Margin($B6)*Alloted(J$3,J$2,J$5)/Get_Margin(J$3,J$2,J$5,J$1)),0),ROUNDUP((Client_Margin($B6)*Alloted(J$3,J$2,J$5)/Get_Margin(J$3,J$2,J$5,J$1)),0)),"-")</f>
        <v>3</v>
      </c>
      <c r="K6" s="14" cm="1">
        <f t="array" ref="K6">IFERROR(IF(ROUNDUP((Client_Margin($B6)*Alloted(K$3,K$2,K$5)/Get_Margin(K$3,K$2,K$5,K$1)),0)*Get_Margin(K$3,K$2,K$5,K$1)&gt;((Client_Margin($B6)*Alloted(K$3,K$2,K$5)/Get_Margin(K$3,K$2,K$5,K$1))*Get_Margin(K$3,K$2,K$5,K$1))*$C$3,ROUNDDOWN((Client_Margin($B6)*Alloted(K$3,K$2,K$5)/Get_Margin(K$3,K$2,K$5,K$1)),0),ROUNDUP((Client_Margin($B6)*Alloted(K$3,K$2,K$5)/Get_Margin(K$3,K$2,K$5,K$1)),0)),"-")</f>
        <v>36</v>
      </c>
      <c r="L6" s="14" cm="1">
        <f t="array" ref="L6">IFERROR(IF(ROUNDUP((Client_Margin($B6)*Alloted(L$3,L$2,L$5)/Get_Margin(L$3,L$2,L$5,L$1)),0)*Get_Margin(L$3,L$2,L$5,L$1)&gt;((Client_Margin($B6)*Alloted(L$3,L$2,L$5)/Get_Margin(L$3,L$2,L$5,L$1))*Get_Margin(L$3,L$2,L$5,L$1))*$C$3,ROUNDDOWN((Client_Margin($B6)*Alloted(L$3,L$2,L$5)/Get_Margin(L$3,L$2,L$5,L$1)),0),ROUNDUP((Client_Margin($B6)*Alloted(L$3,L$2,L$5)/Get_Margin(L$3,L$2,L$5,L$1)),0)),"-")</f>
        <v>0</v>
      </c>
      <c r="M6" s="14" cm="1">
        <f t="array" ref="M6">IFERROR(IF(ROUNDUP((Client_Margin($B6)*Alloted(M$3,M$2,M$5)/Get_Margin(M$3,M$2,M$5,M$1)),0)*Get_Margin(M$3,M$2,M$5,M$1)&gt;((Client_Margin($B6)*Alloted(M$3,M$2,M$5)/Get_Margin(M$3,M$2,M$5,M$1))*Get_Margin(M$3,M$2,M$5,M$1))*$C$3,ROUNDDOWN((Client_Margin($B6)*Alloted(M$3,M$2,M$5)/Get_Margin(M$3,M$2,M$5,M$1)),0),ROUNDUP((Client_Margin($B6)*Alloted(M$3,M$2,M$5)/Get_Margin(M$3,M$2,M$5,M$1)),0)),"-")</f>
        <v>0</v>
      </c>
      <c r="N6" s="14" cm="1">
        <f t="array" ref="N6">IFERROR(IF(ROUNDUP((Client_Margin($B6)*Alloted(N$3,N$2,N$5)/Get_Margin(N$3,N$2,N$5,N$1)),0)*Get_Margin(N$3,N$2,N$5,N$1)&gt;((Client_Margin($B6)*Alloted(N$3,N$2,N$5)/Get_Margin(N$3,N$2,N$5,N$1))*Get_Margin(N$3,N$2,N$5,N$1))*$C$3,ROUNDDOWN((Client_Margin($B6)*Alloted(N$3,N$2,N$5)/Get_Margin(N$3,N$2,N$5,N$1)),0),ROUNDUP((Client_Margin($B6)*Alloted(N$3,N$2,N$5)/Get_Margin(N$3,N$2,N$5,N$1)),0)),"-")</f>
        <v>11</v>
      </c>
    </row>
    <row r="7" spans="1:20" x14ac:dyDescent="0.25">
      <c r="A7">
        <f t="shared" ref="A7:A11" si="0">IF(B7="",0,1)</f>
        <v>0</v>
      </c>
      <c r="B7" s="14"/>
      <c r="C7" s="14"/>
      <c r="D7" s="15">
        <f>SUM(E7:N7)</f>
        <v>0.97752000000000006</v>
      </c>
      <c r="E7" s="15" t="str" cm="1">
        <f t="array" ref="E7">IFERROR((_xlfn._xlws.FILTER(INDEX(Margin[],0,MATCH(E$1&amp;"_"&amp;E$3,Margin[#Headers],0)),(Margin[Index]=E$2)*(Margin[Strategy]=E$5))*E6)/Client_Margin($B6),"-")</f>
        <v>-</v>
      </c>
      <c r="F7" s="15" cm="1">
        <f t="array" ref="F7">IFERROR((_xlfn._xlws.FILTER(INDEX(Margin[],0,MATCH(F$1&amp;"_"&amp;F$3,Margin[#Headers],0)),(Margin[Index]=F$2)*(Margin[Strategy]=F$5))*F6)/Client_Margin($B6),"-")</f>
        <v>5.1200000000000002E-2</v>
      </c>
      <c r="G7" s="15" cm="1">
        <f t="array" ref="G7">IFERROR((_xlfn._xlws.FILTER(INDEX(Margin[],0,MATCH(G$1&amp;"_"&amp;G$3,Margin[#Headers],0)),(Margin[Index]=G$2)*(Margin[Strategy]=G$5))*G6)/Client_Margin($B6),"-")</f>
        <v>0.10208</v>
      </c>
      <c r="H7" s="15" cm="1">
        <f t="array" ref="H7">IFERROR((_xlfn._xlws.FILTER(INDEX(Margin[],0,MATCH(H$1&amp;"_"&amp;H$3,Margin[#Headers],0)),(Margin[Index]=H$2)*(Margin[Strategy]=H$5))*H6)/Client_Margin($B6),"-")</f>
        <v>9.9839999999999998E-2</v>
      </c>
      <c r="I7" s="15" cm="1">
        <f t="array" ref="I7">IFERROR((_xlfn._xlws.FILTER(INDEX(Margin[],0,MATCH(I$1&amp;"_"&amp;I$3,Margin[#Headers],0)),(Margin[Index]=I$2)*(Margin[Strategy]=I$5))*I6)/Client_Margin($B6),"-")</f>
        <v>0.10666666666666667</v>
      </c>
      <c r="J7" s="15" cm="1">
        <f t="array" ref="J7">IFERROR((_xlfn._xlws.FILTER(INDEX(Margin[],0,MATCH(J$1&amp;"_"&amp;J$3,Margin[#Headers],0)),(Margin[Index]=J$2)*(Margin[Strategy]=J$5))*J6)/Client_Margin($B6),"-")</f>
        <v>0.1056</v>
      </c>
      <c r="K7" s="15" cm="1">
        <f t="array" ref="K7">IFERROR((_xlfn._xlws.FILTER(INDEX(Margin[],0,MATCH(K$1&amp;"_"&amp;K$3,Margin[#Headers],0)),(Margin[Index]=K$2)*(Margin[Strategy]=K$5))*K6)/Client_Margin($B6),"-")</f>
        <v>0.46079999999999999</v>
      </c>
      <c r="L7" s="15" cm="1">
        <f t="array" ref="L7">IFERROR((_xlfn._xlws.FILTER(INDEX(Margin[],0,MATCH(L$1&amp;"_"&amp;L$3,Margin[#Headers],0)),(Margin[Index]=L$2)*(Margin[Strategy]=L$5))*L6)/Client_Margin($B6),"-")</f>
        <v>0</v>
      </c>
      <c r="M7" s="15" cm="1">
        <f t="array" ref="M7">IFERROR((_xlfn._xlws.FILTER(INDEX(Margin[],0,MATCH(M$1&amp;"_"&amp;M$3,Margin[#Headers],0)),(Margin[Index]=M$2)*(Margin[Strategy]=M$5))*M6)/Client_Margin($B6),"-")</f>
        <v>0</v>
      </c>
      <c r="N7" s="15" cm="1">
        <f t="array" ref="N7">IFERROR((_xlfn._xlws.FILTER(INDEX(Margin[],0,MATCH(N$1&amp;"_"&amp;N$3,Margin[#Headers],0)),(Margin[Index]=N$2)*(Margin[Strategy]=N$5))*N6)/Client_Margin($B6),"-")</f>
        <v>5.1333333333333335E-2</v>
      </c>
    </row>
    <row r="8" spans="1:20" x14ac:dyDescent="0.25">
      <c r="A8">
        <f t="shared" si="0"/>
        <v>1</v>
      </c>
      <c r="B8" s="14" t="s">
        <v>46</v>
      </c>
      <c r="C8" s="14" cm="1">
        <f t="array" ref="C8">(_xlfn._xlws.FILTER(Fund[Margin],Fund[Client Id]=B8))/10000000</f>
        <v>6.8</v>
      </c>
      <c r="D8" s="17"/>
      <c r="E8" s="14" t="str" cm="1">
        <f t="array" ref="E8">IFERROR(IF(ROUNDUP((Client_Margin($B8)*Alloted(E$3,E$2,E$5)/Get_Margin(E$3,E$2,E$5,E$1)),0)*Get_Margin(E$3,E$2,E$5,E$1)&gt;((Client_Margin($B8)*Alloted(E$3,E$2,E$5)/Get_Margin(E$3,E$2,E$5,E$1))*Get_Margin(E$3,E$2,E$5,E$1))*$C$3,ROUNDDOWN((Client_Margin($B8)*Alloted(E$3,E$2,E$5)/Get_Margin(E$3,E$2,E$5,E$1)),0),ROUNDUP((Client_Margin($B8)*Alloted(E$3,E$2,E$5)/Get_Margin(E$3,E$2,E$5,E$1)),0)),"-")</f>
        <v>-</v>
      </c>
      <c r="F8" s="14" cm="1">
        <f t="array" ref="F8">IFERROR(IF(ROUNDUP((Client_Margin($B8)*Alloted(F$3,F$2,F$5)/Get_Margin(F$3,F$2,F$5,F$1)),0)*Get_Margin(F$3,F$2,F$5,F$1)&gt;((Client_Margin($B8)*Alloted(F$3,F$2,F$5)/Get_Margin(F$3,F$2,F$5,F$1))*Get_Margin(F$3,F$2,F$5,F$1))*$C$3,ROUNDDOWN((Client_Margin($B8)*Alloted(F$3,F$2,F$5)/Get_Margin(F$3,F$2,F$5,F$1)),0),ROUNDUP((Client_Margin($B8)*Alloted(F$3,F$2,F$5)/Get_Margin(F$3,F$2,F$5,F$1)),0)),"-")</f>
        <v>22</v>
      </c>
      <c r="G8" s="14" cm="1">
        <f t="array" ref="G8">IFERROR(IF(ROUNDUP((Client_Margin($B8)*Alloted(G$3,G$2,G$5)/Get_Margin(G$3,G$2,G$5,G$1)),0)*Get_Margin(G$3,G$2,G$5,G$1)&gt;((Client_Margin($B8)*Alloted(G$3,G$2,G$5)/Get_Margin(G$3,G$2,G$5,G$1))*Get_Margin(G$3,G$2,G$5,G$1))*$C$3,ROUNDDOWN((Client_Margin($B8)*Alloted(G$3,G$2,G$5)/Get_Margin(G$3,G$2,G$5,G$1)),0),ROUNDUP((Client_Margin($B8)*Alloted(G$3,G$2,G$5)/Get_Margin(G$3,G$2,G$5,G$1)),0)),"-")</f>
        <v>10</v>
      </c>
      <c r="H8" s="14" cm="1">
        <f t="array" ref="H8">IFERROR(IF(ROUNDUP((Client_Margin($B8)*Alloted(H$3,H$2,H$5)/Get_Margin(H$3,H$2,H$5,H$1)),0)*Get_Margin(H$3,H$2,H$5,H$1)&gt;((Client_Margin($B8)*Alloted(H$3,H$2,H$5)/Get_Margin(H$3,H$2,H$5,H$1))*Get_Margin(H$3,H$2,H$5,H$1))*$C$3,ROUNDDOWN((Client_Margin($B8)*Alloted(H$3,H$2,H$5)/Get_Margin(H$3,H$2,H$5,H$1)),0),ROUNDUP((Client_Margin($B8)*Alloted(H$3,H$2,H$5)/Get_Margin(H$3,H$2,H$5,H$1)),0)),"-")</f>
        <v>4</v>
      </c>
      <c r="I8" s="14" cm="1">
        <f t="array" ref="I8">IFERROR(IF(ROUNDUP((Client_Margin($B8)*Alloted(I$3,I$2,I$5)/Get_Margin(I$3,I$2,I$5,I$1)),0)*Get_Margin(I$3,I$2,I$5,I$1)&gt;((Client_Margin($B8)*Alloted(I$3,I$2,I$5)/Get_Margin(I$3,I$2,I$5,I$1))*Get_Margin(I$3,I$2,I$5,I$1))*$C$3,ROUNDDOWN((Client_Margin($B8)*Alloted(I$3,I$2,I$5)/Get_Margin(I$3,I$2,I$5,I$1)),0),ROUNDUP((Client_Margin($B8)*Alloted(I$3,I$2,I$5)/Get_Margin(I$3,I$2,I$5,I$1)),0)),"-")</f>
        <v>4</v>
      </c>
      <c r="J8" s="14" cm="1">
        <f t="array" ref="J8">IFERROR(IF(ROUNDUP((Client_Margin($B8)*Alloted(J$3,J$2,J$5)/Get_Margin(J$3,J$2,J$5,J$1)),0)*Get_Margin(J$3,J$2,J$5,J$1)&gt;((Client_Margin($B8)*Alloted(J$3,J$2,J$5)/Get_Margin(J$3,J$2,J$5,J$1))*Get_Margin(J$3,J$2,J$5,J$1))*$C$3,ROUNDDOWN((Client_Margin($B8)*Alloted(J$3,J$2,J$5)/Get_Margin(J$3,J$2,J$5,J$1)),0),ROUNDUP((Client_Margin($B8)*Alloted(J$3,J$2,J$5)/Get_Margin(J$3,J$2,J$5,J$1)),0)),"-")</f>
        <v>2</v>
      </c>
      <c r="K8" s="14" cm="1">
        <f t="array" ref="K8">IFERROR(IF(ROUNDUP((Client_Margin($B8)*Alloted(K$3,K$2,K$5)/Get_Margin(K$3,K$2,K$5,K$1)),0)*Get_Margin(K$3,K$2,K$5,K$1)&gt;((Client_Margin($B8)*Alloted(K$3,K$2,K$5)/Get_Margin(K$3,K$2,K$5,K$1))*Get_Margin(K$3,K$2,K$5,K$1))*$C$3,ROUNDDOWN((Client_Margin($B8)*Alloted(K$3,K$2,K$5)/Get_Margin(K$3,K$2,K$5,K$1)),0),ROUNDUP((Client_Margin($B8)*Alloted(K$3,K$2,K$5)/Get_Margin(K$3,K$2,K$5,K$1)),0)),"-")</f>
        <v>32</v>
      </c>
      <c r="L8" s="14" cm="1">
        <f t="array" ref="L8">IFERROR(IF(ROUNDUP((Client_Margin($B8)*Alloted(L$3,L$2,L$5)/Get_Margin(L$3,L$2,L$5,L$1)),0)*Get_Margin(L$3,L$2,L$5,L$1)&gt;((Client_Margin($B8)*Alloted(L$3,L$2,L$5)/Get_Margin(L$3,L$2,L$5,L$1))*Get_Margin(L$3,L$2,L$5,L$1))*$C$3,ROUNDDOWN((Client_Margin($B8)*Alloted(L$3,L$2,L$5)/Get_Margin(L$3,L$2,L$5,L$1)),0),ROUNDUP((Client_Margin($B8)*Alloted(L$3,L$2,L$5)/Get_Margin(L$3,L$2,L$5,L$1)),0)),"-")</f>
        <v>0</v>
      </c>
      <c r="M8" s="14" cm="1">
        <f t="array" ref="M8">IFERROR(IF(ROUNDUP((Client_Margin($B8)*Alloted(M$3,M$2,M$5)/Get_Margin(M$3,M$2,M$5,M$1)),0)*Get_Margin(M$3,M$2,M$5,M$1)&gt;((Client_Margin($B8)*Alloted(M$3,M$2,M$5)/Get_Margin(M$3,M$2,M$5,M$1))*Get_Margin(M$3,M$2,M$5,M$1))*$C$3,ROUNDDOWN((Client_Margin($B8)*Alloted(M$3,M$2,M$5)/Get_Margin(M$3,M$2,M$5,M$1)),0),ROUNDUP((Client_Margin($B8)*Alloted(M$3,M$2,M$5)/Get_Margin(M$3,M$2,M$5,M$1)),0)),"-")</f>
        <v>0</v>
      </c>
      <c r="N8" s="14" cm="1">
        <f t="array" ref="N8">IFERROR(IF(ROUNDUP((Client_Margin($B8)*Alloted(N$3,N$2,N$5)/Get_Margin(N$3,N$2,N$5,N$1)),0)*Get_Margin(N$3,N$2,N$5,N$1)&gt;((Client_Margin($B8)*Alloted(N$3,N$2,N$5)/Get_Margin(N$3,N$2,N$5,N$1))*Get_Margin(N$3,N$2,N$5,N$1))*$C$3,ROUNDDOWN((Client_Margin($B8)*Alloted(N$3,N$2,N$5)/Get_Margin(N$3,N$2,N$5,N$1)),0),ROUNDUP((Client_Margin($B8)*Alloted(N$3,N$2,N$5)/Get_Margin(N$3,N$2,N$5,N$1)),0)),"-")</f>
        <v>10</v>
      </c>
    </row>
    <row r="9" spans="1:20" x14ac:dyDescent="0.25">
      <c r="A9">
        <f t="shared" si="0"/>
        <v>0</v>
      </c>
      <c r="B9" s="14"/>
      <c r="C9" s="14"/>
      <c r="D9" s="15">
        <f>SUM(E9:N9)</f>
        <v>0.93923529411764717</v>
      </c>
      <c r="E9" s="15" t="str" cm="1">
        <f t="array" ref="E9">IFERROR((_xlfn._xlws.FILTER(INDEX(Margin[],0,MATCH(E$1&amp;"_"&amp;E$3,Margin[#Headers],0)),(Margin[Index]=E$2)*(Margin[Strategy]=E$5))*E8)/Client_Margin($B8),"-")</f>
        <v>-</v>
      </c>
      <c r="F9" s="15" cm="1">
        <f t="array" ref="F9">IFERROR((_xlfn._xlws.FILTER(INDEX(Margin[],0,MATCH(F$1&amp;"_"&amp;F$3,Margin[#Headers],0)),(Margin[Index]=F$2)*(Margin[Strategy]=F$5))*F8)/Client_Margin($B8),"-")</f>
        <v>5.1764705882352942E-2</v>
      </c>
      <c r="G9" s="15" cm="1">
        <f t="array" ref="G9">IFERROR((_xlfn._xlws.FILTER(INDEX(Margin[],0,MATCH(G$1&amp;"_"&amp;G$3,Margin[#Headers],0)),(Margin[Index]=G$2)*(Margin[Strategy]=G$5))*G8)/Client_Margin($B8),"-")</f>
        <v>0.10235294117647059</v>
      </c>
      <c r="H9" s="15" cm="1">
        <f t="array" ref="H9">IFERROR((_xlfn._xlws.FILTER(INDEX(Margin[],0,MATCH(H$1&amp;"_"&amp;H$3,Margin[#Headers],0)),(Margin[Index]=H$2)*(Margin[Strategy]=H$5))*H8)/Client_Margin($B8),"-")</f>
        <v>0.11011764705882353</v>
      </c>
      <c r="I9" s="15" cm="1">
        <f t="array" ref="I9">IFERROR((_xlfn._xlws.FILTER(INDEX(Margin[],0,MATCH(I$1&amp;"_"&amp;I$3,Margin[#Headers],0)),(Margin[Index]=I$2)*(Margin[Strategy]=I$5))*I8)/Client_Margin($B8),"-")</f>
        <v>9.4117647058823528E-2</v>
      </c>
      <c r="J9" s="15" cm="1">
        <f t="array" ref="J9">IFERROR((_xlfn._xlws.FILTER(INDEX(Margin[],0,MATCH(J$1&amp;"_"&amp;J$3,Margin[#Headers],0)),(Margin[Index]=J$2)*(Margin[Strategy]=J$5))*J8)/Client_Margin($B8),"-")</f>
        <v>7.7647058823529416E-2</v>
      </c>
      <c r="K9" s="15" cm="1">
        <f t="array" ref="K9">IFERROR((_xlfn._xlws.FILTER(INDEX(Margin[],0,MATCH(K$1&amp;"_"&amp;K$3,Margin[#Headers],0)),(Margin[Index]=K$2)*(Margin[Strategy]=K$5))*K8)/Client_Margin($B8),"-")</f>
        <v>0.45176470588235296</v>
      </c>
      <c r="L9" s="15" cm="1">
        <f t="array" ref="L9">IFERROR((_xlfn._xlws.FILTER(INDEX(Margin[],0,MATCH(L$1&amp;"_"&amp;L$3,Margin[#Headers],0)),(Margin[Index]=L$2)*(Margin[Strategy]=L$5))*L8)/Client_Margin($B8),"-")</f>
        <v>0</v>
      </c>
      <c r="M9" s="15" cm="1">
        <f t="array" ref="M9">IFERROR((_xlfn._xlws.FILTER(INDEX(Margin[],0,MATCH(M$1&amp;"_"&amp;M$3,Margin[#Headers],0)),(Margin[Index]=M$2)*(Margin[Strategy]=M$5))*M8)/Client_Margin($B8),"-")</f>
        <v>0</v>
      </c>
      <c r="N9" s="15" cm="1">
        <f t="array" ref="N9">IFERROR((_xlfn._xlws.FILTER(INDEX(Margin[],0,MATCH(N$1&amp;"_"&amp;N$3,Margin[#Headers],0)),(Margin[Index]=N$2)*(Margin[Strategy]=N$5))*N8)/Client_Margin($B8),"-")</f>
        <v>5.1470588235294115E-2</v>
      </c>
    </row>
    <row r="10" spans="1:20" x14ac:dyDescent="0.25">
      <c r="A10">
        <f t="shared" si="0"/>
        <v>1</v>
      </c>
      <c r="B10" s="14" t="s">
        <v>30</v>
      </c>
      <c r="C10" s="14" cm="1">
        <f t="array" ref="C10">(_xlfn._xlws.FILTER(Fund[Margin],Fund[Client Id]=B10))/10000000</f>
        <v>6</v>
      </c>
      <c r="D10" s="17"/>
      <c r="E10" s="14" t="str" cm="1">
        <f t="array" ref="E10">IFERROR(IF(ROUNDUP((Client_Margin($B10)*Alloted(E$3,E$2,E$5)/Get_Margin(E$3,E$2,E$5,E$1)),0)*Get_Margin(E$3,E$2,E$5,E$1)&gt;((Client_Margin($B10)*Alloted(E$3,E$2,E$5)/Get_Margin(E$3,E$2,E$5,E$1))*Get_Margin(E$3,E$2,E$5,E$1))*$C$3,ROUNDDOWN((Client_Margin($B10)*Alloted(E$3,E$2,E$5)/Get_Margin(E$3,E$2,E$5,E$1)),0),ROUNDUP((Client_Margin($B10)*Alloted(E$3,E$2,E$5)/Get_Margin(E$3,E$2,E$5,E$1)),0)),"-")</f>
        <v>-</v>
      </c>
      <c r="F10" s="14" cm="1">
        <f t="array" ref="F10">IFERROR(IF(ROUNDUP((Client_Margin($B10)*Alloted(F$3,F$2,F$5)/Get_Margin(F$3,F$2,F$5,F$1)),0)*Get_Margin(F$3,F$2,F$5,F$1)&gt;((Client_Margin($B10)*Alloted(F$3,F$2,F$5)/Get_Margin(F$3,F$2,F$5,F$1))*Get_Margin(F$3,F$2,F$5,F$1))*$C$3,ROUNDDOWN((Client_Margin($B10)*Alloted(F$3,F$2,F$5)/Get_Margin(F$3,F$2,F$5,F$1)),0),ROUNDUP((Client_Margin($B10)*Alloted(F$3,F$2,F$5)/Get_Margin(F$3,F$2,F$5,F$1)),0)),"-")</f>
        <v>19</v>
      </c>
      <c r="G10" s="14" cm="1">
        <f t="array" ref="G10">IFERROR(IF(ROUNDUP((Client_Margin($B10)*Alloted(G$3,G$2,G$5)/Get_Margin(G$3,G$2,G$5,G$1)),0)*Get_Margin(G$3,G$2,G$5,G$1)&gt;((Client_Margin($B10)*Alloted(G$3,G$2,G$5)/Get_Margin(G$3,G$2,G$5,G$1))*Get_Margin(G$3,G$2,G$5,G$1))*$C$3,ROUNDDOWN((Client_Margin($B10)*Alloted(G$3,G$2,G$5)/Get_Margin(G$3,G$2,G$5,G$1)),0),ROUNDUP((Client_Margin($B10)*Alloted(G$3,G$2,G$5)/Get_Margin(G$3,G$2,G$5,G$1)),0)),"-")</f>
        <v>9</v>
      </c>
      <c r="H10" s="14" cm="1">
        <f t="array" ref="H10">IFERROR(IF(ROUNDUP((Client_Margin($B10)*Alloted(H$3,H$2,H$5)/Get_Margin(H$3,H$2,H$5,H$1)),0)*Get_Margin(H$3,H$2,H$5,H$1)&gt;((Client_Margin($B10)*Alloted(H$3,H$2,H$5)/Get_Margin(H$3,H$2,H$5,H$1))*Get_Margin(H$3,H$2,H$5,H$1))*$C$3,ROUNDDOWN((Client_Margin($B10)*Alloted(H$3,H$2,H$5)/Get_Margin(H$3,H$2,H$5,H$1)),0),ROUNDUP((Client_Margin($B10)*Alloted(H$3,H$2,H$5)/Get_Margin(H$3,H$2,H$5,H$1)),0)),"-")</f>
        <v>3</v>
      </c>
      <c r="I10" s="14" cm="1">
        <f t="array" ref="I10">IFERROR(IF(ROUNDUP((Client_Margin($B10)*Alloted(I$3,I$2,I$5)/Get_Margin(I$3,I$2,I$5,I$1)),0)*Get_Margin(I$3,I$2,I$5,I$1)&gt;((Client_Margin($B10)*Alloted(I$3,I$2,I$5)/Get_Margin(I$3,I$2,I$5,I$1))*Get_Margin(I$3,I$2,I$5,I$1))*$C$3,ROUNDDOWN((Client_Margin($B10)*Alloted(I$3,I$2,I$5)/Get_Margin(I$3,I$2,I$5,I$1)),0),ROUNDUP((Client_Margin($B10)*Alloted(I$3,I$2,I$5)/Get_Margin(I$3,I$2,I$5,I$1)),0)),"-")</f>
        <v>4</v>
      </c>
      <c r="J10" s="14" cm="1">
        <f t="array" ref="J10">IFERROR(IF(ROUNDUP((Client_Margin($B10)*Alloted(J$3,J$2,J$5)/Get_Margin(J$3,J$2,J$5,J$1)),0)*Get_Margin(J$3,J$2,J$5,J$1)&gt;((Client_Margin($B10)*Alloted(J$3,J$2,J$5)/Get_Margin(J$3,J$2,J$5,J$1))*Get_Margin(J$3,J$2,J$5,J$1))*$C$3,ROUNDDOWN((Client_Margin($B10)*Alloted(J$3,J$2,J$5)/Get_Margin(J$3,J$2,J$5,J$1)),0),ROUNDUP((Client_Margin($B10)*Alloted(J$3,J$2,J$5)/Get_Margin(J$3,J$2,J$5,J$1)),0)),"-")</f>
        <v>2</v>
      </c>
      <c r="K10" s="14" cm="1">
        <f t="array" ref="K10">IFERROR(IF(ROUNDUP((Client_Margin($B10)*Alloted(K$3,K$2,K$5)/Get_Margin(K$3,K$2,K$5,K$1)),0)*Get_Margin(K$3,K$2,K$5,K$1)&gt;((Client_Margin($B10)*Alloted(K$3,K$2,K$5)/Get_Margin(K$3,K$2,K$5,K$1))*Get_Margin(K$3,K$2,K$5,K$1))*$C$3,ROUNDDOWN((Client_Margin($B10)*Alloted(K$3,K$2,K$5)/Get_Margin(K$3,K$2,K$5,K$1)),0),ROUNDUP((Client_Margin($B10)*Alloted(K$3,K$2,K$5)/Get_Margin(K$3,K$2,K$5,K$1)),0)),"-")</f>
        <v>29</v>
      </c>
      <c r="L10" s="14" cm="1">
        <f t="array" ref="L10">IFERROR(IF(ROUNDUP((Client_Margin($B10)*Alloted(L$3,L$2,L$5)/Get_Margin(L$3,L$2,L$5,L$1)),0)*Get_Margin(L$3,L$2,L$5,L$1)&gt;((Client_Margin($B10)*Alloted(L$3,L$2,L$5)/Get_Margin(L$3,L$2,L$5,L$1))*Get_Margin(L$3,L$2,L$5,L$1))*$C$3,ROUNDDOWN((Client_Margin($B10)*Alloted(L$3,L$2,L$5)/Get_Margin(L$3,L$2,L$5,L$1)),0),ROUNDUP((Client_Margin($B10)*Alloted(L$3,L$2,L$5)/Get_Margin(L$3,L$2,L$5,L$1)),0)),"-")</f>
        <v>0</v>
      </c>
      <c r="M10" s="14" cm="1">
        <f t="array" ref="M10">IFERROR(IF(ROUNDUP((Client_Margin($B10)*Alloted(M$3,M$2,M$5)/Get_Margin(M$3,M$2,M$5,M$1)),0)*Get_Margin(M$3,M$2,M$5,M$1)&gt;((Client_Margin($B10)*Alloted(M$3,M$2,M$5)/Get_Margin(M$3,M$2,M$5,M$1))*Get_Margin(M$3,M$2,M$5,M$1))*$C$3,ROUNDDOWN((Client_Margin($B10)*Alloted(M$3,M$2,M$5)/Get_Margin(M$3,M$2,M$5,M$1)),0),ROUNDUP((Client_Margin($B10)*Alloted(M$3,M$2,M$5)/Get_Margin(M$3,M$2,M$5,M$1)),0)),"-")</f>
        <v>0</v>
      </c>
      <c r="N10" s="14" cm="1">
        <f t="array" ref="N10">IFERROR(IF(ROUNDUP((Client_Margin($B10)*Alloted(N$3,N$2,N$5)/Get_Margin(N$3,N$2,N$5,N$1)),0)*Get_Margin(N$3,N$2,N$5,N$1)&gt;((Client_Margin($B10)*Alloted(N$3,N$2,N$5)/Get_Margin(N$3,N$2,N$5,N$1))*Get_Margin(N$3,N$2,N$5,N$1))*$C$3,ROUNDDOWN((Client_Margin($B10)*Alloted(N$3,N$2,N$5)/Get_Margin(N$3,N$2,N$5,N$1)),0),ROUNDUP((Client_Margin($B10)*Alloted(N$3,N$2,N$5)/Get_Margin(N$3,N$2,N$5,N$1)),0)),"-")</f>
        <v>9</v>
      </c>
    </row>
    <row r="11" spans="1:20" x14ac:dyDescent="0.25">
      <c r="A11">
        <f t="shared" si="0"/>
        <v>0</v>
      </c>
      <c r="B11" s="14"/>
      <c r="C11" s="14"/>
      <c r="D11" s="15">
        <f>SUM(E11:N11)</f>
        <v>0.95983333333333332</v>
      </c>
      <c r="E11" s="15" t="str" cm="1">
        <f t="array" ref="E11">IFERROR((_xlfn._xlws.FILTER(INDEX(Margin[],0,MATCH(E$1&amp;"_"&amp;E$3,Margin[#Headers],0)),(Margin[Index]=E$2)*(Margin[Strategy]=E$5))*E10)/Client_Margin($B10),"-")</f>
        <v>-</v>
      </c>
      <c r="F11" s="15" cm="1">
        <f t="array" ref="F11">IFERROR((_xlfn._xlws.FILTER(INDEX(Margin[],0,MATCH(F$1&amp;"_"&amp;F$3,Margin[#Headers],0)),(Margin[Index]=F$2)*(Margin[Strategy]=F$5))*F10)/Client_Margin($B10),"-")</f>
        <v>5.0666666666666665E-2</v>
      </c>
      <c r="G11" s="15" cm="1">
        <f t="array" ref="G11">IFERROR((_xlfn._xlws.FILTER(INDEX(Margin[],0,MATCH(G$1&amp;"_"&amp;G$3,Margin[#Headers],0)),(Margin[Index]=G$2)*(Margin[Strategy]=G$5))*G10)/Client_Margin($B10),"-")</f>
        <v>0.10440000000000001</v>
      </c>
      <c r="H11" s="15" cm="1">
        <f t="array" ref="H11">IFERROR((_xlfn._xlws.FILTER(INDEX(Margin[],0,MATCH(H$1&amp;"_"&amp;H$3,Margin[#Headers],0)),(Margin[Index]=H$2)*(Margin[Strategy]=H$5))*H10)/Client_Margin($B10),"-")</f>
        <v>9.3600000000000003E-2</v>
      </c>
      <c r="I11" s="15" cm="1">
        <f t="array" ref="I11">IFERROR((_xlfn._xlws.FILTER(INDEX(Margin[],0,MATCH(I$1&amp;"_"&amp;I$3,Margin[#Headers],0)),(Margin[Index]=I$2)*(Margin[Strategy]=I$5))*I10)/Client_Margin($B10),"-")</f>
        <v>0.10666666666666667</v>
      </c>
      <c r="J11" s="15" cm="1">
        <f t="array" ref="J11">IFERROR((_xlfn._xlws.FILTER(INDEX(Margin[],0,MATCH(J$1&amp;"_"&amp;J$3,Margin[#Headers],0)),(Margin[Index]=J$2)*(Margin[Strategy]=J$5))*J10)/Client_Margin($B10),"-")</f>
        <v>8.7999999999999995E-2</v>
      </c>
      <c r="K11" s="15" cm="1">
        <f t="array" ref="K11">IFERROR((_xlfn._xlws.FILTER(INDEX(Margin[],0,MATCH(K$1&amp;"_"&amp;K$3,Margin[#Headers],0)),(Margin[Index]=K$2)*(Margin[Strategy]=K$5))*K10)/Client_Margin($B10),"-")</f>
        <v>0.46400000000000002</v>
      </c>
      <c r="L11" s="15" cm="1">
        <f t="array" ref="L11">IFERROR((_xlfn._xlws.FILTER(INDEX(Margin[],0,MATCH(L$1&amp;"_"&amp;L$3,Margin[#Headers],0)),(Margin[Index]=L$2)*(Margin[Strategy]=L$5))*L10)/Client_Margin($B10),"-")</f>
        <v>0</v>
      </c>
      <c r="M11" s="15" cm="1">
        <f t="array" ref="M11">IFERROR((_xlfn._xlws.FILTER(INDEX(Margin[],0,MATCH(M$1&amp;"_"&amp;M$3,Margin[#Headers],0)),(Margin[Index]=M$2)*(Margin[Strategy]=M$5))*M10)/Client_Margin($B10),"-")</f>
        <v>0</v>
      </c>
      <c r="N11" s="15" cm="1">
        <f t="array" ref="N11">IFERROR((_xlfn._xlws.FILTER(INDEX(Margin[],0,MATCH(N$1&amp;"_"&amp;N$3,Margin[#Headers],0)),(Margin[Index]=N$2)*(Margin[Strategy]=N$5))*N10)/Client_Margin($B10),"-")</f>
        <v>5.2499999999999998E-2</v>
      </c>
    </row>
    <row r="12" spans="1:20" x14ac:dyDescent="0.25">
      <c r="A12">
        <f>IF(B12="",0,1)</f>
        <v>1</v>
      </c>
      <c r="B12" s="14" t="s">
        <v>111</v>
      </c>
      <c r="C12" s="14" cm="1">
        <f t="array" ref="C12">(_xlfn._xlws.FILTER(Fund[Margin],Fund[Client Id]=B12))/10000000</f>
        <v>5.9</v>
      </c>
      <c r="D12" s="17"/>
      <c r="E12" s="14" t="str" cm="1">
        <f t="array" ref="E12">IFERROR(IF(ROUNDUP((Client_Margin($B12)*Alloted(E$3,E$2,E$5)/Get_Margin(E$3,E$2,E$5,E$1)),0)*Get_Margin(E$3,E$2,E$5,E$1)&gt;((Client_Margin($B12)*Alloted(E$3,E$2,E$5)/Get_Margin(E$3,E$2,E$5,E$1))*Get_Margin(E$3,E$2,E$5,E$1))*$C$3,ROUNDDOWN((Client_Margin($B12)*Alloted(E$3,E$2,E$5)/Get_Margin(E$3,E$2,E$5,E$1)),0),ROUNDUP((Client_Margin($B12)*Alloted(E$3,E$2,E$5)/Get_Margin(E$3,E$2,E$5,E$1)),0)),"-")</f>
        <v>-</v>
      </c>
      <c r="F12" s="14" cm="1">
        <f t="array" ref="F12">IFERROR(IF(ROUNDUP((Client_Margin($B12)*Alloted(F$3,F$2,F$5)/Get_Margin(F$3,F$2,F$5,F$1)),0)*Get_Margin(F$3,F$2,F$5,F$1)&gt;((Client_Margin($B12)*Alloted(F$3,F$2,F$5)/Get_Margin(F$3,F$2,F$5,F$1))*Get_Margin(F$3,F$2,F$5,F$1))*$C$3,ROUNDDOWN((Client_Margin($B12)*Alloted(F$3,F$2,F$5)/Get_Margin(F$3,F$2,F$5,F$1)),0),ROUNDUP((Client_Margin($B12)*Alloted(F$3,F$2,F$5)/Get_Margin(F$3,F$2,F$5,F$1)),0)),"-")</f>
        <v>19</v>
      </c>
      <c r="G12" s="14" cm="1">
        <f t="array" ref="G12">IFERROR(IF(ROUNDUP((Client_Margin($B12)*Alloted(G$3,G$2,G$5)/Get_Margin(G$3,G$2,G$5,G$1)),0)*Get_Margin(G$3,G$2,G$5,G$1)&gt;((Client_Margin($B12)*Alloted(G$3,G$2,G$5)/Get_Margin(G$3,G$2,G$5,G$1))*Get_Margin(G$3,G$2,G$5,G$1))*$C$3,ROUNDDOWN((Client_Margin($B12)*Alloted(G$3,G$2,G$5)/Get_Margin(G$3,G$2,G$5,G$1)),0),ROUNDUP((Client_Margin($B12)*Alloted(G$3,G$2,G$5)/Get_Margin(G$3,G$2,G$5,G$1)),0)),"-")</f>
        <v>9</v>
      </c>
      <c r="H12" s="14" cm="1">
        <f t="array" ref="H12">IFERROR(IF(ROUNDUP((Client_Margin($B12)*Alloted(H$3,H$2,H$5)/Get_Margin(H$3,H$2,H$5,H$1)),0)*Get_Margin(H$3,H$2,H$5,H$1)&gt;((Client_Margin($B12)*Alloted(H$3,H$2,H$5)/Get_Margin(H$3,H$2,H$5,H$1))*Get_Margin(H$3,H$2,H$5,H$1))*$C$3,ROUNDDOWN((Client_Margin($B12)*Alloted(H$3,H$2,H$5)/Get_Margin(H$3,H$2,H$5,H$1)),0),ROUNDUP((Client_Margin($B12)*Alloted(H$3,H$2,H$5)/Get_Margin(H$3,H$2,H$5,H$1)),0)),"-")</f>
        <v>3</v>
      </c>
      <c r="I12" s="14" cm="1">
        <f t="array" ref="I12">IFERROR(IF(ROUNDUP((Client_Margin($B12)*Alloted(I$3,I$2,I$5)/Get_Margin(I$3,I$2,I$5,I$1)),0)*Get_Margin(I$3,I$2,I$5,I$1)&gt;((Client_Margin($B12)*Alloted(I$3,I$2,I$5)/Get_Margin(I$3,I$2,I$5,I$1))*Get_Margin(I$3,I$2,I$5,I$1))*$C$3,ROUNDDOWN((Client_Margin($B12)*Alloted(I$3,I$2,I$5)/Get_Margin(I$3,I$2,I$5,I$1)),0),ROUNDUP((Client_Margin($B12)*Alloted(I$3,I$2,I$5)/Get_Margin(I$3,I$2,I$5,I$1)),0)),"-")</f>
        <v>4</v>
      </c>
      <c r="J12" s="14" cm="1">
        <f t="array" ref="J12">IFERROR(IF(ROUNDUP((Client_Margin($B12)*Alloted(J$3,J$2,J$5)/Get_Margin(J$3,J$2,J$5,J$1)),0)*Get_Margin(J$3,J$2,J$5,J$1)&gt;((Client_Margin($B12)*Alloted(J$3,J$2,J$5)/Get_Margin(J$3,J$2,J$5,J$1))*Get_Margin(J$3,J$2,J$5,J$1))*$C$3,ROUNDDOWN((Client_Margin($B12)*Alloted(J$3,J$2,J$5)/Get_Margin(J$3,J$2,J$5,J$1)),0),ROUNDUP((Client_Margin($B12)*Alloted(J$3,J$2,J$5)/Get_Margin(J$3,J$2,J$5,J$1)),0)),"-")</f>
        <v>2</v>
      </c>
      <c r="K12" s="14" cm="1">
        <f t="array" ref="K12">IFERROR(IF(ROUNDUP((Client_Margin($B12)*Alloted(K$3,K$2,K$5)/Get_Margin(K$3,K$2,K$5,K$1)),0)*Get_Margin(K$3,K$2,K$5,K$1)&gt;((Client_Margin($B12)*Alloted(K$3,K$2,K$5)/Get_Margin(K$3,K$2,K$5,K$1))*Get_Margin(K$3,K$2,K$5,K$1))*$C$3,ROUNDDOWN((Client_Margin($B12)*Alloted(K$3,K$2,K$5)/Get_Margin(K$3,K$2,K$5,K$1)),0),ROUNDUP((Client_Margin($B12)*Alloted(K$3,K$2,K$5)/Get_Margin(K$3,K$2,K$5,K$1)),0)),"-")</f>
        <v>28</v>
      </c>
      <c r="L12" s="14" cm="1">
        <f t="array" ref="L12">IFERROR(IF(ROUNDUP((Client_Margin($B12)*Alloted(L$3,L$2,L$5)/Get_Margin(L$3,L$2,L$5,L$1)),0)*Get_Margin(L$3,L$2,L$5,L$1)&gt;((Client_Margin($B12)*Alloted(L$3,L$2,L$5)/Get_Margin(L$3,L$2,L$5,L$1))*Get_Margin(L$3,L$2,L$5,L$1))*$C$3,ROUNDDOWN((Client_Margin($B12)*Alloted(L$3,L$2,L$5)/Get_Margin(L$3,L$2,L$5,L$1)),0),ROUNDUP((Client_Margin($B12)*Alloted(L$3,L$2,L$5)/Get_Margin(L$3,L$2,L$5,L$1)),0)),"-")</f>
        <v>0</v>
      </c>
      <c r="M12" s="14" cm="1">
        <f t="array" ref="M12">IFERROR(IF(ROUNDUP((Client_Margin($B12)*Alloted(M$3,M$2,M$5)/Get_Margin(M$3,M$2,M$5,M$1)),0)*Get_Margin(M$3,M$2,M$5,M$1)&gt;((Client_Margin($B12)*Alloted(M$3,M$2,M$5)/Get_Margin(M$3,M$2,M$5,M$1))*Get_Margin(M$3,M$2,M$5,M$1))*$C$3,ROUNDDOWN((Client_Margin($B12)*Alloted(M$3,M$2,M$5)/Get_Margin(M$3,M$2,M$5,M$1)),0),ROUNDUP((Client_Margin($B12)*Alloted(M$3,M$2,M$5)/Get_Margin(M$3,M$2,M$5,M$1)),0)),"-")</f>
        <v>0</v>
      </c>
      <c r="N12" s="14" cm="1">
        <f t="array" ref="N12">IFERROR(IF(ROUNDUP((Client_Margin($B12)*Alloted(N$3,N$2,N$5)/Get_Margin(N$3,N$2,N$5,N$1)),0)*Get_Margin(N$3,N$2,N$5,N$1)&gt;((Client_Margin($B12)*Alloted(N$3,N$2,N$5)/Get_Margin(N$3,N$2,N$5,N$1))*Get_Margin(N$3,N$2,N$5,N$1))*$C$3,ROUNDDOWN((Client_Margin($B12)*Alloted(N$3,N$2,N$5)/Get_Margin(N$3,N$2,N$5,N$1)),0),ROUNDUP((Client_Margin($B12)*Alloted(N$3,N$2,N$5)/Get_Margin(N$3,N$2,N$5,N$1)),0)),"-")</f>
        <v>9</v>
      </c>
    </row>
    <row r="13" spans="1:20" x14ac:dyDescent="0.25">
      <c r="A13">
        <f>IF(B13="",0,1)</f>
        <v>0</v>
      </c>
      <c r="B13" s="14"/>
      <c r="C13" s="14"/>
      <c r="D13" s="15">
        <f>SUM(E13:N13)</f>
        <v>0.95983050847457618</v>
      </c>
      <c r="E13" s="15" t="str" cm="1">
        <f t="array" ref="E13">IFERROR((_xlfn._xlws.FILTER(INDEX(Margin[],0,MATCH(E$1&amp;"_"&amp;E$3,Margin[#Headers],0)),(Margin[Index]=E$2)*(Margin[Strategy]=E$5))*E12)/Client_Margin($B12),"-")</f>
        <v>-</v>
      </c>
      <c r="F13" s="15" cm="1">
        <f t="array" ref="F13">IFERROR((_xlfn._xlws.FILTER(INDEX(Margin[],0,MATCH(F$1&amp;"_"&amp;F$3,Margin[#Headers],0)),(Margin[Index]=F$2)*(Margin[Strategy]=F$5))*F12)/Client_Margin($B12),"-")</f>
        <v>5.1525423728813559E-2</v>
      </c>
      <c r="G13" s="15" cm="1">
        <f t="array" ref="G13">IFERROR((_xlfn._xlws.FILTER(INDEX(Margin[],0,MATCH(G$1&amp;"_"&amp;G$3,Margin[#Headers],0)),(Margin[Index]=G$2)*(Margin[Strategy]=G$5))*G12)/Client_Margin($B12),"-")</f>
        <v>0.10616949152542372</v>
      </c>
      <c r="H13" s="15" cm="1">
        <f t="array" ref="H13">IFERROR((_xlfn._xlws.FILTER(INDEX(Margin[],0,MATCH(H$1&amp;"_"&amp;H$3,Margin[#Headers],0)),(Margin[Index]=H$2)*(Margin[Strategy]=H$5))*H12)/Client_Margin($B12),"-")</f>
        <v>9.5186440677966097E-2</v>
      </c>
      <c r="I13" s="15" cm="1">
        <f t="array" ref="I13">IFERROR((_xlfn._xlws.FILTER(INDEX(Margin[],0,MATCH(I$1&amp;"_"&amp;I$3,Margin[#Headers],0)),(Margin[Index]=I$2)*(Margin[Strategy]=I$5))*I12)/Client_Margin($B12),"-")</f>
        <v>0.10847457627118644</v>
      </c>
      <c r="J13" s="15" cm="1">
        <f t="array" ref="J13">IFERROR((_xlfn._xlws.FILTER(INDEX(Margin[],0,MATCH(J$1&amp;"_"&amp;J$3,Margin[#Headers],0)),(Margin[Index]=J$2)*(Margin[Strategy]=J$5))*J12)/Client_Margin($B12),"-")</f>
        <v>8.9491525423728818E-2</v>
      </c>
      <c r="K13" s="15" cm="1">
        <f t="array" ref="K13">IFERROR((_xlfn._xlws.FILTER(INDEX(Margin[],0,MATCH(K$1&amp;"_"&amp;K$3,Margin[#Headers],0)),(Margin[Index]=K$2)*(Margin[Strategy]=K$5))*K12)/Client_Margin($B12),"-")</f>
        <v>0.45559322033898303</v>
      </c>
      <c r="L13" s="15" cm="1">
        <f t="array" ref="L13">IFERROR((_xlfn._xlws.FILTER(INDEX(Margin[],0,MATCH(L$1&amp;"_"&amp;L$3,Margin[#Headers],0)),(Margin[Index]=L$2)*(Margin[Strategy]=L$5))*L12)/Client_Margin($B12),"-")</f>
        <v>0</v>
      </c>
      <c r="M13" s="15" cm="1">
        <f t="array" ref="M13">IFERROR((_xlfn._xlws.FILTER(INDEX(Margin[],0,MATCH(M$1&amp;"_"&amp;M$3,Margin[#Headers],0)),(Margin[Index]=M$2)*(Margin[Strategy]=M$5))*M12)/Client_Margin($B12),"-")</f>
        <v>0</v>
      </c>
      <c r="N13" s="15" cm="1">
        <f t="array" ref="N13">IFERROR((_xlfn._xlws.FILTER(INDEX(Margin[],0,MATCH(N$1&amp;"_"&amp;N$3,Margin[#Headers],0)),(Margin[Index]=N$2)*(Margin[Strategy]=N$5))*N12)/Client_Margin($B12),"-")</f>
        <v>5.3389830508474574E-2</v>
      </c>
    </row>
    <row r="14" spans="1:20" x14ac:dyDescent="0.25">
      <c r="A14">
        <f t="shared" ref="A14:A23" si="1">IF(B14="",0,1)</f>
        <v>1</v>
      </c>
      <c r="B14" s="14" t="s">
        <v>22</v>
      </c>
      <c r="C14" s="14" cm="1">
        <f t="array" ref="C14">(_xlfn._xlws.FILTER(Fund[Margin],Fund[Client Id]=B14))/10000000</f>
        <v>5.0999999999999996</v>
      </c>
      <c r="D14" s="17"/>
      <c r="E14" s="14" t="str" cm="1">
        <f t="array" ref="E14">IFERROR(IF(ROUNDUP((Client_Margin($B14)*Alloted(E$3,E$2,E$5)/Get_Margin(E$3,E$2,E$5,E$1)),0)*Get_Margin(E$3,E$2,E$5,E$1)&gt;((Client_Margin($B14)*Alloted(E$3,E$2,E$5)/Get_Margin(E$3,E$2,E$5,E$1))*Get_Margin(E$3,E$2,E$5,E$1))*$C$3,ROUNDDOWN((Client_Margin($B14)*Alloted(E$3,E$2,E$5)/Get_Margin(E$3,E$2,E$5,E$1)),0),ROUNDUP((Client_Margin($B14)*Alloted(E$3,E$2,E$5)/Get_Margin(E$3,E$2,E$5,E$1)),0)),"-")</f>
        <v>-</v>
      </c>
      <c r="F14" s="14" cm="1">
        <f t="array" ref="F14">IFERROR(IF(ROUNDUP((Client_Margin($B14)*Alloted(F$3,F$2,F$5)/Get_Margin(F$3,F$2,F$5,F$1)),0)*Get_Margin(F$3,F$2,F$5,F$1)&gt;((Client_Margin($B14)*Alloted(F$3,F$2,F$5)/Get_Margin(F$3,F$2,F$5,F$1))*Get_Margin(F$3,F$2,F$5,F$1))*$C$3,ROUNDDOWN((Client_Margin($B14)*Alloted(F$3,F$2,F$5)/Get_Margin(F$3,F$2,F$5,F$1)),0),ROUNDUP((Client_Margin($B14)*Alloted(F$3,F$2,F$5)/Get_Margin(F$3,F$2,F$5,F$1)),0)),"-")</f>
        <v>16</v>
      </c>
      <c r="G14" s="14" cm="1">
        <f t="array" ref="G14">IFERROR(IF(ROUNDUP((Client_Margin($B14)*Alloted(G$3,G$2,G$5)/Get_Margin(G$3,G$2,G$5,G$1)),0)*Get_Margin(G$3,G$2,G$5,G$1)&gt;((Client_Margin($B14)*Alloted(G$3,G$2,G$5)/Get_Margin(G$3,G$2,G$5,G$1))*Get_Margin(G$3,G$2,G$5,G$1))*$C$3,ROUNDDOWN((Client_Margin($B14)*Alloted(G$3,G$2,G$5)/Get_Margin(G$3,G$2,G$5,G$1)),0),ROUNDUP((Client_Margin($B14)*Alloted(G$3,G$2,G$5)/Get_Margin(G$3,G$2,G$5,G$1)),0)),"-")</f>
        <v>8</v>
      </c>
      <c r="H14" s="14" cm="1">
        <f t="array" ref="H14">IFERROR(IF(ROUNDUP((Client_Margin($B14)*Alloted(H$3,H$2,H$5)/Get_Margin(H$3,H$2,H$5,H$1)),0)*Get_Margin(H$3,H$2,H$5,H$1)&gt;((Client_Margin($B14)*Alloted(H$3,H$2,H$5)/Get_Margin(H$3,H$2,H$5,H$1))*Get_Margin(H$3,H$2,H$5,H$1))*$C$3,ROUNDDOWN((Client_Margin($B14)*Alloted(H$3,H$2,H$5)/Get_Margin(H$3,H$2,H$5,H$1)),0),ROUNDUP((Client_Margin($B14)*Alloted(H$3,H$2,H$5)/Get_Margin(H$3,H$2,H$5,H$1)),0)),"-")</f>
        <v>3</v>
      </c>
      <c r="I14" s="14" cm="1">
        <f t="array" ref="I14">IFERROR(IF(ROUNDUP((Client_Margin($B14)*Alloted(I$3,I$2,I$5)/Get_Margin(I$3,I$2,I$5,I$1)),0)*Get_Margin(I$3,I$2,I$5,I$1)&gt;((Client_Margin($B14)*Alloted(I$3,I$2,I$5)/Get_Margin(I$3,I$2,I$5,I$1))*Get_Margin(I$3,I$2,I$5,I$1))*$C$3,ROUNDDOWN((Client_Margin($B14)*Alloted(I$3,I$2,I$5)/Get_Margin(I$3,I$2,I$5,I$1)),0),ROUNDUP((Client_Margin($B14)*Alloted(I$3,I$2,I$5)/Get_Margin(I$3,I$2,I$5,I$1)),0)),"-")</f>
        <v>3</v>
      </c>
      <c r="J14" s="14" cm="1">
        <f t="array" ref="J14">IFERROR(IF(ROUNDUP((Client_Margin($B14)*Alloted(J$3,J$2,J$5)/Get_Margin(J$3,J$2,J$5,J$1)),0)*Get_Margin(J$3,J$2,J$5,J$1)&gt;((Client_Margin($B14)*Alloted(J$3,J$2,J$5)/Get_Margin(J$3,J$2,J$5,J$1))*Get_Margin(J$3,J$2,J$5,J$1))*$C$3,ROUNDDOWN((Client_Margin($B14)*Alloted(J$3,J$2,J$5)/Get_Margin(J$3,J$2,J$5,J$1)),0),ROUNDUP((Client_Margin($B14)*Alloted(J$3,J$2,J$5)/Get_Margin(J$3,J$2,J$5,J$1)),0)),"-")</f>
        <v>2</v>
      </c>
      <c r="K14" s="14" cm="1">
        <f t="array" ref="K14">IFERROR(IF(ROUNDUP((Client_Margin($B14)*Alloted(K$3,K$2,K$5)/Get_Margin(K$3,K$2,K$5,K$1)),0)*Get_Margin(K$3,K$2,K$5,K$1)&gt;((Client_Margin($B14)*Alloted(K$3,K$2,K$5)/Get_Margin(K$3,K$2,K$5,K$1))*Get_Margin(K$3,K$2,K$5,K$1))*$C$3,ROUNDDOWN((Client_Margin($B14)*Alloted(K$3,K$2,K$5)/Get_Margin(K$3,K$2,K$5,K$1)),0),ROUNDUP((Client_Margin($B14)*Alloted(K$3,K$2,K$5)/Get_Margin(K$3,K$2,K$5,K$1)),0)),"-")</f>
        <v>24</v>
      </c>
      <c r="L14" s="14" cm="1">
        <f t="array" ref="L14">IFERROR(IF(ROUNDUP((Client_Margin($B14)*Alloted(L$3,L$2,L$5)/Get_Margin(L$3,L$2,L$5,L$1)),0)*Get_Margin(L$3,L$2,L$5,L$1)&gt;((Client_Margin($B14)*Alloted(L$3,L$2,L$5)/Get_Margin(L$3,L$2,L$5,L$1))*Get_Margin(L$3,L$2,L$5,L$1))*$C$3,ROUNDDOWN((Client_Margin($B14)*Alloted(L$3,L$2,L$5)/Get_Margin(L$3,L$2,L$5,L$1)),0),ROUNDUP((Client_Margin($B14)*Alloted(L$3,L$2,L$5)/Get_Margin(L$3,L$2,L$5,L$1)),0)),"-")</f>
        <v>0</v>
      </c>
      <c r="M14" s="14" cm="1">
        <f t="array" ref="M14">IFERROR(IF(ROUNDUP((Client_Margin($B14)*Alloted(M$3,M$2,M$5)/Get_Margin(M$3,M$2,M$5,M$1)),0)*Get_Margin(M$3,M$2,M$5,M$1)&gt;((Client_Margin($B14)*Alloted(M$3,M$2,M$5)/Get_Margin(M$3,M$2,M$5,M$1))*Get_Margin(M$3,M$2,M$5,M$1))*$C$3,ROUNDDOWN((Client_Margin($B14)*Alloted(M$3,M$2,M$5)/Get_Margin(M$3,M$2,M$5,M$1)),0),ROUNDUP((Client_Margin($B14)*Alloted(M$3,M$2,M$5)/Get_Margin(M$3,M$2,M$5,M$1)),0)),"-")</f>
        <v>0</v>
      </c>
      <c r="N14" s="14" cm="1">
        <f t="array" ref="N14">IFERROR(IF(ROUNDUP((Client_Margin($B14)*Alloted(N$3,N$2,N$5)/Get_Margin(N$3,N$2,N$5,N$1)),0)*Get_Margin(N$3,N$2,N$5,N$1)&gt;((Client_Margin($B14)*Alloted(N$3,N$2,N$5)/Get_Margin(N$3,N$2,N$5,N$1))*Get_Margin(N$3,N$2,N$5,N$1))*$C$3,ROUNDDOWN((Client_Margin($B14)*Alloted(N$3,N$2,N$5)/Get_Margin(N$3,N$2,N$5,N$1)),0),ROUNDUP((Client_Margin($B14)*Alloted(N$3,N$2,N$5)/Get_Margin(N$3,N$2,N$5,N$1)),0)),"-")</f>
        <v>8</v>
      </c>
    </row>
    <row r="15" spans="1:20" x14ac:dyDescent="0.25">
      <c r="A15">
        <f t="shared" si="1"/>
        <v>0</v>
      </c>
      <c r="B15" s="14"/>
      <c r="C15" s="14"/>
      <c r="D15" s="15">
        <f>SUM(E15:N15)</f>
        <v>0.9738039215686275</v>
      </c>
      <c r="E15" s="15" t="str" cm="1">
        <f t="array" ref="E15">IFERROR((_xlfn._xlws.FILTER(INDEX(Margin[],0,MATCH(E$1&amp;"_"&amp;E$3,Margin[#Headers],0)),(Margin[Index]=E$2)*(Margin[Strategy]=E$5))*E14)/Client_Margin($B14),"-")</f>
        <v>-</v>
      </c>
      <c r="F15" s="15" cm="1">
        <f t="array" ref="F15">IFERROR((_xlfn._xlws.FILTER(INDEX(Margin[],0,MATCH(F$1&amp;"_"&amp;F$3,Margin[#Headers],0)),(Margin[Index]=F$2)*(Margin[Strategy]=F$5))*F14)/Client_Margin($B14),"-")</f>
        <v>5.0196078431372547E-2</v>
      </c>
      <c r="G15" s="15" cm="1">
        <f t="array" ref="G15">IFERROR((_xlfn._xlws.FILTER(INDEX(Margin[],0,MATCH(G$1&amp;"_"&amp;G$3,Margin[#Headers],0)),(Margin[Index]=G$2)*(Margin[Strategy]=G$5))*G14)/Client_Margin($B14),"-")</f>
        <v>0.10917647058823529</v>
      </c>
      <c r="H15" s="15" cm="1">
        <f t="array" ref="H15">IFERROR((_xlfn._xlws.FILTER(INDEX(Margin[],0,MATCH(H$1&amp;"_"&amp;H$3,Margin[#Headers],0)),(Margin[Index]=H$2)*(Margin[Strategy]=H$5))*H14)/Client_Margin($B14),"-")</f>
        <v>0.11011764705882353</v>
      </c>
      <c r="I15" s="15" cm="1">
        <f t="array" ref="I15">IFERROR((_xlfn._xlws.FILTER(INDEX(Margin[],0,MATCH(I$1&amp;"_"&amp;I$3,Margin[#Headers],0)),(Margin[Index]=I$2)*(Margin[Strategy]=I$5))*I14)/Client_Margin($B14),"-")</f>
        <v>9.4117647058823528E-2</v>
      </c>
      <c r="J15" s="15" cm="1">
        <f t="array" ref="J15">IFERROR((_xlfn._xlws.FILTER(INDEX(Margin[],0,MATCH(J$1&amp;"_"&amp;J$3,Margin[#Headers],0)),(Margin[Index]=J$2)*(Margin[Strategy]=J$5))*J14)/Client_Margin($B14),"-")</f>
        <v>0.10352941176470588</v>
      </c>
      <c r="K15" s="15" cm="1">
        <f t="array" ref="K15">IFERROR((_xlfn._xlws.FILTER(INDEX(Margin[],0,MATCH(K$1&amp;"_"&amp;K$3,Margin[#Headers],0)),(Margin[Index]=K$2)*(Margin[Strategy]=K$5))*K14)/Client_Margin($B14),"-")</f>
        <v>0.45176470588235296</v>
      </c>
      <c r="L15" s="15" cm="1">
        <f t="array" ref="L15">IFERROR((_xlfn._xlws.FILTER(INDEX(Margin[],0,MATCH(L$1&amp;"_"&amp;L$3,Margin[#Headers],0)),(Margin[Index]=L$2)*(Margin[Strategy]=L$5))*L14)/Client_Margin($B14),"-")</f>
        <v>0</v>
      </c>
      <c r="M15" s="15" cm="1">
        <f t="array" ref="M15">IFERROR((_xlfn._xlws.FILTER(INDEX(Margin[],0,MATCH(M$1&amp;"_"&amp;M$3,Margin[#Headers],0)),(Margin[Index]=M$2)*(Margin[Strategy]=M$5))*M14)/Client_Margin($B14),"-")</f>
        <v>0</v>
      </c>
      <c r="N15" s="15" cm="1">
        <f t="array" ref="N15">IFERROR((_xlfn._xlws.FILTER(INDEX(Margin[],0,MATCH(N$1&amp;"_"&amp;N$3,Margin[#Headers],0)),(Margin[Index]=N$2)*(Margin[Strategy]=N$5))*N14)/Client_Margin($B14),"-")</f>
        <v>5.4901960784313725E-2</v>
      </c>
    </row>
    <row r="16" spans="1:20" x14ac:dyDescent="0.25">
      <c r="A16">
        <f t="shared" si="1"/>
        <v>1</v>
      </c>
      <c r="B16" s="14" t="s">
        <v>34</v>
      </c>
      <c r="C16" s="14" cm="1">
        <f t="array" ref="C16">(_xlfn._xlws.FILTER(Fund[Margin],Fund[Client Id]=B16))/10000000</f>
        <v>3.5</v>
      </c>
      <c r="D16" s="17"/>
      <c r="E16" s="14" t="str" cm="1">
        <f t="array" ref="E16">IFERROR(IF(ROUNDUP((Client_Margin($B16)*Alloted(E$3,E$2,E$5)/Get_Margin(E$3,E$2,E$5,E$1)),0)*Get_Margin(E$3,E$2,E$5,E$1)&gt;((Client_Margin($B16)*Alloted(E$3,E$2,E$5)/Get_Margin(E$3,E$2,E$5,E$1))*Get_Margin(E$3,E$2,E$5,E$1))*$C$3,ROUNDDOWN((Client_Margin($B16)*Alloted(E$3,E$2,E$5)/Get_Margin(E$3,E$2,E$5,E$1)),0),ROUNDUP((Client_Margin($B16)*Alloted(E$3,E$2,E$5)/Get_Margin(E$3,E$2,E$5,E$1)),0)),"-")</f>
        <v>-</v>
      </c>
      <c r="F16" s="14" cm="1">
        <f t="array" ref="F16">IFERROR(IF(ROUNDUP((Client_Margin($B16)*Alloted(F$3,F$2,F$5)/Get_Margin(F$3,F$2,F$5,F$1)),0)*Get_Margin(F$3,F$2,F$5,F$1)&gt;((Client_Margin($B16)*Alloted(F$3,F$2,F$5)/Get_Margin(F$3,F$2,F$5,F$1))*Get_Margin(F$3,F$2,F$5,F$1))*$C$3,ROUNDDOWN((Client_Margin($B16)*Alloted(F$3,F$2,F$5)/Get_Margin(F$3,F$2,F$5,F$1)),0),ROUNDUP((Client_Margin($B16)*Alloted(F$3,F$2,F$5)/Get_Margin(F$3,F$2,F$5,F$1)),0)),"-")</f>
        <v>11</v>
      </c>
      <c r="G16" s="14" cm="1">
        <f t="array" ref="G16">IFERROR(IF(ROUNDUP((Client_Margin($B16)*Alloted(G$3,G$2,G$5)/Get_Margin(G$3,G$2,G$5,G$1)),0)*Get_Margin(G$3,G$2,G$5,G$1)&gt;((Client_Margin($B16)*Alloted(G$3,G$2,G$5)/Get_Margin(G$3,G$2,G$5,G$1))*Get_Margin(G$3,G$2,G$5,G$1))*$C$3,ROUNDDOWN((Client_Margin($B16)*Alloted(G$3,G$2,G$5)/Get_Margin(G$3,G$2,G$5,G$1)),0),ROUNDUP((Client_Margin($B16)*Alloted(G$3,G$2,G$5)/Get_Margin(G$3,G$2,G$5,G$1)),0)),"-")</f>
        <v>5</v>
      </c>
      <c r="H16" s="14" cm="1">
        <f t="array" ref="H16">IFERROR(IF(ROUNDUP((Client_Margin($B16)*Alloted(H$3,H$2,H$5)/Get_Margin(H$3,H$2,H$5,H$1)),0)*Get_Margin(H$3,H$2,H$5,H$1)&gt;((Client_Margin($B16)*Alloted(H$3,H$2,H$5)/Get_Margin(H$3,H$2,H$5,H$1))*Get_Margin(H$3,H$2,H$5,H$1))*$C$3,ROUNDDOWN((Client_Margin($B16)*Alloted(H$3,H$2,H$5)/Get_Margin(H$3,H$2,H$5,H$1)),0),ROUNDUP((Client_Margin($B16)*Alloted(H$3,H$2,H$5)/Get_Margin(H$3,H$2,H$5,H$1)),0)),"-")</f>
        <v>2</v>
      </c>
      <c r="I16" s="14" cm="1">
        <f t="array" ref="I16">IFERROR(IF(ROUNDUP((Client_Margin($B16)*Alloted(I$3,I$2,I$5)/Get_Margin(I$3,I$2,I$5,I$1)),0)*Get_Margin(I$3,I$2,I$5,I$1)&gt;((Client_Margin($B16)*Alloted(I$3,I$2,I$5)/Get_Margin(I$3,I$2,I$5,I$1))*Get_Margin(I$3,I$2,I$5,I$1))*$C$3,ROUNDDOWN((Client_Margin($B16)*Alloted(I$3,I$2,I$5)/Get_Margin(I$3,I$2,I$5,I$1)),0),ROUNDUP((Client_Margin($B16)*Alloted(I$3,I$2,I$5)/Get_Margin(I$3,I$2,I$5,I$1)),0)),"-")</f>
        <v>2</v>
      </c>
      <c r="J16" s="14" cm="1">
        <f t="array" ref="J16">IFERROR(IF(ROUNDUP((Client_Margin($B16)*Alloted(J$3,J$2,J$5)/Get_Margin(J$3,J$2,J$5,J$1)),0)*Get_Margin(J$3,J$2,J$5,J$1)&gt;((Client_Margin($B16)*Alloted(J$3,J$2,J$5)/Get_Margin(J$3,J$2,J$5,J$1))*Get_Margin(J$3,J$2,J$5,J$1))*$C$3,ROUNDDOWN((Client_Margin($B16)*Alloted(J$3,J$2,J$5)/Get_Margin(J$3,J$2,J$5,J$1)),0),ROUNDUP((Client_Margin($B16)*Alloted(J$3,J$2,J$5)/Get_Margin(J$3,J$2,J$5,J$1)),0)),"-")</f>
        <v>1</v>
      </c>
      <c r="K16" s="14" cm="1">
        <f t="array" ref="K16">IFERROR(IF(ROUNDUP((Client_Margin($B16)*Alloted(K$3,K$2,K$5)/Get_Margin(K$3,K$2,K$5,K$1)),0)*Get_Margin(K$3,K$2,K$5,K$1)&gt;((Client_Margin($B16)*Alloted(K$3,K$2,K$5)/Get_Margin(K$3,K$2,K$5,K$1))*Get_Margin(K$3,K$2,K$5,K$1))*$C$3,ROUNDDOWN((Client_Margin($B16)*Alloted(K$3,K$2,K$5)/Get_Margin(K$3,K$2,K$5,K$1)),0),ROUNDUP((Client_Margin($B16)*Alloted(K$3,K$2,K$5)/Get_Margin(K$3,K$2,K$5,K$1)),0)),"-")</f>
        <v>17</v>
      </c>
      <c r="L16" s="14" cm="1">
        <f t="array" ref="L16">IFERROR(IF(ROUNDUP((Client_Margin($B16)*Alloted(L$3,L$2,L$5)/Get_Margin(L$3,L$2,L$5,L$1)),0)*Get_Margin(L$3,L$2,L$5,L$1)&gt;((Client_Margin($B16)*Alloted(L$3,L$2,L$5)/Get_Margin(L$3,L$2,L$5,L$1))*Get_Margin(L$3,L$2,L$5,L$1))*$C$3,ROUNDDOWN((Client_Margin($B16)*Alloted(L$3,L$2,L$5)/Get_Margin(L$3,L$2,L$5,L$1)),0),ROUNDUP((Client_Margin($B16)*Alloted(L$3,L$2,L$5)/Get_Margin(L$3,L$2,L$5,L$1)),0)),"-")</f>
        <v>0</v>
      </c>
      <c r="M16" s="14" cm="1">
        <f t="array" ref="M16">IFERROR(IF(ROUNDUP((Client_Margin($B16)*Alloted(M$3,M$2,M$5)/Get_Margin(M$3,M$2,M$5,M$1)),0)*Get_Margin(M$3,M$2,M$5,M$1)&gt;((Client_Margin($B16)*Alloted(M$3,M$2,M$5)/Get_Margin(M$3,M$2,M$5,M$1))*Get_Margin(M$3,M$2,M$5,M$1))*$C$3,ROUNDDOWN((Client_Margin($B16)*Alloted(M$3,M$2,M$5)/Get_Margin(M$3,M$2,M$5,M$1)),0),ROUNDUP((Client_Margin($B16)*Alloted(M$3,M$2,M$5)/Get_Margin(M$3,M$2,M$5,M$1)),0)),"-")</f>
        <v>0</v>
      </c>
      <c r="N16" s="14" cm="1">
        <f t="array" ref="N16">IFERROR(IF(ROUNDUP((Client_Margin($B16)*Alloted(N$3,N$2,N$5)/Get_Margin(N$3,N$2,N$5,N$1)),0)*Get_Margin(N$3,N$2,N$5,N$1)&gt;((Client_Margin($B16)*Alloted(N$3,N$2,N$5)/Get_Margin(N$3,N$2,N$5,N$1))*Get_Margin(N$3,N$2,N$5,N$1))*$C$3,ROUNDDOWN((Client_Margin($B16)*Alloted(N$3,N$2,N$5)/Get_Margin(N$3,N$2,N$5,N$1)),0),ROUNDUP((Client_Margin($B16)*Alloted(N$3,N$2,N$5)/Get_Margin(N$3,N$2,N$5,N$1)),0)),"-")</f>
        <v>5</v>
      </c>
    </row>
    <row r="17" spans="1:14" x14ac:dyDescent="0.25">
      <c r="A17">
        <f t="shared" si="1"/>
        <v>0</v>
      </c>
      <c r="B17" s="14"/>
      <c r="C17" s="14"/>
      <c r="D17" s="15">
        <f>SUM(E17:N17)</f>
        <v>0.93982857142857146</v>
      </c>
      <c r="E17" s="15" t="str" cm="1">
        <f t="array" ref="E17">IFERROR((_xlfn._xlws.FILTER(INDEX(Margin[],0,MATCH(E$1&amp;"_"&amp;E$3,Margin[#Headers],0)),(Margin[Index]=E$2)*(Margin[Strategy]=E$5))*E16)/Client_Margin($B16),"-")</f>
        <v>-</v>
      </c>
      <c r="F17" s="15" cm="1">
        <f t="array" ref="F17">IFERROR((_xlfn._xlws.FILTER(INDEX(Margin[],0,MATCH(F$1&amp;"_"&amp;F$3,Margin[#Headers],0)),(Margin[Index]=F$2)*(Margin[Strategy]=F$5))*F16)/Client_Margin($B16),"-")</f>
        <v>5.0285714285714288E-2</v>
      </c>
      <c r="G17" s="15" cm="1">
        <f t="array" ref="G17">IFERROR((_xlfn._xlws.FILTER(INDEX(Margin[],0,MATCH(G$1&amp;"_"&amp;G$3,Margin[#Headers],0)),(Margin[Index]=G$2)*(Margin[Strategy]=G$5))*G16)/Client_Margin($B16),"-")</f>
        <v>9.9428571428571422E-2</v>
      </c>
      <c r="H17" s="15" cm="1">
        <f t="array" ref="H17">IFERROR((_xlfn._xlws.FILTER(INDEX(Margin[],0,MATCH(H$1&amp;"_"&amp;H$3,Margin[#Headers],0)),(Margin[Index]=H$2)*(Margin[Strategy]=H$5))*H16)/Client_Margin($B16),"-")</f>
        <v>0.10697142857142856</v>
      </c>
      <c r="I17" s="15" cm="1">
        <f t="array" ref="I17">IFERROR((_xlfn._xlws.FILTER(INDEX(Margin[],0,MATCH(I$1&amp;"_"&amp;I$3,Margin[#Headers],0)),(Margin[Index]=I$2)*(Margin[Strategy]=I$5))*I16)/Client_Margin($B16),"-")</f>
        <v>9.1428571428571428E-2</v>
      </c>
      <c r="J17" s="15" cm="1">
        <f t="array" ref="J17">IFERROR((_xlfn._xlws.FILTER(INDEX(Margin[],0,MATCH(J$1&amp;"_"&amp;J$3,Margin[#Headers],0)),(Margin[Index]=J$2)*(Margin[Strategy]=J$5))*J16)/Client_Margin($B16),"-")</f>
        <v>7.5428571428571428E-2</v>
      </c>
      <c r="K17" s="15" cm="1">
        <f t="array" ref="K17">IFERROR((_xlfn._xlws.FILTER(INDEX(Margin[],0,MATCH(K$1&amp;"_"&amp;K$3,Margin[#Headers],0)),(Margin[Index]=K$2)*(Margin[Strategy]=K$5))*K16)/Client_Margin($B16),"-")</f>
        <v>0.4662857142857143</v>
      </c>
      <c r="L17" s="15" cm="1">
        <f t="array" ref="L17">IFERROR((_xlfn._xlws.FILTER(INDEX(Margin[],0,MATCH(L$1&amp;"_"&amp;L$3,Margin[#Headers],0)),(Margin[Index]=L$2)*(Margin[Strategy]=L$5))*L16)/Client_Margin($B16),"-")</f>
        <v>0</v>
      </c>
      <c r="M17" s="15" cm="1">
        <f t="array" ref="M17">IFERROR((_xlfn._xlws.FILTER(INDEX(Margin[],0,MATCH(M$1&amp;"_"&amp;M$3,Margin[#Headers],0)),(Margin[Index]=M$2)*(Margin[Strategy]=M$5))*M16)/Client_Margin($B16),"-")</f>
        <v>0</v>
      </c>
      <c r="N17" s="15" cm="1">
        <f t="array" ref="N17">IFERROR((_xlfn._xlws.FILTER(INDEX(Margin[],0,MATCH(N$1&amp;"_"&amp;N$3,Margin[#Headers],0)),(Margin[Index]=N$2)*(Margin[Strategy]=N$5))*N16)/Client_Margin($B16),"-")</f>
        <v>0.05</v>
      </c>
    </row>
    <row r="18" spans="1:14" x14ac:dyDescent="0.25">
      <c r="A18">
        <f t="shared" si="1"/>
        <v>1</v>
      </c>
      <c r="B18" s="14" t="s">
        <v>28</v>
      </c>
      <c r="C18" s="14" cm="1">
        <f t="array" ref="C18">(_xlfn._xlws.FILTER(Fund[Margin],Fund[Client Id]=B18))/10000000</f>
        <v>2.8</v>
      </c>
      <c r="D18" s="17"/>
      <c r="E18" s="14" t="str" cm="1">
        <f t="array" ref="E18">IFERROR(IF(ROUNDUP((Client_Margin($B18)*Alloted(E$3,E$2,E$5)/Get_Margin(E$3,E$2,E$5,E$1)),0)*Get_Margin(E$3,E$2,E$5,E$1)&gt;((Client_Margin($B18)*Alloted(E$3,E$2,E$5)/Get_Margin(E$3,E$2,E$5,E$1))*Get_Margin(E$3,E$2,E$5,E$1))*$C$3,ROUNDDOWN((Client_Margin($B18)*Alloted(E$3,E$2,E$5)/Get_Margin(E$3,E$2,E$5,E$1)),0),ROUNDUP((Client_Margin($B18)*Alloted(E$3,E$2,E$5)/Get_Margin(E$3,E$2,E$5,E$1)),0)),"-")</f>
        <v>-</v>
      </c>
      <c r="F18" s="14" cm="1">
        <f t="array" ref="F18">IFERROR(IF(ROUNDUP((Client_Margin($B18)*Alloted(F$3,F$2,F$5)/Get_Margin(F$3,F$2,F$5,F$1)),0)*Get_Margin(F$3,F$2,F$5,F$1)&gt;((Client_Margin($B18)*Alloted(F$3,F$2,F$5)/Get_Margin(F$3,F$2,F$5,F$1))*Get_Margin(F$3,F$2,F$5,F$1))*$C$3,ROUNDDOWN((Client_Margin($B18)*Alloted(F$3,F$2,F$5)/Get_Margin(F$3,F$2,F$5,F$1)),0),ROUNDUP((Client_Margin($B18)*Alloted(F$3,F$2,F$5)/Get_Margin(F$3,F$2,F$5,F$1)),0)),"-")</f>
        <v>9</v>
      </c>
      <c r="G18" s="14" cm="1">
        <f t="array" ref="G18">IFERROR(IF(ROUNDUP((Client_Margin($B18)*Alloted(G$3,G$2,G$5)/Get_Margin(G$3,G$2,G$5,G$1)),0)*Get_Margin(G$3,G$2,G$5,G$1)&gt;((Client_Margin($B18)*Alloted(G$3,G$2,G$5)/Get_Margin(G$3,G$2,G$5,G$1))*Get_Margin(G$3,G$2,G$5,G$1))*$C$3,ROUNDDOWN((Client_Margin($B18)*Alloted(G$3,G$2,G$5)/Get_Margin(G$3,G$2,G$5,G$1)),0),ROUNDUP((Client_Margin($B18)*Alloted(G$3,G$2,G$5)/Get_Margin(G$3,G$2,G$5,G$1)),0)),"-")</f>
        <v>4</v>
      </c>
      <c r="H18" s="14" cm="1">
        <f t="array" ref="H18">IFERROR(IF(ROUNDUP((Client_Margin($B18)*Alloted(H$3,H$2,H$5)/Get_Margin(H$3,H$2,H$5,H$1)),0)*Get_Margin(H$3,H$2,H$5,H$1)&gt;((Client_Margin($B18)*Alloted(H$3,H$2,H$5)/Get_Margin(H$3,H$2,H$5,H$1))*Get_Margin(H$3,H$2,H$5,H$1))*$C$3,ROUNDDOWN((Client_Margin($B18)*Alloted(H$3,H$2,H$5)/Get_Margin(H$3,H$2,H$5,H$1)),0),ROUNDUP((Client_Margin($B18)*Alloted(H$3,H$2,H$5)/Get_Margin(H$3,H$2,H$5,H$1)),0)),"-")</f>
        <v>1</v>
      </c>
      <c r="I18" s="14" cm="1">
        <f t="array" ref="I18">IFERROR(IF(ROUNDUP((Client_Margin($B18)*Alloted(I$3,I$2,I$5)/Get_Margin(I$3,I$2,I$5,I$1)),0)*Get_Margin(I$3,I$2,I$5,I$1)&gt;((Client_Margin($B18)*Alloted(I$3,I$2,I$5)/Get_Margin(I$3,I$2,I$5,I$1))*Get_Margin(I$3,I$2,I$5,I$1))*$C$3,ROUNDDOWN((Client_Margin($B18)*Alloted(I$3,I$2,I$5)/Get_Margin(I$3,I$2,I$5,I$1)),0),ROUNDUP((Client_Margin($B18)*Alloted(I$3,I$2,I$5)/Get_Margin(I$3,I$2,I$5,I$1)),0)),"-")</f>
        <v>2</v>
      </c>
      <c r="J18" s="14" cm="1">
        <f t="array" ref="J18">IFERROR(IF(ROUNDUP((Client_Margin($B18)*Alloted(J$3,J$2,J$5)/Get_Margin(J$3,J$2,J$5,J$1)),0)*Get_Margin(J$3,J$2,J$5,J$1)&gt;((Client_Margin($B18)*Alloted(J$3,J$2,J$5)/Get_Margin(J$3,J$2,J$5,J$1))*Get_Margin(J$3,J$2,J$5,J$1))*$C$3,ROUNDDOWN((Client_Margin($B18)*Alloted(J$3,J$2,J$5)/Get_Margin(J$3,J$2,J$5,J$1)),0),ROUNDUP((Client_Margin($B18)*Alloted(J$3,J$2,J$5)/Get_Margin(J$3,J$2,J$5,J$1)),0)),"-")</f>
        <v>1</v>
      </c>
      <c r="K18" s="14" cm="1">
        <f t="array" ref="K18">IFERROR(IF(ROUNDUP((Client_Margin($B18)*Alloted(K$3,K$2,K$5)/Get_Margin(K$3,K$2,K$5,K$1)),0)*Get_Margin(K$3,K$2,K$5,K$1)&gt;((Client_Margin($B18)*Alloted(K$3,K$2,K$5)/Get_Margin(K$3,K$2,K$5,K$1))*Get_Margin(K$3,K$2,K$5,K$1))*$C$3,ROUNDDOWN((Client_Margin($B18)*Alloted(K$3,K$2,K$5)/Get_Margin(K$3,K$2,K$5,K$1)),0),ROUNDUP((Client_Margin($B18)*Alloted(K$3,K$2,K$5)/Get_Margin(K$3,K$2,K$5,K$1)),0)),"-")</f>
        <v>14</v>
      </c>
      <c r="L18" s="14" cm="1">
        <f t="array" ref="L18">IFERROR(IF(ROUNDUP((Client_Margin($B18)*Alloted(L$3,L$2,L$5)/Get_Margin(L$3,L$2,L$5,L$1)),0)*Get_Margin(L$3,L$2,L$5,L$1)&gt;((Client_Margin($B18)*Alloted(L$3,L$2,L$5)/Get_Margin(L$3,L$2,L$5,L$1))*Get_Margin(L$3,L$2,L$5,L$1))*$C$3,ROUNDDOWN((Client_Margin($B18)*Alloted(L$3,L$2,L$5)/Get_Margin(L$3,L$2,L$5,L$1)),0),ROUNDUP((Client_Margin($B18)*Alloted(L$3,L$2,L$5)/Get_Margin(L$3,L$2,L$5,L$1)),0)),"-")</f>
        <v>0</v>
      </c>
      <c r="M18" s="14" cm="1">
        <f t="array" ref="M18">IFERROR(IF(ROUNDUP((Client_Margin($B18)*Alloted(M$3,M$2,M$5)/Get_Margin(M$3,M$2,M$5,M$1)),0)*Get_Margin(M$3,M$2,M$5,M$1)&gt;((Client_Margin($B18)*Alloted(M$3,M$2,M$5)/Get_Margin(M$3,M$2,M$5,M$1))*Get_Margin(M$3,M$2,M$5,M$1))*$C$3,ROUNDDOWN((Client_Margin($B18)*Alloted(M$3,M$2,M$5)/Get_Margin(M$3,M$2,M$5,M$1)),0),ROUNDUP((Client_Margin($B18)*Alloted(M$3,M$2,M$5)/Get_Margin(M$3,M$2,M$5,M$1)),0)),"-")</f>
        <v>0</v>
      </c>
      <c r="N18" s="14" cm="1">
        <f t="array" ref="N18">IFERROR(IF(ROUNDUP((Client_Margin($B18)*Alloted(N$3,N$2,N$5)/Get_Margin(N$3,N$2,N$5,N$1)),0)*Get_Margin(N$3,N$2,N$5,N$1)&gt;((Client_Margin($B18)*Alloted(N$3,N$2,N$5)/Get_Margin(N$3,N$2,N$5,N$1))*Get_Margin(N$3,N$2,N$5,N$1))*$C$3,ROUNDDOWN((Client_Margin($B18)*Alloted(N$3,N$2,N$5)/Get_Margin(N$3,N$2,N$5,N$1)),0),ROUNDUP((Client_Margin($B18)*Alloted(N$3,N$2,N$5)/Get_Margin(N$3,N$2,N$5,N$1)),0)),"-")</f>
        <v>4</v>
      </c>
    </row>
    <row r="19" spans="1:14" x14ac:dyDescent="0.25">
      <c r="A19">
        <f t="shared" si="1"/>
        <v>0</v>
      </c>
      <c r="B19" s="14"/>
      <c r="C19" s="14"/>
      <c r="D19" s="15">
        <f>SUM(E19:N19)</f>
        <v>0.95628571428571429</v>
      </c>
      <c r="E19" s="15" t="str" cm="1">
        <f t="array" ref="E19">IFERROR((_xlfn._xlws.FILTER(INDEX(Margin[],0,MATCH(E$1&amp;"_"&amp;E$3,Margin[#Headers],0)),(Margin[Index]=E$2)*(Margin[Strategy]=E$5))*E18)/Client_Margin($B18),"-")</f>
        <v>-</v>
      </c>
      <c r="F19" s="15" cm="1">
        <f t="array" ref="F19">IFERROR((_xlfn._xlws.FILTER(INDEX(Margin[],0,MATCH(F$1&amp;"_"&amp;F$3,Margin[#Headers],0)),(Margin[Index]=F$2)*(Margin[Strategy]=F$5))*F18)/Client_Margin($B18),"-")</f>
        <v>5.1428571428571428E-2</v>
      </c>
      <c r="G19" s="15" cm="1">
        <f t="array" ref="G19">IFERROR((_xlfn._xlws.FILTER(INDEX(Margin[],0,MATCH(G$1&amp;"_"&amp;G$3,Margin[#Headers],0)),(Margin[Index]=G$2)*(Margin[Strategy]=G$5))*G18)/Client_Margin($B18),"-")</f>
        <v>9.9428571428571422E-2</v>
      </c>
      <c r="H19" s="15" cm="1">
        <f t="array" ref="H19">IFERROR((_xlfn._xlws.FILTER(INDEX(Margin[],0,MATCH(H$1&amp;"_"&amp;H$3,Margin[#Headers],0)),(Margin[Index]=H$2)*(Margin[Strategy]=H$5))*H18)/Client_Margin($B18),"-")</f>
        <v>6.6857142857142851E-2</v>
      </c>
      <c r="I19" s="15" cm="1">
        <f t="array" ref="I19">IFERROR((_xlfn._xlws.FILTER(INDEX(Margin[],0,MATCH(I$1&amp;"_"&amp;I$3,Margin[#Headers],0)),(Margin[Index]=I$2)*(Margin[Strategy]=I$5))*I18)/Client_Margin($B18),"-")</f>
        <v>0.11428571428571428</v>
      </c>
      <c r="J19" s="15" cm="1">
        <f t="array" ref="J19">IFERROR((_xlfn._xlws.FILTER(INDEX(Margin[],0,MATCH(J$1&amp;"_"&amp;J$3,Margin[#Headers],0)),(Margin[Index]=J$2)*(Margin[Strategy]=J$5))*J18)/Client_Margin($B18),"-")</f>
        <v>9.4285714285714292E-2</v>
      </c>
      <c r="K19" s="15" cm="1">
        <f t="array" ref="K19">IFERROR((_xlfn._xlws.FILTER(INDEX(Margin[],0,MATCH(K$1&amp;"_"&amp;K$3,Margin[#Headers],0)),(Margin[Index]=K$2)*(Margin[Strategy]=K$5))*K18)/Client_Margin($B18),"-")</f>
        <v>0.48</v>
      </c>
      <c r="L19" s="15" cm="1">
        <f t="array" ref="L19">IFERROR((_xlfn._xlws.FILTER(INDEX(Margin[],0,MATCH(L$1&amp;"_"&amp;L$3,Margin[#Headers],0)),(Margin[Index]=L$2)*(Margin[Strategy]=L$5))*L18)/Client_Margin($B18),"-")</f>
        <v>0</v>
      </c>
      <c r="M19" s="15" cm="1">
        <f t="array" ref="M19">IFERROR((_xlfn._xlws.FILTER(INDEX(Margin[],0,MATCH(M$1&amp;"_"&amp;M$3,Margin[#Headers],0)),(Margin[Index]=M$2)*(Margin[Strategy]=M$5))*M18)/Client_Margin($B18),"-")</f>
        <v>0</v>
      </c>
      <c r="N19" s="15" cm="1">
        <f t="array" ref="N19">IFERROR((_xlfn._xlws.FILTER(INDEX(Margin[],0,MATCH(N$1&amp;"_"&amp;N$3,Margin[#Headers],0)),(Margin[Index]=N$2)*(Margin[Strategy]=N$5))*N18)/Client_Margin($B18),"-")</f>
        <v>0.05</v>
      </c>
    </row>
    <row r="20" spans="1:14" x14ac:dyDescent="0.25">
      <c r="A20">
        <f t="shared" si="1"/>
        <v>1</v>
      </c>
      <c r="B20" s="14" t="s">
        <v>48</v>
      </c>
      <c r="C20" s="14" cm="1">
        <f t="array" ref="C20">(_xlfn._xlws.FILTER(Fund[Margin],Fund[Client Id]=B20))/10000000</f>
        <v>2.9</v>
      </c>
      <c r="D20" s="17"/>
      <c r="E20" s="14" t="str" cm="1">
        <f t="array" ref="E20">IFERROR(IF(ROUNDUP((Client_Margin($B20)*Alloted(E$3,E$2,E$5)/Get_Margin(E$3,E$2,E$5,E$1)),0)*Get_Margin(E$3,E$2,E$5,E$1)&gt;((Client_Margin($B20)*Alloted(E$3,E$2,E$5)/Get_Margin(E$3,E$2,E$5,E$1))*Get_Margin(E$3,E$2,E$5,E$1))*$C$3,ROUNDDOWN((Client_Margin($B20)*Alloted(E$3,E$2,E$5)/Get_Margin(E$3,E$2,E$5,E$1)),0),ROUNDUP((Client_Margin($B20)*Alloted(E$3,E$2,E$5)/Get_Margin(E$3,E$2,E$5,E$1)),0)),"-")</f>
        <v>-</v>
      </c>
      <c r="F20" s="14" cm="1">
        <f t="array" ref="F20">IFERROR(IF(ROUNDUP((Client_Margin($B20)*Alloted(F$3,F$2,F$5)/Get_Margin(F$3,F$2,F$5,F$1)),0)*Get_Margin(F$3,F$2,F$5,F$1)&gt;((Client_Margin($B20)*Alloted(F$3,F$2,F$5)/Get_Margin(F$3,F$2,F$5,F$1))*Get_Margin(F$3,F$2,F$5,F$1))*$C$3,ROUNDDOWN((Client_Margin($B20)*Alloted(F$3,F$2,F$5)/Get_Margin(F$3,F$2,F$5,F$1)),0),ROUNDUP((Client_Margin($B20)*Alloted(F$3,F$2,F$5)/Get_Margin(F$3,F$2,F$5,F$1)),0)),"-")</f>
        <v>10</v>
      </c>
      <c r="G20" s="14" cm="1">
        <f t="array" ref="G20">IFERROR(IF(ROUNDUP((Client_Margin($B20)*Alloted(G$3,G$2,G$5)/Get_Margin(G$3,G$2,G$5,G$1)),0)*Get_Margin(G$3,G$2,G$5,G$1)&gt;((Client_Margin($B20)*Alloted(G$3,G$2,G$5)/Get_Margin(G$3,G$2,G$5,G$1))*Get_Margin(G$3,G$2,G$5,G$1))*$C$3,ROUNDDOWN((Client_Margin($B20)*Alloted(G$3,G$2,G$5)/Get_Margin(G$3,G$2,G$5,G$1)),0),ROUNDUP((Client_Margin($B20)*Alloted(G$3,G$2,G$5)/Get_Margin(G$3,G$2,G$5,G$1)),0)),"-")</f>
        <v>4</v>
      </c>
      <c r="H20" s="14" cm="1">
        <f t="array" ref="H20">IFERROR(IF(ROUNDUP((Client_Margin($B20)*Alloted(H$3,H$2,H$5)/Get_Margin(H$3,H$2,H$5,H$1)),0)*Get_Margin(H$3,H$2,H$5,H$1)&gt;((Client_Margin($B20)*Alloted(H$3,H$2,H$5)/Get_Margin(H$3,H$2,H$5,H$1))*Get_Margin(H$3,H$2,H$5,H$1))*$C$3,ROUNDDOWN((Client_Margin($B20)*Alloted(H$3,H$2,H$5)/Get_Margin(H$3,H$2,H$5,H$1)),0),ROUNDUP((Client_Margin($B20)*Alloted(H$3,H$2,H$5)/Get_Margin(H$3,H$2,H$5,H$1)),0)),"-")</f>
        <v>1</v>
      </c>
      <c r="I20" s="14" cm="1">
        <f t="array" ref="I20">IFERROR(IF(ROUNDUP((Client_Margin($B20)*Alloted(I$3,I$2,I$5)/Get_Margin(I$3,I$2,I$5,I$1)),0)*Get_Margin(I$3,I$2,I$5,I$1)&gt;((Client_Margin($B20)*Alloted(I$3,I$2,I$5)/Get_Margin(I$3,I$2,I$5,I$1))*Get_Margin(I$3,I$2,I$5,I$1))*$C$3,ROUNDDOWN((Client_Margin($B20)*Alloted(I$3,I$2,I$5)/Get_Margin(I$3,I$2,I$5,I$1)),0),ROUNDUP((Client_Margin($B20)*Alloted(I$3,I$2,I$5)/Get_Margin(I$3,I$2,I$5,I$1)),0)),"-")</f>
        <v>2</v>
      </c>
      <c r="J20" s="14" cm="1">
        <f t="array" ref="J20">IFERROR(IF(ROUNDUP((Client_Margin($B20)*Alloted(J$3,J$2,J$5)/Get_Margin(J$3,J$2,J$5,J$1)),0)*Get_Margin(J$3,J$2,J$5,J$1)&gt;((Client_Margin($B20)*Alloted(J$3,J$2,J$5)/Get_Margin(J$3,J$2,J$5,J$1))*Get_Margin(J$3,J$2,J$5,J$1))*$C$3,ROUNDDOWN((Client_Margin($B20)*Alloted(J$3,J$2,J$5)/Get_Margin(J$3,J$2,J$5,J$1)),0),ROUNDUP((Client_Margin($B20)*Alloted(J$3,J$2,J$5)/Get_Margin(J$3,J$2,J$5,J$1)),0)),"-")</f>
        <v>1</v>
      </c>
      <c r="K20" s="14" cm="1">
        <f t="array" ref="K20">IFERROR(IF(ROUNDUP((Client_Margin($B20)*Alloted(K$3,K$2,K$5)/Get_Margin(K$3,K$2,K$5,K$1)),0)*Get_Margin(K$3,K$2,K$5,K$1)&gt;((Client_Margin($B20)*Alloted(K$3,K$2,K$5)/Get_Margin(K$3,K$2,K$5,K$1))*Get_Margin(K$3,K$2,K$5,K$1))*$C$3,ROUNDDOWN((Client_Margin($B20)*Alloted(K$3,K$2,K$5)/Get_Margin(K$3,K$2,K$5,K$1)),0),ROUNDUP((Client_Margin($B20)*Alloted(K$3,K$2,K$5)/Get_Margin(K$3,K$2,K$5,K$1)),0)),"-")</f>
        <v>14</v>
      </c>
      <c r="L20" s="14" cm="1">
        <f t="array" ref="L20">IFERROR(IF(ROUNDUP((Client_Margin($B20)*Alloted(L$3,L$2,L$5)/Get_Margin(L$3,L$2,L$5,L$1)),0)*Get_Margin(L$3,L$2,L$5,L$1)&gt;((Client_Margin($B20)*Alloted(L$3,L$2,L$5)/Get_Margin(L$3,L$2,L$5,L$1))*Get_Margin(L$3,L$2,L$5,L$1))*$C$3,ROUNDDOWN((Client_Margin($B20)*Alloted(L$3,L$2,L$5)/Get_Margin(L$3,L$2,L$5,L$1)),0),ROUNDUP((Client_Margin($B20)*Alloted(L$3,L$2,L$5)/Get_Margin(L$3,L$2,L$5,L$1)),0)),"-")</f>
        <v>0</v>
      </c>
      <c r="M20" s="14" cm="1">
        <f t="array" ref="M20">IFERROR(IF(ROUNDUP((Client_Margin($B20)*Alloted(M$3,M$2,M$5)/Get_Margin(M$3,M$2,M$5,M$1)),0)*Get_Margin(M$3,M$2,M$5,M$1)&gt;((Client_Margin($B20)*Alloted(M$3,M$2,M$5)/Get_Margin(M$3,M$2,M$5,M$1))*Get_Margin(M$3,M$2,M$5,M$1))*$C$3,ROUNDDOWN((Client_Margin($B20)*Alloted(M$3,M$2,M$5)/Get_Margin(M$3,M$2,M$5,M$1)),0),ROUNDUP((Client_Margin($B20)*Alloted(M$3,M$2,M$5)/Get_Margin(M$3,M$2,M$5,M$1)),0)),"-")</f>
        <v>0</v>
      </c>
      <c r="N20" s="14" cm="1">
        <f t="array" ref="N20">IFERROR(IF(ROUNDUP((Client_Margin($B20)*Alloted(N$3,N$2,N$5)/Get_Margin(N$3,N$2,N$5,N$1)),0)*Get_Margin(N$3,N$2,N$5,N$1)&gt;((Client_Margin($B20)*Alloted(N$3,N$2,N$5)/Get_Margin(N$3,N$2,N$5,N$1))*Get_Margin(N$3,N$2,N$5,N$1))*$C$3,ROUNDDOWN((Client_Margin($B20)*Alloted(N$3,N$2,N$5)/Get_Margin(N$3,N$2,N$5,N$1)),0),ROUNDUP((Client_Margin($B20)*Alloted(N$3,N$2,N$5)/Get_Margin(N$3,N$2,N$5,N$1)),0)),"-")</f>
        <v>4</v>
      </c>
    </row>
    <row r="21" spans="1:14" x14ac:dyDescent="0.25">
      <c r="A21">
        <f t="shared" si="1"/>
        <v>0</v>
      </c>
      <c r="B21" s="14"/>
      <c r="C21" s="14"/>
      <c r="D21" s="15">
        <f>SUM(E21:N21)</f>
        <v>0.92882758620689654</v>
      </c>
      <c r="E21" s="15" t="str" cm="1">
        <f t="array" ref="E21">IFERROR((_xlfn._xlws.FILTER(INDEX(Margin[],0,MATCH(E$1&amp;"_"&amp;E$3,Margin[#Headers],0)),(Margin[Index]=E$2)*(Margin[Strategy]=E$5))*E20)/Client_Margin($B20),"-")</f>
        <v>-</v>
      </c>
      <c r="F21" s="15" cm="1">
        <f t="array" ref="F21">IFERROR((_xlfn._xlws.FILTER(INDEX(Margin[],0,MATCH(F$1&amp;"_"&amp;F$3,Margin[#Headers],0)),(Margin[Index]=F$2)*(Margin[Strategy]=F$5))*F20)/Client_Margin($B20),"-")</f>
        <v>5.5172413793103448E-2</v>
      </c>
      <c r="G21" s="15" cm="1">
        <f t="array" ref="G21">IFERROR((_xlfn._xlws.FILTER(INDEX(Margin[],0,MATCH(G$1&amp;"_"&amp;G$3,Margin[#Headers],0)),(Margin[Index]=G$2)*(Margin[Strategy]=G$5))*G20)/Client_Margin($B20),"-")</f>
        <v>9.6000000000000002E-2</v>
      </c>
      <c r="H21" s="15" cm="1">
        <f t="array" ref="H21">IFERROR((_xlfn._xlws.FILTER(INDEX(Margin[],0,MATCH(H$1&amp;"_"&amp;H$3,Margin[#Headers],0)),(Margin[Index]=H$2)*(Margin[Strategy]=H$5))*H20)/Client_Margin($B20),"-")</f>
        <v>6.4551724137931032E-2</v>
      </c>
      <c r="I21" s="15" cm="1">
        <f t="array" ref="I21">IFERROR((_xlfn._xlws.FILTER(INDEX(Margin[],0,MATCH(I$1&amp;"_"&amp;I$3,Margin[#Headers],0)),(Margin[Index]=I$2)*(Margin[Strategy]=I$5))*I20)/Client_Margin($B20),"-")</f>
        <v>0.1103448275862069</v>
      </c>
      <c r="J21" s="15" cm="1">
        <f t="array" ref="J21">IFERROR((_xlfn._xlws.FILTER(INDEX(Margin[],0,MATCH(J$1&amp;"_"&amp;J$3,Margin[#Headers],0)),(Margin[Index]=J$2)*(Margin[Strategy]=J$5))*J20)/Client_Margin($B20),"-")</f>
        <v>9.1034482758620694E-2</v>
      </c>
      <c r="K21" s="15" cm="1">
        <f t="array" ref="K21">IFERROR((_xlfn._xlws.FILTER(INDEX(Margin[],0,MATCH(K$1&amp;"_"&amp;K$3,Margin[#Headers],0)),(Margin[Index]=K$2)*(Margin[Strategy]=K$5))*K20)/Client_Margin($B20),"-")</f>
        <v>0.46344827586206899</v>
      </c>
      <c r="L21" s="15" cm="1">
        <f t="array" ref="L21">IFERROR((_xlfn._xlws.FILTER(INDEX(Margin[],0,MATCH(L$1&amp;"_"&amp;L$3,Margin[#Headers],0)),(Margin[Index]=L$2)*(Margin[Strategy]=L$5))*L20)/Client_Margin($B20),"-")</f>
        <v>0</v>
      </c>
      <c r="M21" s="15" cm="1">
        <f t="array" ref="M21">IFERROR((_xlfn._xlws.FILTER(INDEX(Margin[],0,MATCH(M$1&amp;"_"&amp;M$3,Margin[#Headers],0)),(Margin[Index]=M$2)*(Margin[Strategy]=M$5))*M20)/Client_Margin($B20),"-")</f>
        <v>0</v>
      </c>
      <c r="N21" s="15" cm="1">
        <f t="array" ref="N21">IFERROR((_xlfn._xlws.FILTER(INDEX(Margin[],0,MATCH(N$1&amp;"_"&amp;N$3,Margin[#Headers],0)),(Margin[Index]=N$2)*(Margin[Strategy]=N$5))*N20)/Client_Margin($B20),"-")</f>
        <v>4.8275862068965517E-2</v>
      </c>
    </row>
    <row r="22" spans="1:14" x14ac:dyDescent="0.25">
      <c r="A22">
        <f t="shared" si="1"/>
        <v>1</v>
      </c>
      <c r="B22" s="14" t="s">
        <v>53</v>
      </c>
      <c r="C22" s="14" cm="1">
        <f t="array" ref="C22">(_xlfn._xlws.FILTER(Fund[Margin],Fund[Client Id]=B22))/10000000</f>
        <v>2.4</v>
      </c>
      <c r="D22" s="17"/>
      <c r="E22" s="14" t="str" cm="1">
        <f t="array" ref="E22">IFERROR(IF(ROUNDUP((Client_Margin($B22)*Alloted(E$3,E$2,E$5)/Get_Margin(E$3,E$2,E$5,E$1)),0)*Get_Margin(E$3,E$2,E$5,E$1)&gt;((Client_Margin($B22)*Alloted(E$3,E$2,E$5)/Get_Margin(E$3,E$2,E$5,E$1))*Get_Margin(E$3,E$2,E$5,E$1))*$C$3,ROUNDDOWN((Client_Margin($B22)*Alloted(E$3,E$2,E$5)/Get_Margin(E$3,E$2,E$5,E$1)),0),ROUNDUP((Client_Margin($B22)*Alloted(E$3,E$2,E$5)/Get_Margin(E$3,E$2,E$5,E$1)),0)),"-")</f>
        <v>-</v>
      </c>
      <c r="F22" s="14" cm="1">
        <f t="array" ref="F22">IFERROR(IF(ROUNDUP((Client_Margin($B22)*Alloted(F$3,F$2,F$5)/Get_Margin(F$3,F$2,F$5,F$1)),0)*Get_Margin(F$3,F$2,F$5,F$1)&gt;((Client_Margin($B22)*Alloted(F$3,F$2,F$5)/Get_Margin(F$3,F$2,F$5,F$1))*Get_Margin(F$3,F$2,F$5,F$1))*$C$3,ROUNDDOWN((Client_Margin($B22)*Alloted(F$3,F$2,F$5)/Get_Margin(F$3,F$2,F$5,F$1)),0),ROUNDUP((Client_Margin($B22)*Alloted(F$3,F$2,F$5)/Get_Margin(F$3,F$2,F$5,F$1)),0)),"-")</f>
        <v>8</v>
      </c>
      <c r="G22" s="14" cm="1">
        <f t="array" ref="G22">IFERROR(IF(ROUNDUP((Client_Margin($B22)*Alloted(G$3,G$2,G$5)/Get_Margin(G$3,G$2,G$5,G$1)),0)*Get_Margin(G$3,G$2,G$5,G$1)&gt;((Client_Margin($B22)*Alloted(G$3,G$2,G$5)/Get_Margin(G$3,G$2,G$5,G$1))*Get_Margin(G$3,G$2,G$5,G$1))*$C$3,ROUNDDOWN((Client_Margin($B22)*Alloted(G$3,G$2,G$5)/Get_Margin(G$3,G$2,G$5,G$1)),0),ROUNDUP((Client_Margin($B22)*Alloted(G$3,G$2,G$5)/Get_Margin(G$3,G$2,G$5,G$1)),0)),"-")</f>
        <v>3</v>
      </c>
      <c r="H22" s="14" cm="1">
        <f t="array" ref="H22">IFERROR(IF(ROUNDUP((Client_Margin($B22)*Alloted(H$3,H$2,H$5)/Get_Margin(H$3,H$2,H$5,H$1)),0)*Get_Margin(H$3,H$2,H$5,H$1)&gt;((Client_Margin($B22)*Alloted(H$3,H$2,H$5)/Get_Margin(H$3,H$2,H$5,H$1))*Get_Margin(H$3,H$2,H$5,H$1))*$C$3,ROUNDDOWN((Client_Margin($B22)*Alloted(H$3,H$2,H$5)/Get_Margin(H$3,H$2,H$5,H$1)),0),ROUNDUP((Client_Margin($B22)*Alloted(H$3,H$2,H$5)/Get_Margin(H$3,H$2,H$5,H$1)),0)),"-")</f>
        <v>1</v>
      </c>
      <c r="I22" s="14" cm="1">
        <f t="array" ref="I22">IFERROR(IF(ROUNDUP((Client_Margin($B22)*Alloted(I$3,I$2,I$5)/Get_Margin(I$3,I$2,I$5,I$1)),0)*Get_Margin(I$3,I$2,I$5,I$1)&gt;((Client_Margin($B22)*Alloted(I$3,I$2,I$5)/Get_Margin(I$3,I$2,I$5,I$1))*Get_Margin(I$3,I$2,I$5,I$1))*$C$3,ROUNDDOWN((Client_Margin($B22)*Alloted(I$3,I$2,I$5)/Get_Margin(I$3,I$2,I$5,I$1)),0),ROUNDUP((Client_Margin($B22)*Alloted(I$3,I$2,I$5)/Get_Margin(I$3,I$2,I$5,I$1)),0)),"-")</f>
        <v>1</v>
      </c>
      <c r="J22" s="14" cm="1">
        <f t="array" ref="J22">IFERROR(IF(ROUNDUP((Client_Margin($B22)*Alloted(J$3,J$2,J$5)/Get_Margin(J$3,J$2,J$5,J$1)),0)*Get_Margin(J$3,J$2,J$5,J$1)&gt;((Client_Margin($B22)*Alloted(J$3,J$2,J$5)/Get_Margin(J$3,J$2,J$5,J$1))*Get_Margin(J$3,J$2,J$5,J$1))*$C$3,ROUNDDOWN((Client_Margin($B22)*Alloted(J$3,J$2,J$5)/Get_Margin(J$3,J$2,J$5,J$1)),0),ROUNDUP((Client_Margin($B22)*Alloted(J$3,J$2,J$5)/Get_Margin(J$3,J$2,J$5,J$1)),0)),"-")</f>
        <v>1</v>
      </c>
      <c r="K22" s="14" cm="1">
        <f t="array" ref="K22">IFERROR(IF(ROUNDUP((Client_Margin($B22)*Alloted(K$3,K$2,K$5)/Get_Margin(K$3,K$2,K$5,K$1)),0)*Get_Margin(K$3,K$2,K$5,K$1)&gt;((Client_Margin($B22)*Alloted(K$3,K$2,K$5)/Get_Margin(K$3,K$2,K$5,K$1))*Get_Margin(K$3,K$2,K$5,K$1))*$C$3,ROUNDDOWN((Client_Margin($B22)*Alloted(K$3,K$2,K$5)/Get_Margin(K$3,K$2,K$5,K$1)),0),ROUNDUP((Client_Margin($B22)*Alloted(K$3,K$2,K$5)/Get_Margin(K$3,K$2,K$5,K$1)),0)),"-")</f>
        <v>12</v>
      </c>
      <c r="L22" s="14" cm="1">
        <f t="array" ref="L22">IFERROR(IF(ROUNDUP((Client_Margin($B22)*Alloted(L$3,L$2,L$5)/Get_Margin(L$3,L$2,L$5,L$1)),0)*Get_Margin(L$3,L$2,L$5,L$1)&gt;((Client_Margin($B22)*Alloted(L$3,L$2,L$5)/Get_Margin(L$3,L$2,L$5,L$1))*Get_Margin(L$3,L$2,L$5,L$1))*$C$3,ROUNDDOWN((Client_Margin($B22)*Alloted(L$3,L$2,L$5)/Get_Margin(L$3,L$2,L$5,L$1)),0),ROUNDUP((Client_Margin($B22)*Alloted(L$3,L$2,L$5)/Get_Margin(L$3,L$2,L$5,L$1)),0)),"-")</f>
        <v>0</v>
      </c>
      <c r="M22" s="14" cm="1">
        <f t="array" ref="M22">IFERROR(IF(ROUNDUP((Client_Margin($B22)*Alloted(M$3,M$2,M$5)/Get_Margin(M$3,M$2,M$5,M$1)),0)*Get_Margin(M$3,M$2,M$5,M$1)&gt;((Client_Margin($B22)*Alloted(M$3,M$2,M$5)/Get_Margin(M$3,M$2,M$5,M$1))*Get_Margin(M$3,M$2,M$5,M$1))*$C$3,ROUNDDOWN((Client_Margin($B22)*Alloted(M$3,M$2,M$5)/Get_Margin(M$3,M$2,M$5,M$1)),0),ROUNDUP((Client_Margin($B22)*Alloted(M$3,M$2,M$5)/Get_Margin(M$3,M$2,M$5,M$1)),0)),"-")</f>
        <v>0</v>
      </c>
      <c r="N22" s="14" cm="1">
        <f t="array" ref="N22">IFERROR(IF(ROUNDUP((Client_Margin($B22)*Alloted(N$3,N$2,N$5)/Get_Margin(N$3,N$2,N$5,N$1)),0)*Get_Margin(N$3,N$2,N$5,N$1)&gt;((Client_Margin($B22)*Alloted(N$3,N$2,N$5)/Get_Margin(N$3,N$2,N$5,N$1))*Get_Margin(N$3,N$2,N$5,N$1))*$C$3,ROUNDDOWN((Client_Margin($B22)*Alloted(N$3,N$2,N$5)/Get_Margin(N$3,N$2,N$5,N$1)),0),ROUNDUP((Client_Margin($B22)*Alloted(N$3,N$2,N$5)/Get_Margin(N$3,N$2,N$5,N$1)),0)),"-")</f>
        <v>3</v>
      </c>
    </row>
    <row r="23" spans="1:14" x14ac:dyDescent="0.25">
      <c r="A23">
        <f t="shared" si="1"/>
        <v>0</v>
      </c>
      <c r="B23" s="14"/>
      <c r="C23" s="14"/>
      <c r="D23" s="15">
        <f>SUM(E23:N23)</f>
        <v>0.91874999999999996</v>
      </c>
      <c r="E23" s="15" t="str" cm="1">
        <f t="array" ref="E23">IFERROR((_xlfn._xlws.FILTER(INDEX(Margin[],0,MATCH(E$1&amp;"_"&amp;E$3,Margin[#Headers],0)),(Margin[Index]=E$2)*(Margin[Strategy]=E$5))*E22)/Client_Margin($B22),"-")</f>
        <v>-</v>
      </c>
      <c r="F23" s="15" cm="1">
        <f t="array" ref="F23">IFERROR((_xlfn._xlws.FILTER(INDEX(Margin[],0,MATCH(F$1&amp;"_"&amp;F$3,Margin[#Headers],0)),(Margin[Index]=F$2)*(Margin[Strategy]=F$5))*F22)/Client_Margin($B22),"-")</f>
        <v>5.3333333333333337E-2</v>
      </c>
      <c r="G23" s="15" cm="1">
        <f t="array" ref="G23">IFERROR((_xlfn._xlws.FILTER(INDEX(Margin[],0,MATCH(G$1&amp;"_"&amp;G$3,Margin[#Headers],0)),(Margin[Index]=G$2)*(Margin[Strategy]=G$5))*G22)/Client_Margin($B22),"-")</f>
        <v>8.6999999999999994E-2</v>
      </c>
      <c r="H23" s="15" cm="1">
        <f t="array" ref="H23">IFERROR((_xlfn._xlws.FILTER(INDEX(Margin[],0,MATCH(H$1&amp;"_"&amp;H$3,Margin[#Headers],0)),(Margin[Index]=H$2)*(Margin[Strategy]=H$5))*H22)/Client_Margin($B22),"-")</f>
        <v>7.8E-2</v>
      </c>
      <c r="I23" s="15" cm="1">
        <f t="array" ref="I23">IFERROR((_xlfn._xlws.FILTER(INDEX(Margin[],0,MATCH(I$1&amp;"_"&amp;I$3,Margin[#Headers],0)),(Margin[Index]=I$2)*(Margin[Strategy]=I$5))*I22)/Client_Margin($B22),"-")</f>
        <v>6.6666666666666666E-2</v>
      </c>
      <c r="J23" s="15" cm="1">
        <f t="array" ref="J23">IFERROR((_xlfn._xlws.FILTER(INDEX(Margin[],0,MATCH(J$1&amp;"_"&amp;J$3,Margin[#Headers],0)),(Margin[Index]=J$2)*(Margin[Strategy]=J$5))*J22)/Client_Margin($B22),"-")</f>
        <v>0.11</v>
      </c>
      <c r="K23" s="15" cm="1">
        <f t="array" ref="K23">IFERROR((_xlfn._xlws.FILTER(INDEX(Margin[],0,MATCH(K$1&amp;"_"&amp;K$3,Margin[#Headers],0)),(Margin[Index]=K$2)*(Margin[Strategy]=K$5))*K22)/Client_Margin($B22),"-")</f>
        <v>0.48</v>
      </c>
      <c r="L23" s="15" cm="1">
        <f t="array" ref="L23">IFERROR((_xlfn._xlws.FILTER(INDEX(Margin[],0,MATCH(L$1&amp;"_"&amp;L$3,Margin[#Headers],0)),(Margin[Index]=L$2)*(Margin[Strategy]=L$5))*L22)/Client_Margin($B22),"-")</f>
        <v>0</v>
      </c>
      <c r="M23" s="15" cm="1">
        <f t="array" ref="M23">IFERROR((_xlfn._xlws.FILTER(INDEX(Margin[],0,MATCH(M$1&amp;"_"&amp;M$3,Margin[#Headers],0)),(Margin[Index]=M$2)*(Margin[Strategy]=M$5))*M22)/Client_Margin($B22),"-")</f>
        <v>0</v>
      </c>
      <c r="N23" s="15" cm="1">
        <f t="array" ref="N23">IFERROR((_xlfn._xlws.FILTER(INDEX(Margin[],0,MATCH(N$1&amp;"_"&amp;N$3,Margin[#Headers],0)),(Margin[Index]=N$2)*(Margin[Strategy]=N$5))*N22)/Client_Margin($B22),"-")</f>
        <v>4.3749999999999997E-2</v>
      </c>
    </row>
    <row r="24" spans="1:14" x14ac:dyDescent="0.25">
      <c r="A24">
        <f>IF(B24="",0,1)</f>
        <v>1</v>
      </c>
      <c r="B24" s="14" t="s">
        <v>44</v>
      </c>
      <c r="C24" s="14" cm="1">
        <f t="array" ref="C24">(_xlfn._xlws.FILTER(Fund[Margin],Fund[Client Id]=B24))/10000000</f>
        <v>2.4</v>
      </c>
      <c r="D24" s="17"/>
      <c r="E24" s="14" t="str" cm="1">
        <f t="array" ref="E24">IFERROR(IF(ROUNDUP((Client_Margin($B24)*Alloted(E$3,E$2,E$5)/Get_Margin(E$3,E$2,E$5,E$1)),0)*Get_Margin(E$3,E$2,E$5,E$1)&gt;((Client_Margin($B24)*Alloted(E$3,E$2,E$5)/Get_Margin(E$3,E$2,E$5,E$1))*Get_Margin(E$3,E$2,E$5,E$1))*$C$3,ROUNDDOWN((Client_Margin($B24)*Alloted(E$3,E$2,E$5)/Get_Margin(E$3,E$2,E$5,E$1)),0),ROUNDUP((Client_Margin($B24)*Alloted(E$3,E$2,E$5)/Get_Margin(E$3,E$2,E$5,E$1)),0)),"-")</f>
        <v>-</v>
      </c>
      <c r="F24" s="14" cm="1">
        <f t="array" ref="F24">IFERROR(IF(ROUNDUP((Client_Margin($B24)*Alloted(F$3,F$2,F$5)/Get_Margin(F$3,F$2,F$5,F$1)),0)*Get_Margin(F$3,F$2,F$5,F$1)&gt;((Client_Margin($B24)*Alloted(F$3,F$2,F$5)/Get_Margin(F$3,F$2,F$5,F$1))*Get_Margin(F$3,F$2,F$5,F$1))*$C$3,ROUNDDOWN((Client_Margin($B24)*Alloted(F$3,F$2,F$5)/Get_Margin(F$3,F$2,F$5,F$1)),0),ROUNDUP((Client_Margin($B24)*Alloted(F$3,F$2,F$5)/Get_Margin(F$3,F$2,F$5,F$1)),0)),"-")</f>
        <v>8</v>
      </c>
      <c r="G24" s="14" cm="1">
        <f t="array" ref="G24">IFERROR(IF(ROUNDUP((Client_Margin($B24)*Alloted(G$3,G$2,G$5)/Get_Margin(G$3,G$2,G$5,G$1)),0)*Get_Margin(G$3,G$2,G$5,G$1)&gt;((Client_Margin($B24)*Alloted(G$3,G$2,G$5)/Get_Margin(G$3,G$2,G$5,G$1))*Get_Margin(G$3,G$2,G$5,G$1))*$C$3,ROUNDDOWN((Client_Margin($B24)*Alloted(G$3,G$2,G$5)/Get_Margin(G$3,G$2,G$5,G$1)),0),ROUNDUP((Client_Margin($B24)*Alloted(G$3,G$2,G$5)/Get_Margin(G$3,G$2,G$5,G$1)),0)),"-")</f>
        <v>3</v>
      </c>
      <c r="H24" s="14" cm="1">
        <f t="array" ref="H24">IFERROR(IF(ROUNDUP((Client_Margin($B24)*Alloted(H$3,H$2,H$5)/Get_Margin(H$3,H$2,H$5,H$1)),0)*Get_Margin(H$3,H$2,H$5,H$1)&gt;((Client_Margin($B24)*Alloted(H$3,H$2,H$5)/Get_Margin(H$3,H$2,H$5,H$1))*Get_Margin(H$3,H$2,H$5,H$1))*$C$3,ROUNDDOWN((Client_Margin($B24)*Alloted(H$3,H$2,H$5)/Get_Margin(H$3,H$2,H$5,H$1)),0),ROUNDUP((Client_Margin($B24)*Alloted(H$3,H$2,H$5)/Get_Margin(H$3,H$2,H$5,H$1)),0)),"-")</f>
        <v>1</v>
      </c>
      <c r="I24" s="14" cm="1">
        <f t="array" ref="I24">IFERROR(IF(ROUNDUP((Client_Margin($B24)*Alloted(I$3,I$2,I$5)/Get_Margin(I$3,I$2,I$5,I$1)),0)*Get_Margin(I$3,I$2,I$5,I$1)&gt;((Client_Margin($B24)*Alloted(I$3,I$2,I$5)/Get_Margin(I$3,I$2,I$5,I$1))*Get_Margin(I$3,I$2,I$5,I$1))*$C$3,ROUNDDOWN((Client_Margin($B24)*Alloted(I$3,I$2,I$5)/Get_Margin(I$3,I$2,I$5,I$1)),0),ROUNDUP((Client_Margin($B24)*Alloted(I$3,I$2,I$5)/Get_Margin(I$3,I$2,I$5,I$1)),0)),"-")</f>
        <v>1</v>
      </c>
      <c r="J24" s="14" cm="1">
        <f t="array" ref="J24">IFERROR(IF(ROUNDUP((Client_Margin($B24)*Alloted(J$3,J$2,J$5)/Get_Margin(J$3,J$2,J$5,J$1)),0)*Get_Margin(J$3,J$2,J$5,J$1)&gt;((Client_Margin($B24)*Alloted(J$3,J$2,J$5)/Get_Margin(J$3,J$2,J$5,J$1))*Get_Margin(J$3,J$2,J$5,J$1))*$C$3,ROUNDDOWN((Client_Margin($B24)*Alloted(J$3,J$2,J$5)/Get_Margin(J$3,J$2,J$5,J$1)),0),ROUNDUP((Client_Margin($B24)*Alloted(J$3,J$2,J$5)/Get_Margin(J$3,J$2,J$5,J$1)),0)),"-")</f>
        <v>1</v>
      </c>
      <c r="K24" s="14" cm="1">
        <f t="array" ref="K24">IFERROR(IF(ROUNDUP((Client_Margin($B24)*Alloted(K$3,K$2,K$5)/Get_Margin(K$3,K$2,K$5,K$1)),0)*Get_Margin(K$3,K$2,K$5,K$1)&gt;((Client_Margin($B24)*Alloted(K$3,K$2,K$5)/Get_Margin(K$3,K$2,K$5,K$1))*Get_Margin(K$3,K$2,K$5,K$1))*$C$3,ROUNDDOWN((Client_Margin($B24)*Alloted(K$3,K$2,K$5)/Get_Margin(K$3,K$2,K$5,K$1)),0),ROUNDUP((Client_Margin($B24)*Alloted(K$3,K$2,K$5)/Get_Margin(K$3,K$2,K$5,K$1)),0)),"-")</f>
        <v>12</v>
      </c>
      <c r="L24" s="14" cm="1">
        <f t="array" ref="L24">IFERROR(IF(ROUNDUP((Client_Margin($B24)*Alloted(L$3,L$2,L$5)/Get_Margin(L$3,L$2,L$5,L$1)),0)*Get_Margin(L$3,L$2,L$5,L$1)&gt;((Client_Margin($B24)*Alloted(L$3,L$2,L$5)/Get_Margin(L$3,L$2,L$5,L$1))*Get_Margin(L$3,L$2,L$5,L$1))*$C$3,ROUNDDOWN((Client_Margin($B24)*Alloted(L$3,L$2,L$5)/Get_Margin(L$3,L$2,L$5,L$1)),0),ROUNDUP((Client_Margin($B24)*Alloted(L$3,L$2,L$5)/Get_Margin(L$3,L$2,L$5,L$1)),0)),"-")</f>
        <v>0</v>
      </c>
      <c r="M24" s="14" cm="1">
        <f t="array" ref="M24">IFERROR(IF(ROUNDUP((Client_Margin($B24)*Alloted(M$3,M$2,M$5)/Get_Margin(M$3,M$2,M$5,M$1)),0)*Get_Margin(M$3,M$2,M$5,M$1)&gt;((Client_Margin($B24)*Alloted(M$3,M$2,M$5)/Get_Margin(M$3,M$2,M$5,M$1))*Get_Margin(M$3,M$2,M$5,M$1))*$C$3,ROUNDDOWN((Client_Margin($B24)*Alloted(M$3,M$2,M$5)/Get_Margin(M$3,M$2,M$5,M$1)),0),ROUNDUP((Client_Margin($B24)*Alloted(M$3,M$2,M$5)/Get_Margin(M$3,M$2,M$5,M$1)),0)),"-")</f>
        <v>0</v>
      </c>
      <c r="N24" s="14" cm="1">
        <f t="array" ref="N24">IFERROR(IF(ROUNDUP((Client_Margin($B24)*Alloted(N$3,N$2,N$5)/Get_Margin(N$3,N$2,N$5,N$1)),0)*Get_Margin(N$3,N$2,N$5,N$1)&gt;((Client_Margin($B24)*Alloted(N$3,N$2,N$5)/Get_Margin(N$3,N$2,N$5,N$1))*Get_Margin(N$3,N$2,N$5,N$1))*$C$3,ROUNDDOWN((Client_Margin($B24)*Alloted(N$3,N$2,N$5)/Get_Margin(N$3,N$2,N$5,N$1)),0),ROUNDUP((Client_Margin($B24)*Alloted(N$3,N$2,N$5)/Get_Margin(N$3,N$2,N$5,N$1)),0)),"-")</f>
        <v>3</v>
      </c>
    </row>
    <row r="25" spans="1:14" x14ac:dyDescent="0.25">
      <c r="A25">
        <f>IF(B25="",0,1)</f>
        <v>0</v>
      </c>
      <c r="B25" s="14"/>
      <c r="C25" s="14"/>
      <c r="D25" s="15">
        <f>SUM(E25:N25)</f>
        <v>0.91874999999999996</v>
      </c>
      <c r="E25" s="15" t="str" cm="1">
        <f t="array" ref="E25">IFERROR((_xlfn._xlws.FILTER(INDEX(Margin[],0,MATCH(E$1&amp;"_"&amp;E$3,Margin[#Headers],0)),(Margin[Index]=E$2)*(Margin[Strategy]=E$5))*E24)/Client_Margin($B24),"-")</f>
        <v>-</v>
      </c>
      <c r="F25" s="15" cm="1">
        <f t="array" ref="F25">IFERROR((_xlfn._xlws.FILTER(INDEX(Margin[],0,MATCH(F$1&amp;"_"&amp;F$3,Margin[#Headers],0)),(Margin[Index]=F$2)*(Margin[Strategy]=F$5))*F24)/Client_Margin($B24),"-")</f>
        <v>5.3333333333333337E-2</v>
      </c>
      <c r="G25" s="15" cm="1">
        <f t="array" ref="G25">IFERROR((_xlfn._xlws.FILTER(INDEX(Margin[],0,MATCH(G$1&amp;"_"&amp;G$3,Margin[#Headers],0)),(Margin[Index]=G$2)*(Margin[Strategy]=G$5))*G24)/Client_Margin($B24),"-")</f>
        <v>8.6999999999999994E-2</v>
      </c>
      <c r="H25" s="15" cm="1">
        <f t="array" ref="H25">IFERROR((_xlfn._xlws.FILTER(INDEX(Margin[],0,MATCH(H$1&amp;"_"&amp;H$3,Margin[#Headers],0)),(Margin[Index]=H$2)*(Margin[Strategy]=H$5))*H24)/Client_Margin($B24),"-")</f>
        <v>7.8E-2</v>
      </c>
      <c r="I25" s="15" cm="1">
        <f t="array" ref="I25">IFERROR((_xlfn._xlws.FILTER(INDEX(Margin[],0,MATCH(I$1&amp;"_"&amp;I$3,Margin[#Headers],0)),(Margin[Index]=I$2)*(Margin[Strategy]=I$5))*I24)/Client_Margin($B24),"-")</f>
        <v>6.6666666666666666E-2</v>
      </c>
      <c r="J25" s="15" cm="1">
        <f t="array" ref="J25">IFERROR((_xlfn._xlws.FILTER(INDEX(Margin[],0,MATCH(J$1&amp;"_"&amp;J$3,Margin[#Headers],0)),(Margin[Index]=J$2)*(Margin[Strategy]=J$5))*J24)/Client_Margin($B24),"-")</f>
        <v>0.11</v>
      </c>
      <c r="K25" s="15" cm="1">
        <f t="array" ref="K25">IFERROR((_xlfn._xlws.FILTER(INDEX(Margin[],0,MATCH(K$1&amp;"_"&amp;K$3,Margin[#Headers],0)),(Margin[Index]=K$2)*(Margin[Strategy]=K$5))*K24)/Client_Margin($B24),"-")</f>
        <v>0.48</v>
      </c>
      <c r="L25" s="15" cm="1">
        <f t="array" ref="L25">IFERROR((_xlfn._xlws.FILTER(INDEX(Margin[],0,MATCH(L$1&amp;"_"&amp;L$3,Margin[#Headers],0)),(Margin[Index]=L$2)*(Margin[Strategy]=L$5))*L24)/Client_Margin($B24),"-")</f>
        <v>0</v>
      </c>
      <c r="M25" s="15" cm="1">
        <f t="array" ref="M25">IFERROR((_xlfn._xlws.FILTER(INDEX(Margin[],0,MATCH(M$1&amp;"_"&amp;M$3,Margin[#Headers],0)),(Margin[Index]=M$2)*(Margin[Strategy]=M$5))*M24)/Client_Margin($B24),"-")</f>
        <v>0</v>
      </c>
      <c r="N25" s="15" cm="1">
        <f t="array" ref="N25">IFERROR((_xlfn._xlws.FILTER(INDEX(Margin[],0,MATCH(N$1&amp;"_"&amp;N$3,Margin[#Headers],0)),(Margin[Index]=N$2)*(Margin[Strategy]=N$5))*N24)/Client_Margin($B24),"-")</f>
        <v>4.3749999999999997E-2</v>
      </c>
    </row>
    <row r="26" spans="1:14" x14ac:dyDescent="0.25">
      <c r="A26">
        <f t="shared" ref="A26:A27" si="2">IF(B26="",0,1)</f>
        <v>1</v>
      </c>
      <c r="B26" s="14" t="s">
        <v>113</v>
      </c>
      <c r="C26" s="14" cm="1">
        <f t="array" ref="C26">(_xlfn._xlws.FILTER(Fund[Margin],Fund[Client Id]=B26))/10000000</f>
        <v>1.95</v>
      </c>
      <c r="D26" s="17"/>
      <c r="E26" s="14" t="str" cm="1">
        <f t="array" ref="E26">IFERROR(IF(ROUNDUP((Client_Margin($B26)*Alloted(E$3,E$2,E$5)/Get_Margin(E$3,E$2,E$5,E$1)),0)*Get_Margin(E$3,E$2,E$5,E$1)&gt;((Client_Margin($B26)*Alloted(E$3,E$2,E$5)/Get_Margin(E$3,E$2,E$5,E$1))*Get_Margin(E$3,E$2,E$5,E$1))*$C$3,ROUNDDOWN((Client_Margin($B26)*Alloted(E$3,E$2,E$5)/Get_Margin(E$3,E$2,E$5,E$1)),0),ROUNDUP((Client_Margin($B26)*Alloted(E$3,E$2,E$5)/Get_Margin(E$3,E$2,E$5,E$1)),0)),"-")</f>
        <v>-</v>
      </c>
      <c r="F26" s="14" cm="1">
        <f t="array" ref="F26">IFERROR(IF(ROUNDUP((Client_Margin($B26)*Alloted(F$3,F$2,F$5)/Get_Margin(F$3,F$2,F$5,F$1)),0)*Get_Margin(F$3,F$2,F$5,F$1)&gt;((Client_Margin($B26)*Alloted(F$3,F$2,F$5)/Get_Margin(F$3,F$2,F$5,F$1))*Get_Margin(F$3,F$2,F$5,F$1))*$C$3,ROUNDDOWN((Client_Margin($B26)*Alloted(F$3,F$2,F$5)/Get_Margin(F$3,F$2,F$5,F$1)),0),ROUNDUP((Client_Margin($B26)*Alloted(F$3,F$2,F$5)/Get_Margin(F$3,F$2,F$5,F$1)),0)),"-")</f>
        <v>7</v>
      </c>
      <c r="G26" s="14" cm="1">
        <f t="array" ref="G26">IFERROR(IF(ROUNDUP((Client_Margin($B26)*Alloted(G$3,G$2,G$5)/Get_Margin(G$3,G$2,G$5,G$1)),0)*Get_Margin(G$3,G$2,G$5,G$1)&gt;((Client_Margin($B26)*Alloted(G$3,G$2,G$5)/Get_Margin(G$3,G$2,G$5,G$1))*Get_Margin(G$3,G$2,G$5,G$1))*$C$3,ROUNDDOWN((Client_Margin($B26)*Alloted(G$3,G$2,G$5)/Get_Margin(G$3,G$2,G$5,G$1)),0),ROUNDUP((Client_Margin($B26)*Alloted(G$3,G$2,G$5)/Get_Margin(G$3,G$2,G$5,G$1)),0)),"-")</f>
        <v>3</v>
      </c>
      <c r="H26" s="14" cm="1">
        <f t="array" ref="H26">IFERROR(IF(ROUNDUP((Client_Margin($B26)*Alloted(H$3,H$2,H$5)/Get_Margin(H$3,H$2,H$5,H$1)),0)*Get_Margin(H$3,H$2,H$5,H$1)&gt;((Client_Margin($B26)*Alloted(H$3,H$2,H$5)/Get_Margin(H$3,H$2,H$5,H$1))*Get_Margin(H$3,H$2,H$5,H$1))*$C$3,ROUNDDOWN((Client_Margin($B26)*Alloted(H$3,H$2,H$5)/Get_Margin(H$3,H$2,H$5,H$1)),0),ROUNDUP((Client_Margin($B26)*Alloted(H$3,H$2,H$5)/Get_Margin(H$3,H$2,H$5,H$1)),0)),"-")</f>
        <v>1</v>
      </c>
      <c r="I26" s="43">
        <v>1</v>
      </c>
      <c r="J26" s="43">
        <v>1</v>
      </c>
      <c r="K26" s="14" cm="1">
        <f t="array" ref="K26">IFERROR(IF(ROUNDUP((Client_Margin($B26)*Alloted(K$3,K$2,K$5)/Get_Margin(K$3,K$2,K$5,K$1)),0)*Get_Margin(K$3,K$2,K$5,K$1)&gt;((Client_Margin($B26)*Alloted(K$3,K$2,K$5)/Get_Margin(K$3,K$2,K$5,K$1))*Get_Margin(K$3,K$2,K$5,K$1))*$C$3,ROUNDDOWN((Client_Margin($B26)*Alloted(K$3,K$2,K$5)/Get_Margin(K$3,K$2,K$5,K$1)),0),ROUNDUP((Client_Margin($B26)*Alloted(K$3,K$2,K$5)/Get_Margin(K$3,K$2,K$5,K$1)),0)),"-")</f>
        <v>10</v>
      </c>
      <c r="L26" s="14" cm="1">
        <f t="array" ref="L26">IFERROR(IF(ROUNDUP((Client_Margin($B26)*Alloted(L$3,L$2,L$5)/Get_Margin(L$3,L$2,L$5,L$1)),0)*Get_Margin(L$3,L$2,L$5,L$1)&gt;((Client_Margin($B26)*Alloted(L$3,L$2,L$5)/Get_Margin(L$3,L$2,L$5,L$1))*Get_Margin(L$3,L$2,L$5,L$1))*$C$3,ROUNDDOWN((Client_Margin($B26)*Alloted(L$3,L$2,L$5)/Get_Margin(L$3,L$2,L$5,L$1)),0),ROUNDUP((Client_Margin($B26)*Alloted(L$3,L$2,L$5)/Get_Margin(L$3,L$2,L$5,L$1)),0)),"-")</f>
        <v>0</v>
      </c>
      <c r="M26" s="14" cm="1">
        <f t="array" ref="M26">IFERROR(IF(ROUNDUP((Client_Margin($B26)*Alloted(M$3,M$2,M$5)/Get_Margin(M$3,M$2,M$5,M$1)),0)*Get_Margin(M$3,M$2,M$5,M$1)&gt;((Client_Margin($B26)*Alloted(M$3,M$2,M$5)/Get_Margin(M$3,M$2,M$5,M$1))*Get_Margin(M$3,M$2,M$5,M$1))*$C$3,ROUNDDOWN((Client_Margin($B26)*Alloted(M$3,M$2,M$5)/Get_Margin(M$3,M$2,M$5,M$1)),0),ROUNDUP((Client_Margin($B26)*Alloted(M$3,M$2,M$5)/Get_Margin(M$3,M$2,M$5,M$1)),0)),"-")</f>
        <v>0</v>
      </c>
      <c r="N26" s="43"/>
    </row>
    <row r="27" spans="1:14" x14ac:dyDescent="0.25">
      <c r="A27">
        <f t="shared" si="2"/>
        <v>0</v>
      </c>
      <c r="B27" s="14"/>
      <c r="C27" s="14"/>
      <c r="D27" s="15">
        <f>SUM(E27:N27)</f>
        <v>0.9702564102564103</v>
      </c>
      <c r="E27" s="15" t="str" cm="1">
        <f t="array" ref="E27">IFERROR((_xlfn._xlws.FILTER(INDEX(Margin[],0,MATCH(E$1&amp;"_"&amp;E$3,Margin[#Headers],0)),(Margin[Index]=E$2)*(Margin[Strategy]=E$5))*E26)/Client_Margin($B26),"-")</f>
        <v>-</v>
      </c>
      <c r="F27" s="15" cm="1">
        <f t="array" ref="F27">IFERROR((_xlfn._xlws.FILTER(INDEX(Margin[],0,MATCH(F$1&amp;"_"&amp;F$3,Margin[#Headers],0)),(Margin[Index]=F$2)*(Margin[Strategy]=F$5))*F26)/Client_Margin($B26),"-")</f>
        <v>5.7435897435897436E-2</v>
      </c>
      <c r="G27" s="15" cm="1">
        <f t="array" ref="G27">IFERROR((_xlfn._xlws.FILTER(INDEX(Margin[],0,MATCH(G$1&amp;"_"&amp;G$3,Margin[#Headers],0)),(Margin[Index]=G$2)*(Margin[Strategy]=G$5))*G26)/Client_Margin($B26),"-")</f>
        <v>0.10707692307692308</v>
      </c>
      <c r="H27" s="15" cm="1">
        <f t="array" ref="H27">IFERROR((_xlfn._xlws.FILTER(INDEX(Margin[],0,MATCH(H$1&amp;"_"&amp;H$3,Margin[#Headers],0)),(Margin[Index]=H$2)*(Margin[Strategy]=H$5))*H26)/Client_Margin($B26),"-")</f>
        <v>9.6000000000000002E-2</v>
      </c>
      <c r="I27" s="15" cm="1">
        <f t="array" ref="I27">IFERROR((_xlfn._xlws.FILTER(INDEX(Margin[],0,MATCH(I$1&amp;"_"&amp;I$3,Margin[#Headers],0)),(Margin[Index]=I$2)*(Margin[Strategy]=I$5))*I26)/Client_Margin($B26),"-")</f>
        <v>8.2051282051282051E-2</v>
      </c>
      <c r="J27" s="15" cm="1">
        <f t="array" ref="J27">IFERROR((_xlfn._xlws.FILTER(INDEX(Margin[],0,MATCH(J$1&amp;"_"&amp;J$3,Margin[#Headers],0)),(Margin[Index]=J$2)*(Margin[Strategy]=J$5))*J26)/Client_Margin($B26),"-")</f>
        <v>0.13538461538461538</v>
      </c>
      <c r="K27" s="15" cm="1">
        <f t="array" ref="K27">IFERROR((_xlfn._xlws.FILTER(INDEX(Margin[],0,MATCH(K$1&amp;"_"&amp;K$3,Margin[#Headers],0)),(Margin[Index]=K$2)*(Margin[Strategy]=K$5))*K26)/Client_Margin($B26),"-")</f>
        <v>0.49230769230769234</v>
      </c>
      <c r="L27" s="15" cm="1">
        <f t="array" ref="L27">IFERROR((_xlfn._xlws.FILTER(INDEX(Margin[],0,MATCH(L$1&amp;"_"&amp;L$3,Margin[#Headers],0)),(Margin[Index]=L$2)*(Margin[Strategy]=L$5))*L26)/Client_Margin($B26),"-")</f>
        <v>0</v>
      </c>
      <c r="M27" s="15" cm="1">
        <f t="array" ref="M27">IFERROR((_xlfn._xlws.FILTER(INDEX(Margin[],0,MATCH(M$1&amp;"_"&amp;M$3,Margin[#Headers],0)),(Margin[Index]=M$2)*(Margin[Strategy]=M$5))*M26)/Client_Margin($B26),"-")</f>
        <v>0</v>
      </c>
      <c r="N27" s="15" cm="1">
        <f t="array" ref="N27">IFERROR((_xlfn._xlws.FILTER(INDEX(Margin[],0,MATCH(N$1&amp;"_"&amp;N$3,Margin[#Headers],0)),(Margin[Index]=N$2)*(Margin[Strategy]=N$5))*N26)/Client_Margin($B26),"-")</f>
        <v>0</v>
      </c>
    </row>
    <row r="28" spans="1:14" x14ac:dyDescent="0.25">
      <c r="A28">
        <f>IF(B28="",0,1)</f>
        <v>1</v>
      </c>
      <c r="B28" s="14" t="s">
        <v>36</v>
      </c>
      <c r="C28" s="14" cm="1">
        <f t="array" ref="C28">(_xlfn._xlws.FILTER(Fund[Margin],Fund[Client Id]=B28))/10000000</f>
        <v>1.8</v>
      </c>
      <c r="D28" s="17"/>
      <c r="E28" s="14" t="str" cm="1">
        <f t="array" ref="E28">IFERROR(IF(ROUNDUP((Client_Margin($B28)*Alloted(E$3,E$2,E$5)/Get_Margin(E$3,E$2,E$5,E$1)),0)*Get_Margin(E$3,E$2,E$5,E$1)&gt;((Client_Margin($B28)*Alloted(E$3,E$2,E$5)/Get_Margin(E$3,E$2,E$5,E$1))*Get_Margin(E$3,E$2,E$5,E$1))*$C$3,ROUNDDOWN((Client_Margin($B28)*Alloted(E$3,E$2,E$5)/Get_Margin(E$3,E$2,E$5,E$1)),0),ROUNDUP((Client_Margin($B28)*Alloted(E$3,E$2,E$5)/Get_Margin(E$3,E$2,E$5,E$1)),0)),"-")</f>
        <v>-</v>
      </c>
      <c r="F28" s="14" cm="1">
        <f t="array" ref="F28">IFERROR(IF(ROUNDUP((Client_Margin($B28)*Alloted(F$3,F$2,F$5)/Get_Margin(F$3,F$2,F$5,F$1)),0)*Get_Margin(F$3,F$2,F$5,F$1)&gt;((Client_Margin($B28)*Alloted(F$3,F$2,F$5)/Get_Margin(F$3,F$2,F$5,F$1))*Get_Margin(F$3,F$2,F$5,F$1))*$C$3,ROUNDDOWN((Client_Margin($B28)*Alloted(F$3,F$2,F$5)/Get_Margin(F$3,F$2,F$5,F$1)),0),ROUNDUP((Client_Margin($B28)*Alloted(F$3,F$2,F$5)/Get_Margin(F$3,F$2,F$5,F$1)),0)),"-")</f>
        <v>6</v>
      </c>
      <c r="G28" s="14" cm="1">
        <f t="array" ref="G28">IFERROR(IF(ROUNDUP((Client_Margin($B28)*Alloted(G$3,G$2,G$5)/Get_Margin(G$3,G$2,G$5,G$1)),0)*Get_Margin(G$3,G$2,G$5,G$1)&gt;((Client_Margin($B28)*Alloted(G$3,G$2,G$5)/Get_Margin(G$3,G$2,G$5,G$1))*Get_Margin(G$3,G$2,G$5,G$1))*$C$3,ROUNDDOWN((Client_Margin($B28)*Alloted(G$3,G$2,G$5)/Get_Margin(G$3,G$2,G$5,G$1)),0),ROUNDUP((Client_Margin($B28)*Alloted(G$3,G$2,G$5)/Get_Margin(G$3,G$2,G$5,G$1)),0)),"-")</f>
        <v>2</v>
      </c>
      <c r="H28" s="14" cm="1">
        <f t="array" ref="H28">IFERROR(IF(ROUNDUP((Client_Margin($B28)*Alloted(H$3,H$2,H$5)/Get_Margin(H$3,H$2,H$5,H$1)),0)*Get_Margin(H$3,H$2,H$5,H$1)&gt;((Client_Margin($B28)*Alloted(H$3,H$2,H$5)/Get_Margin(H$3,H$2,H$5,H$1))*Get_Margin(H$3,H$2,H$5,H$1))*$C$3,ROUNDDOWN((Client_Margin($B28)*Alloted(H$3,H$2,H$5)/Get_Margin(H$3,H$2,H$5,H$1)),0),ROUNDUP((Client_Margin($B28)*Alloted(H$3,H$2,H$5)/Get_Margin(H$3,H$2,H$5,H$1)),0)),"-")</f>
        <v>1</v>
      </c>
      <c r="I28" s="43">
        <v>1</v>
      </c>
      <c r="J28" s="43">
        <v>1</v>
      </c>
      <c r="K28" s="14" cm="1">
        <f t="array" ref="K28">IFERROR(IF(ROUNDUP((Client_Margin($B28)*Alloted(K$3,K$2,K$5)/Get_Margin(K$3,K$2,K$5,K$1)),0)*Get_Margin(K$3,K$2,K$5,K$1)&gt;((Client_Margin($B28)*Alloted(K$3,K$2,K$5)/Get_Margin(K$3,K$2,K$5,K$1))*Get_Margin(K$3,K$2,K$5,K$1))*$C$3,ROUNDDOWN((Client_Margin($B28)*Alloted(K$3,K$2,K$5)/Get_Margin(K$3,K$2,K$5,K$1)),0),ROUNDUP((Client_Margin($B28)*Alloted(K$3,K$2,K$5)/Get_Margin(K$3,K$2,K$5,K$1)),0)),"-")</f>
        <v>9</v>
      </c>
      <c r="L28" s="14" cm="1">
        <f t="array" ref="L28">IFERROR(IF(ROUNDUP((Client_Margin($B28)*Alloted(L$3,L$2,L$5)/Get_Margin(L$3,L$2,L$5,L$1)),0)*Get_Margin(L$3,L$2,L$5,L$1)&gt;((Client_Margin($B28)*Alloted(L$3,L$2,L$5)/Get_Margin(L$3,L$2,L$5,L$1))*Get_Margin(L$3,L$2,L$5,L$1))*$C$3,ROUNDDOWN((Client_Margin($B28)*Alloted(L$3,L$2,L$5)/Get_Margin(L$3,L$2,L$5,L$1)),0),ROUNDUP((Client_Margin($B28)*Alloted(L$3,L$2,L$5)/Get_Margin(L$3,L$2,L$5,L$1)),0)),"-")</f>
        <v>0</v>
      </c>
      <c r="M28" s="14" cm="1">
        <f t="array" ref="M28">IFERROR(IF(ROUNDUP((Client_Margin($B28)*Alloted(M$3,M$2,M$5)/Get_Margin(M$3,M$2,M$5,M$1)),0)*Get_Margin(M$3,M$2,M$5,M$1)&gt;((Client_Margin($B28)*Alloted(M$3,M$2,M$5)/Get_Margin(M$3,M$2,M$5,M$1))*Get_Margin(M$3,M$2,M$5,M$1))*$C$3,ROUNDDOWN((Client_Margin($B28)*Alloted(M$3,M$2,M$5)/Get_Margin(M$3,M$2,M$5,M$1)),0),ROUNDUP((Client_Margin($B28)*Alloted(M$3,M$2,M$5)/Get_Margin(M$3,M$2,M$5,M$1)),0)),"-")</f>
        <v>0</v>
      </c>
      <c r="N28" s="43"/>
    </row>
    <row r="29" spans="1:14" x14ac:dyDescent="0.25">
      <c r="A29">
        <f>IF(B29="",0,1)</f>
        <v>0</v>
      </c>
      <c r="B29" s="14"/>
      <c r="C29" s="14"/>
      <c r="D29" s="15">
        <f>SUM(E29:N29)</f>
        <v>0.9502222222222223</v>
      </c>
      <c r="E29" s="15" t="str" cm="1">
        <f t="array" ref="E29">IFERROR((_xlfn._xlws.FILTER(INDEX(Margin[],0,MATCH(E$1&amp;"_"&amp;E$3,Margin[#Headers],0)),(Margin[Index]=E$2)*(Margin[Strategy]=E$5))*E28)/Client_Margin($B28),"-")</f>
        <v>-</v>
      </c>
      <c r="F29" s="15" cm="1">
        <f t="array" ref="F29">IFERROR((_xlfn._xlws.FILTER(INDEX(Margin[],0,MATCH(F$1&amp;"_"&amp;F$3,Margin[#Headers],0)),(Margin[Index]=F$2)*(Margin[Strategy]=F$5))*F28)/Client_Margin($B28),"-")</f>
        <v>5.3333333333333337E-2</v>
      </c>
      <c r="G29" s="15" cm="1">
        <f t="array" ref="G29">IFERROR((_xlfn._xlws.FILTER(INDEX(Margin[],0,MATCH(G$1&amp;"_"&amp;G$3,Margin[#Headers],0)),(Margin[Index]=G$2)*(Margin[Strategy]=G$5))*G28)/Client_Margin($B28),"-")</f>
        <v>7.7333333333333337E-2</v>
      </c>
      <c r="H29" s="15" cm="1">
        <f t="array" ref="H29">IFERROR((_xlfn._xlws.FILTER(INDEX(Margin[],0,MATCH(H$1&amp;"_"&amp;H$3,Margin[#Headers],0)),(Margin[Index]=H$2)*(Margin[Strategy]=H$5))*H28)/Client_Margin($B28),"-")</f>
        <v>0.104</v>
      </c>
      <c r="I29" s="15" cm="1">
        <f t="array" ref="I29">IFERROR((_xlfn._xlws.FILTER(INDEX(Margin[],0,MATCH(I$1&amp;"_"&amp;I$3,Margin[#Headers],0)),(Margin[Index]=I$2)*(Margin[Strategy]=I$5))*I28)/Client_Margin($B28),"-")</f>
        <v>8.8888888888888892E-2</v>
      </c>
      <c r="J29" s="15" cm="1">
        <f t="array" ref="J29">IFERROR((_xlfn._xlws.FILTER(INDEX(Margin[],0,MATCH(J$1&amp;"_"&amp;J$3,Margin[#Headers],0)),(Margin[Index]=J$2)*(Margin[Strategy]=J$5))*J28)/Client_Margin($B28),"-")</f>
        <v>0.14666666666666667</v>
      </c>
      <c r="K29" s="15" cm="1">
        <f t="array" ref="K29">IFERROR((_xlfn._xlws.FILTER(INDEX(Margin[],0,MATCH(K$1&amp;"_"&amp;K$3,Margin[#Headers],0)),(Margin[Index]=K$2)*(Margin[Strategy]=K$5))*K28)/Client_Margin($B28),"-")</f>
        <v>0.48</v>
      </c>
      <c r="L29" s="15" cm="1">
        <f t="array" ref="L29">IFERROR((_xlfn._xlws.FILTER(INDEX(Margin[],0,MATCH(L$1&amp;"_"&amp;L$3,Margin[#Headers],0)),(Margin[Index]=L$2)*(Margin[Strategy]=L$5))*L28)/Client_Margin($B28),"-")</f>
        <v>0</v>
      </c>
      <c r="M29" s="15" cm="1">
        <f t="array" ref="M29">IFERROR((_xlfn._xlws.FILTER(INDEX(Margin[],0,MATCH(M$1&amp;"_"&amp;M$3,Margin[#Headers],0)),(Margin[Index]=M$2)*(Margin[Strategy]=M$5))*M28)/Client_Margin($B28),"-")</f>
        <v>0</v>
      </c>
      <c r="N29" s="15" cm="1">
        <f t="array" ref="N29">IFERROR((_xlfn._xlws.FILTER(INDEX(Margin[],0,MATCH(N$1&amp;"_"&amp;N$3,Margin[#Headers],0)),(Margin[Index]=N$2)*(Margin[Strategy]=N$5))*N28)/Client_Margin($B28),"-")</f>
        <v>0</v>
      </c>
    </row>
    <row r="30" spans="1:14" x14ac:dyDescent="0.25">
      <c r="A30">
        <f t="shared" ref="A30:A37" si="3">IF(B30="",0,1)</f>
        <v>1</v>
      </c>
      <c r="B30" s="14" t="s">
        <v>32</v>
      </c>
      <c r="C30" s="14" cm="1">
        <f t="array" ref="C30">(_xlfn._xlws.FILTER(Fund[Margin],Fund[Client Id]=B30))/10000000</f>
        <v>1.8</v>
      </c>
      <c r="D30" s="17"/>
      <c r="E30" s="14" t="str" cm="1">
        <f t="array" ref="E30">IFERROR(IF(ROUNDUP((Client_Margin($B30)*Alloted(E$3,E$2,E$5)/Get_Margin(E$3,E$2,E$5,E$1)),0)*Get_Margin(E$3,E$2,E$5,E$1)&gt;((Client_Margin($B30)*Alloted(E$3,E$2,E$5)/Get_Margin(E$3,E$2,E$5,E$1))*Get_Margin(E$3,E$2,E$5,E$1))*$C$3,ROUNDDOWN((Client_Margin($B30)*Alloted(E$3,E$2,E$5)/Get_Margin(E$3,E$2,E$5,E$1)),0),ROUNDUP((Client_Margin($B30)*Alloted(E$3,E$2,E$5)/Get_Margin(E$3,E$2,E$5,E$1)),0)),"-")</f>
        <v>-</v>
      </c>
      <c r="F30" s="14" cm="1">
        <f t="array" ref="F30">IFERROR(IF(ROUNDUP((Client_Margin($B30)*Alloted(F$3,F$2,F$5)/Get_Margin(F$3,F$2,F$5,F$1)),0)*Get_Margin(F$3,F$2,F$5,F$1)&gt;((Client_Margin($B30)*Alloted(F$3,F$2,F$5)/Get_Margin(F$3,F$2,F$5,F$1))*Get_Margin(F$3,F$2,F$5,F$1))*$C$3,ROUNDDOWN((Client_Margin($B30)*Alloted(F$3,F$2,F$5)/Get_Margin(F$3,F$2,F$5,F$1)),0),ROUNDUP((Client_Margin($B30)*Alloted(F$3,F$2,F$5)/Get_Margin(F$3,F$2,F$5,F$1)),0)),"-")</f>
        <v>6</v>
      </c>
      <c r="G30" s="14" cm="1">
        <f t="array" ref="G30">IFERROR(IF(ROUNDUP((Client_Margin($B30)*Alloted(G$3,G$2,G$5)/Get_Margin(G$3,G$2,G$5,G$1)),0)*Get_Margin(G$3,G$2,G$5,G$1)&gt;((Client_Margin($B30)*Alloted(G$3,G$2,G$5)/Get_Margin(G$3,G$2,G$5,G$1))*Get_Margin(G$3,G$2,G$5,G$1))*$C$3,ROUNDDOWN((Client_Margin($B30)*Alloted(G$3,G$2,G$5)/Get_Margin(G$3,G$2,G$5,G$1)),0),ROUNDUP((Client_Margin($B30)*Alloted(G$3,G$2,G$5)/Get_Margin(G$3,G$2,G$5,G$1)),0)),"-")</f>
        <v>2</v>
      </c>
      <c r="H30" s="14" cm="1">
        <f t="array" ref="H30">IFERROR(IF(ROUNDUP((Client_Margin($B30)*Alloted(H$3,H$2,H$5)/Get_Margin(H$3,H$2,H$5,H$1)),0)*Get_Margin(H$3,H$2,H$5,H$1)&gt;((Client_Margin($B30)*Alloted(H$3,H$2,H$5)/Get_Margin(H$3,H$2,H$5,H$1))*Get_Margin(H$3,H$2,H$5,H$1))*$C$3,ROUNDDOWN((Client_Margin($B30)*Alloted(H$3,H$2,H$5)/Get_Margin(H$3,H$2,H$5,H$1)),0),ROUNDUP((Client_Margin($B30)*Alloted(H$3,H$2,H$5)/Get_Margin(H$3,H$2,H$5,H$1)),0)),"-")</f>
        <v>1</v>
      </c>
      <c r="I30" s="43">
        <v>1</v>
      </c>
      <c r="J30" s="43">
        <v>1</v>
      </c>
      <c r="K30" s="14" cm="1">
        <f t="array" ref="K30">IFERROR(IF(ROUNDUP((Client_Margin($B30)*Alloted(K$3,K$2,K$5)/Get_Margin(K$3,K$2,K$5,K$1)),0)*Get_Margin(K$3,K$2,K$5,K$1)&gt;((Client_Margin($B30)*Alloted(K$3,K$2,K$5)/Get_Margin(K$3,K$2,K$5,K$1))*Get_Margin(K$3,K$2,K$5,K$1))*$C$3,ROUNDDOWN((Client_Margin($B30)*Alloted(K$3,K$2,K$5)/Get_Margin(K$3,K$2,K$5,K$1)),0),ROUNDUP((Client_Margin($B30)*Alloted(K$3,K$2,K$5)/Get_Margin(K$3,K$2,K$5,K$1)),0)),"-")</f>
        <v>9</v>
      </c>
      <c r="L30" s="14" cm="1">
        <f t="array" ref="L30">IFERROR(IF(ROUNDUP((Client_Margin($B30)*Alloted(L$3,L$2,L$5)/Get_Margin(L$3,L$2,L$5,L$1)),0)*Get_Margin(L$3,L$2,L$5,L$1)&gt;((Client_Margin($B30)*Alloted(L$3,L$2,L$5)/Get_Margin(L$3,L$2,L$5,L$1))*Get_Margin(L$3,L$2,L$5,L$1))*$C$3,ROUNDDOWN((Client_Margin($B30)*Alloted(L$3,L$2,L$5)/Get_Margin(L$3,L$2,L$5,L$1)),0),ROUNDUP((Client_Margin($B30)*Alloted(L$3,L$2,L$5)/Get_Margin(L$3,L$2,L$5,L$1)),0)),"-")</f>
        <v>0</v>
      </c>
      <c r="M30" s="14" cm="1">
        <f t="array" ref="M30">IFERROR(IF(ROUNDUP((Client_Margin($B30)*Alloted(M$3,M$2,M$5)/Get_Margin(M$3,M$2,M$5,M$1)),0)*Get_Margin(M$3,M$2,M$5,M$1)&gt;((Client_Margin($B30)*Alloted(M$3,M$2,M$5)/Get_Margin(M$3,M$2,M$5,M$1))*Get_Margin(M$3,M$2,M$5,M$1))*$C$3,ROUNDDOWN((Client_Margin($B30)*Alloted(M$3,M$2,M$5)/Get_Margin(M$3,M$2,M$5,M$1)),0),ROUNDUP((Client_Margin($B30)*Alloted(M$3,M$2,M$5)/Get_Margin(M$3,M$2,M$5,M$1)),0)),"-")</f>
        <v>0</v>
      </c>
      <c r="N30" s="43"/>
    </row>
    <row r="31" spans="1:14" x14ac:dyDescent="0.25">
      <c r="A31">
        <f t="shared" si="3"/>
        <v>0</v>
      </c>
      <c r="B31" s="14"/>
      <c r="C31" s="14"/>
      <c r="D31" s="15">
        <f>SUM(E31:N31)</f>
        <v>0.9502222222222223</v>
      </c>
      <c r="E31" s="15" t="str" cm="1">
        <f t="array" ref="E31">IFERROR((_xlfn._xlws.FILTER(INDEX(Margin[],0,MATCH(E$1&amp;"_"&amp;E$3,Margin[#Headers],0)),(Margin[Index]=E$2)*(Margin[Strategy]=E$5))*E30)/Client_Margin($B30),"-")</f>
        <v>-</v>
      </c>
      <c r="F31" s="15" cm="1">
        <f t="array" ref="F31">IFERROR((_xlfn._xlws.FILTER(INDEX(Margin[],0,MATCH(F$1&amp;"_"&amp;F$3,Margin[#Headers],0)),(Margin[Index]=F$2)*(Margin[Strategy]=F$5))*F30)/Client_Margin($B30),"-")</f>
        <v>5.3333333333333337E-2</v>
      </c>
      <c r="G31" s="15" cm="1">
        <f t="array" ref="G31">IFERROR((_xlfn._xlws.FILTER(INDEX(Margin[],0,MATCH(G$1&amp;"_"&amp;G$3,Margin[#Headers],0)),(Margin[Index]=G$2)*(Margin[Strategy]=G$5))*G30)/Client_Margin($B30),"-")</f>
        <v>7.7333333333333337E-2</v>
      </c>
      <c r="H31" s="15" cm="1">
        <f t="array" ref="H31">IFERROR((_xlfn._xlws.FILTER(INDEX(Margin[],0,MATCH(H$1&amp;"_"&amp;H$3,Margin[#Headers],0)),(Margin[Index]=H$2)*(Margin[Strategy]=H$5))*H30)/Client_Margin($B30),"-")</f>
        <v>0.104</v>
      </c>
      <c r="I31" s="15" cm="1">
        <f t="array" ref="I31">IFERROR((_xlfn._xlws.FILTER(INDEX(Margin[],0,MATCH(I$1&amp;"_"&amp;I$3,Margin[#Headers],0)),(Margin[Index]=I$2)*(Margin[Strategy]=I$5))*I30)/Client_Margin($B30),"-")</f>
        <v>8.8888888888888892E-2</v>
      </c>
      <c r="J31" s="15" cm="1">
        <f t="array" ref="J31">IFERROR((_xlfn._xlws.FILTER(INDEX(Margin[],0,MATCH(J$1&amp;"_"&amp;J$3,Margin[#Headers],0)),(Margin[Index]=J$2)*(Margin[Strategy]=J$5))*J30)/Client_Margin($B30),"-")</f>
        <v>0.14666666666666667</v>
      </c>
      <c r="K31" s="15" cm="1">
        <f t="array" ref="K31">IFERROR((_xlfn._xlws.FILTER(INDEX(Margin[],0,MATCH(K$1&amp;"_"&amp;K$3,Margin[#Headers],0)),(Margin[Index]=K$2)*(Margin[Strategy]=K$5))*K30)/Client_Margin($B30),"-")</f>
        <v>0.48</v>
      </c>
      <c r="L31" s="15" cm="1">
        <f t="array" ref="L31">IFERROR((_xlfn._xlws.FILTER(INDEX(Margin[],0,MATCH(L$1&amp;"_"&amp;L$3,Margin[#Headers],0)),(Margin[Index]=L$2)*(Margin[Strategy]=L$5))*L30)/Client_Margin($B30),"-")</f>
        <v>0</v>
      </c>
      <c r="M31" s="15" cm="1">
        <f t="array" ref="M31">IFERROR((_xlfn._xlws.FILTER(INDEX(Margin[],0,MATCH(M$1&amp;"_"&amp;M$3,Margin[#Headers],0)),(Margin[Index]=M$2)*(Margin[Strategy]=M$5))*M30)/Client_Margin($B30),"-")</f>
        <v>0</v>
      </c>
      <c r="N31" s="15" cm="1">
        <f t="array" ref="N31">IFERROR((_xlfn._xlws.FILTER(INDEX(Margin[],0,MATCH(N$1&amp;"_"&amp;N$3,Margin[#Headers],0)),(Margin[Index]=N$2)*(Margin[Strategy]=N$5))*N30)/Client_Margin($B30),"-")</f>
        <v>0</v>
      </c>
    </row>
    <row r="32" spans="1:14" x14ac:dyDescent="0.25">
      <c r="A32">
        <f t="shared" si="3"/>
        <v>1</v>
      </c>
      <c r="B32" s="14" t="s">
        <v>112</v>
      </c>
      <c r="C32" s="14" cm="1">
        <f t="array" ref="C32">(_xlfn._xlws.FILTER(Fund[Margin],Fund[Client Id]=B32))/10000000</f>
        <v>1.6</v>
      </c>
      <c r="D32" s="17"/>
      <c r="E32" s="14" t="str" cm="1">
        <f t="array" ref="E32">IFERROR(IF(ROUNDUP((Client_Margin($B32)*Alloted(E$3,E$2,E$5)/Get_Margin(E$3,E$2,E$5,E$1)),0)*Get_Margin(E$3,E$2,E$5,E$1)&gt;((Client_Margin($B32)*Alloted(E$3,E$2,E$5)/Get_Margin(E$3,E$2,E$5,E$1))*Get_Margin(E$3,E$2,E$5,E$1))*$C$3,ROUNDDOWN((Client_Margin($B32)*Alloted(E$3,E$2,E$5)/Get_Margin(E$3,E$2,E$5,E$1)),0),ROUNDUP((Client_Margin($B32)*Alloted(E$3,E$2,E$5)/Get_Margin(E$3,E$2,E$5,E$1)),0)),"-")</f>
        <v>-</v>
      </c>
      <c r="F32" s="14" cm="1">
        <f t="array" ref="F32">IFERROR(IF(ROUNDUP((Client_Margin($B32)*Alloted(F$3,F$2,F$5)/Get_Margin(F$3,F$2,F$5,F$1)),0)*Get_Margin(F$3,F$2,F$5,F$1)&gt;((Client_Margin($B32)*Alloted(F$3,F$2,F$5)/Get_Margin(F$3,F$2,F$5,F$1))*Get_Margin(F$3,F$2,F$5,F$1))*$C$3,ROUNDDOWN((Client_Margin($B32)*Alloted(F$3,F$2,F$5)/Get_Margin(F$3,F$2,F$5,F$1)),0),ROUNDUP((Client_Margin($B32)*Alloted(F$3,F$2,F$5)/Get_Margin(F$3,F$2,F$5,F$1)),0)),"-")</f>
        <v>5</v>
      </c>
      <c r="G32" s="14" cm="1">
        <f t="array" ref="G32">IFERROR(IF(ROUNDUP((Client_Margin($B32)*Alloted(G$3,G$2,G$5)/Get_Margin(G$3,G$2,G$5,G$1)),0)*Get_Margin(G$3,G$2,G$5,G$1)&gt;((Client_Margin($B32)*Alloted(G$3,G$2,G$5)/Get_Margin(G$3,G$2,G$5,G$1))*Get_Margin(G$3,G$2,G$5,G$1))*$C$3,ROUNDDOWN((Client_Margin($B32)*Alloted(G$3,G$2,G$5)/Get_Margin(G$3,G$2,G$5,G$1)),0),ROUNDUP((Client_Margin($B32)*Alloted(G$3,G$2,G$5)/Get_Margin(G$3,G$2,G$5,G$1)),0)),"-")</f>
        <v>2</v>
      </c>
      <c r="H32" s="43">
        <v>1</v>
      </c>
      <c r="I32" s="43">
        <v>1</v>
      </c>
      <c r="J32" s="43">
        <v>1</v>
      </c>
      <c r="K32" s="14" cm="1">
        <f t="array" ref="K32">IFERROR(IF(ROUNDUP((Client_Margin($B32)*Alloted(K$3,K$2,K$5)/Get_Margin(K$3,K$2,K$5,K$1)),0)*Get_Margin(K$3,K$2,K$5,K$1)&gt;((Client_Margin($B32)*Alloted(K$3,K$2,K$5)/Get_Margin(K$3,K$2,K$5,K$1))*Get_Margin(K$3,K$2,K$5,K$1))*$C$3,ROUNDDOWN((Client_Margin($B32)*Alloted(K$3,K$2,K$5)/Get_Margin(K$3,K$2,K$5,K$1)),0),ROUNDUP((Client_Margin($B32)*Alloted(K$3,K$2,K$5)/Get_Margin(K$3,K$2,K$5,K$1)),0)),"-")</f>
        <v>8</v>
      </c>
      <c r="L32" s="14" cm="1">
        <f t="array" ref="L32">IFERROR(IF(ROUNDUP((Client_Margin($B32)*Alloted(L$3,L$2,L$5)/Get_Margin(L$3,L$2,L$5,L$1)),0)*Get_Margin(L$3,L$2,L$5,L$1)&gt;((Client_Margin($B32)*Alloted(L$3,L$2,L$5)/Get_Margin(L$3,L$2,L$5,L$1))*Get_Margin(L$3,L$2,L$5,L$1))*$C$3,ROUNDDOWN((Client_Margin($B32)*Alloted(L$3,L$2,L$5)/Get_Margin(L$3,L$2,L$5,L$1)),0),ROUNDUP((Client_Margin($B32)*Alloted(L$3,L$2,L$5)/Get_Margin(L$3,L$2,L$5,L$1)),0)),"-")</f>
        <v>0</v>
      </c>
      <c r="M32" s="14" cm="1">
        <f t="array" ref="M32">IFERROR(IF(ROUNDUP((Client_Margin($B32)*Alloted(M$3,M$2,M$5)/Get_Margin(M$3,M$2,M$5,M$1)),0)*Get_Margin(M$3,M$2,M$5,M$1)&gt;((Client_Margin($B32)*Alloted(M$3,M$2,M$5)/Get_Margin(M$3,M$2,M$5,M$1))*Get_Margin(M$3,M$2,M$5,M$1))*$C$3,ROUNDDOWN((Client_Margin($B32)*Alloted(M$3,M$2,M$5)/Get_Margin(M$3,M$2,M$5,M$1)),0),ROUNDUP((Client_Margin($B32)*Alloted(M$3,M$2,M$5)/Get_Margin(M$3,M$2,M$5,M$1)),0)),"-")</f>
        <v>0</v>
      </c>
      <c r="N32" s="43"/>
    </row>
    <row r="33" spans="1:14" x14ac:dyDescent="0.25">
      <c r="A33">
        <f t="shared" si="3"/>
        <v>0</v>
      </c>
      <c r="B33" s="14"/>
      <c r="C33" s="14"/>
      <c r="D33" s="15">
        <f>SUM(E33:N33)</f>
        <v>0.999</v>
      </c>
      <c r="E33" s="15" t="str" cm="1">
        <f t="array" ref="E33">IFERROR((_xlfn._xlws.FILTER(INDEX(Margin[],0,MATCH(E$1&amp;"_"&amp;E$3,Margin[#Headers],0)),(Margin[Index]=E$2)*(Margin[Strategy]=E$5))*E32)/Client_Margin($B32),"-")</f>
        <v>-</v>
      </c>
      <c r="F33" s="15" cm="1">
        <f t="array" ref="F33">IFERROR((_xlfn._xlws.FILTER(INDEX(Margin[],0,MATCH(F$1&amp;"_"&amp;F$3,Margin[#Headers],0)),(Margin[Index]=F$2)*(Margin[Strategy]=F$5))*F32)/Client_Margin($B32),"-")</f>
        <v>0.05</v>
      </c>
      <c r="G33" s="15" cm="1">
        <f t="array" ref="G33">IFERROR((_xlfn._xlws.FILTER(INDEX(Margin[],0,MATCH(G$1&amp;"_"&amp;G$3,Margin[#Headers],0)),(Margin[Index]=G$2)*(Margin[Strategy]=G$5))*G32)/Client_Margin($B32),"-")</f>
        <v>8.6999999999999994E-2</v>
      </c>
      <c r="H33" s="15" cm="1">
        <f t="array" ref="H33">IFERROR((_xlfn._xlws.FILTER(INDEX(Margin[],0,MATCH(H$1&amp;"_"&amp;H$3,Margin[#Headers],0)),(Margin[Index]=H$2)*(Margin[Strategy]=H$5))*H32)/Client_Margin($B32),"-")</f>
        <v>0.11700000000000001</v>
      </c>
      <c r="I33" s="15" cm="1">
        <f t="array" ref="I33">IFERROR((_xlfn._xlws.FILTER(INDEX(Margin[],0,MATCH(I$1&amp;"_"&amp;I$3,Margin[#Headers],0)),(Margin[Index]=I$2)*(Margin[Strategy]=I$5))*I32)/Client_Margin($B32),"-")</f>
        <v>0.1</v>
      </c>
      <c r="J33" s="15" cm="1">
        <f t="array" ref="J33">IFERROR((_xlfn._xlws.FILTER(INDEX(Margin[],0,MATCH(J$1&amp;"_"&amp;J$3,Margin[#Headers],0)),(Margin[Index]=J$2)*(Margin[Strategy]=J$5))*J32)/Client_Margin($B32),"-")</f>
        <v>0.16500000000000001</v>
      </c>
      <c r="K33" s="15" cm="1">
        <f t="array" ref="K33">IFERROR((_xlfn._xlws.FILTER(INDEX(Margin[],0,MATCH(K$1&amp;"_"&amp;K$3,Margin[#Headers],0)),(Margin[Index]=K$2)*(Margin[Strategy]=K$5))*K32)/Client_Margin($B32),"-")</f>
        <v>0.48</v>
      </c>
      <c r="L33" s="15" cm="1">
        <f t="array" ref="L33">IFERROR((_xlfn._xlws.FILTER(INDEX(Margin[],0,MATCH(L$1&amp;"_"&amp;L$3,Margin[#Headers],0)),(Margin[Index]=L$2)*(Margin[Strategy]=L$5))*L32)/Client_Margin($B32),"-")</f>
        <v>0</v>
      </c>
      <c r="M33" s="15" cm="1">
        <f t="array" ref="M33">IFERROR((_xlfn._xlws.FILTER(INDEX(Margin[],0,MATCH(M$1&amp;"_"&amp;M$3,Margin[#Headers],0)),(Margin[Index]=M$2)*(Margin[Strategy]=M$5))*M32)/Client_Margin($B32),"-")</f>
        <v>0</v>
      </c>
      <c r="N33" s="15" cm="1">
        <f t="array" ref="N33">IFERROR((_xlfn._xlws.FILTER(INDEX(Margin[],0,MATCH(N$1&amp;"_"&amp;N$3,Margin[#Headers],0)),(Margin[Index]=N$2)*(Margin[Strategy]=N$5))*N32)/Client_Margin($B32),"-")</f>
        <v>0</v>
      </c>
    </row>
    <row r="34" spans="1:14" x14ac:dyDescent="0.25">
      <c r="A34">
        <f t="shared" si="3"/>
        <v>1</v>
      </c>
      <c r="B34" s="14" t="s">
        <v>38</v>
      </c>
      <c r="C34" s="14" cm="1">
        <f t="array" ref="C34">(_xlfn._xlws.FILTER(Fund[Margin],Fund[Client Id]=B34))/10000000</f>
        <v>1.5</v>
      </c>
      <c r="D34" s="17"/>
      <c r="E34" s="14" t="str" cm="1">
        <f t="array" ref="E34">IFERROR(IF(ROUNDUP((Client_Margin($B34)*Alloted(E$3,E$2,E$5)/Get_Margin(E$3,E$2,E$5,E$1)),0)*Get_Margin(E$3,E$2,E$5,E$1)&gt;((Client_Margin($B34)*Alloted(E$3,E$2,E$5)/Get_Margin(E$3,E$2,E$5,E$1))*Get_Margin(E$3,E$2,E$5,E$1))*$C$3,ROUNDDOWN((Client_Margin($B34)*Alloted(E$3,E$2,E$5)/Get_Margin(E$3,E$2,E$5,E$1)),0),ROUNDUP((Client_Margin($B34)*Alloted(E$3,E$2,E$5)/Get_Margin(E$3,E$2,E$5,E$1)),0)),"-")</f>
        <v>-</v>
      </c>
      <c r="F34" s="14" cm="1">
        <f t="array" ref="F34">IFERROR(IF(ROUNDUP((Client_Margin($B34)*Alloted(F$3,F$2,F$5)/Get_Margin(F$3,F$2,F$5,F$1)),0)*Get_Margin(F$3,F$2,F$5,F$1)&gt;((Client_Margin($B34)*Alloted(F$3,F$2,F$5)/Get_Margin(F$3,F$2,F$5,F$1))*Get_Margin(F$3,F$2,F$5,F$1))*$C$3,ROUNDDOWN((Client_Margin($B34)*Alloted(F$3,F$2,F$5)/Get_Margin(F$3,F$2,F$5,F$1)),0),ROUNDUP((Client_Margin($B34)*Alloted(F$3,F$2,F$5)/Get_Margin(F$3,F$2,F$5,F$1)),0)),"-")</f>
        <v>5</v>
      </c>
      <c r="G34" s="14" cm="1">
        <f t="array" ref="G34">IFERROR(IF(ROUNDUP((Client_Margin($B34)*Alloted(G$3,G$2,G$5)/Get_Margin(G$3,G$2,G$5,G$1)),0)*Get_Margin(G$3,G$2,G$5,G$1)&gt;((Client_Margin($B34)*Alloted(G$3,G$2,G$5)/Get_Margin(G$3,G$2,G$5,G$1))*Get_Margin(G$3,G$2,G$5,G$1))*$C$3,ROUNDDOWN((Client_Margin($B34)*Alloted(G$3,G$2,G$5)/Get_Margin(G$3,G$2,G$5,G$1)),0),ROUNDUP((Client_Margin($B34)*Alloted(G$3,G$2,G$5)/Get_Margin(G$3,G$2,G$5,G$1)),0)),"-")</f>
        <v>2</v>
      </c>
      <c r="H34" s="43">
        <v>1</v>
      </c>
      <c r="I34" s="43">
        <v>1</v>
      </c>
      <c r="J34" s="43">
        <v>0</v>
      </c>
      <c r="K34" s="14" cm="1">
        <f t="array" ref="K34">IFERROR(IF(ROUNDUP((Client_Margin($B34)*Alloted(K$3,K$2,K$5)/Get_Margin(K$3,K$2,K$5,K$1)),0)*Get_Margin(K$3,K$2,K$5,K$1)&gt;((Client_Margin($B34)*Alloted(K$3,K$2,K$5)/Get_Margin(K$3,K$2,K$5,K$1))*Get_Margin(K$3,K$2,K$5,K$1))*$C$3,ROUNDDOWN((Client_Margin($B34)*Alloted(K$3,K$2,K$5)/Get_Margin(K$3,K$2,K$5,K$1)),0),ROUNDUP((Client_Margin($B34)*Alloted(K$3,K$2,K$5)/Get_Margin(K$3,K$2,K$5,K$1)),0)),"-")</f>
        <v>8</v>
      </c>
      <c r="L34" s="14" cm="1">
        <f t="array" ref="L34">IFERROR(IF(ROUNDUP((Client_Margin($B34)*Alloted(L$3,L$2,L$5)/Get_Margin(L$3,L$2,L$5,L$1)),0)*Get_Margin(L$3,L$2,L$5,L$1)&gt;((Client_Margin($B34)*Alloted(L$3,L$2,L$5)/Get_Margin(L$3,L$2,L$5,L$1))*Get_Margin(L$3,L$2,L$5,L$1))*$C$3,ROUNDDOWN((Client_Margin($B34)*Alloted(L$3,L$2,L$5)/Get_Margin(L$3,L$2,L$5,L$1)),0),ROUNDUP((Client_Margin($B34)*Alloted(L$3,L$2,L$5)/Get_Margin(L$3,L$2,L$5,L$1)),0)),"-")</f>
        <v>0</v>
      </c>
      <c r="M34" s="14" cm="1">
        <f t="array" ref="M34">IFERROR(IF(ROUNDUP((Client_Margin($B34)*Alloted(M$3,M$2,M$5)/Get_Margin(M$3,M$2,M$5,M$1)),0)*Get_Margin(M$3,M$2,M$5,M$1)&gt;((Client_Margin($B34)*Alloted(M$3,M$2,M$5)/Get_Margin(M$3,M$2,M$5,M$1))*Get_Margin(M$3,M$2,M$5,M$1))*$C$3,ROUNDDOWN((Client_Margin($B34)*Alloted(M$3,M$2,M$5)/Get_Margin(M$3,M$2,M$5,M$1)),0),ROUNDUP((Client_Margin($B34)*Alloted(M$3,M$2,M$5)/Get_Margin(M$3,M$2,M$5,M$1)),0)),"-")</f>
        <v>0</v>
      </c>
      <c r="N34" s="43"/>
    </row>
    <row r="35" spans="1:14" x14ac:dyDescent="0.25">
      <c r="A35">
        <f t="shared" si="3"/>
        <v>0</v>
      </c>
      <c r="B35" s="14"/>
      <c r="C35" s="14"/>
      <c r="D35" s="15">
        <f>SUM(E35:N35)</f>
        <v>0.88960000000000006</v>
      </c>
      <c r="E35" s="15" t="str" cm="1">
        <f t="array" ref="E35">IFERROR((_xlfn._xlws.FILTER(INDEX(Margin[],0,MATCH(E$1&amp;"_"&amp;E$3,Margin[#Headers],0)),(Margin[Index]=E$2)*(Margin[Strategy]=E$5))*E34)/Client_Margin($B34),"-")</f>
        <v>-</v>
      </c>
      <c r="F35" s="15" cm="1">
        <f t="array" ref="F35">IFERROR((_xlfn._xlws.FILTER(INDEX(Margin[],0,MATCH(F$1&amp;"_"&amp;F$3,Margin[#Headers],0)),(Margin[Index]=F$2)*(Margin[Strategy]=F$5))*F34)/Client_Margin($B34),"-")</f>
        <v>5.3333333333333337E-2</v>
      </c>
      <c r="G35" s="15" cm="1">
        <f t="array" ref="G35">IFERROR((_xlfn._xlws.FILTER(INDEX(Margin[],0,MATCH(G$1&amp;"_"&amp;G$3,Margin[#Headers],0)),(Margin[Index]=G$2)*(Margin[Strategy]=G$5))*G34)/Client_Margin($B34),"-")</f>
        <v>9.2799999999999994E-2</v>
      </c>
      <c r="H35" s="15" cm="1">
        <f t="array" ref="H35">IFERROR((_xlfn._xlws.FILTER(INDEX(Margin[],0,MATCH(H$1&amp;"_"&amp;H$3,Margin[#Headers],0)),(Margin[Index]=H$2)*(Margin[Strategy]=H$5))*H34)/Client_Margin($B34),"-")</f>
        <v>0.12479999999999999</v>
      </c>
      <c r="I35" s="15" cm="1">
        <f t="array" ref="I35">IFERROR((_xlfn._xlws.FILTER(INDEX(Margin[],0,MATCH(I$1&amp;"_"&amp;I$3,Margin[#Headers],0)),(Margin[Index]=I$2)*(Margin[Strategy]=I$5))*I34)/Client_Margin($B34),"-")</f>
        <v>0.10666666666666667</v>
      </c>
      <c r="J35" s="15" cm="1">
        <f t="array" ref="J35">IFERROR((_xlfn._xlws.FILTER(INDEX(Margin[],0,MATCH(J$1&amp;"_"&amp;J$3,Margin[#Headers],0)),(Margin[Index]=J$2)*(Margin[Strategy]=J$5))*J34)/Client_Margin($B34),"-")</f>
        <v>0</v>
      </c>
      <c r="K35" s="15" cm="1">
        <f t="array" ref="K35">IFERROR((_xlfn._xlws.FILTER(INDEX(Margin[],0,MATCH(K$1&amp;"_"&amp;K$3,Margin[#Headers],0)),(Margin[Index]=K$2)*(Margin[Strategy]=K$5))*K34)/Client_Margin($B34),"-")</f>
        <v>0.51200000000000001</v>
      </c>
      <c r="L35" s="15" cm="1">
        <f t="array" ref="L35">IFERROR((_xlfn._xlws.FILTER(INDEX(Margin[],0,MATCH(L$1&amp;"_"&amp;L$3,Margin[#Headers],0)),(Margin[Index]=L$2)*(Margin[Strategy]=L$5))*L34)/Client_Margin($B34),"-")</f>
        <v>0</v>
      </c>
      <c r="M35" s="15" cm="1">
        <f t="array" ref="M35">IFERROR((_xlfn._xlws.FILTER(INDEX(Margin[],0,MATCH(M$1&amp;"_"&amp;M$3,Margin[#Headers],0)),(Margin[Index]=M$2)*(Margin[Strategy]=M$5))*M34)/Client_Margin($B34),"-")</f>
        <v>0</v>
      </c>
      <c r="N35" s="15" cm="1">
        <f t="array" ref="N35">IFERROR((_xlfn._xlws.FILTER(INDEX(Margin[],0,MATCH(N$1&amp;"_"&amp;N$3,Margin[#Headers],0)),(Margin[Index]=N$2)*(Margin[Strategy]=N$5))*N34)/Client_Margin($B34),"-")</f>
        <v>0</v>
      </c>
    </row>
    <row r="36" spans="1:14" x14ac:dyDescent="0.25">
      <c r="A36">
        <f t="shared" si="3"/>
        <v>1</v>
      </c>
      <c r="B36" s="14" t="s">
        <v>40</v>
      </c>
      <c r="C36" s="14" cm="1">
        <f t="array" ref="C36">(_xlfn._xlws.FILTER(Fund[Margin],Fund[Client Id]=B36))/10000000</f>
        <v>1.3</v>
      </c>
      <c r="D36" s="17"/>
      <c r="E36" s="14" t="str" cm="1">
        <f t="array" ref="E36">IFERROR(IF(ROUNDUP((Client_Margin($B36)*Alloted(E$3,E$2,E$5)/Get_Margin(E$3,E$2,E$5,E$1)),0)*Get_Margin(E$3,E$2,E$5,E$1)&gt;((Client_Margin($B36)*Alloted(E$3,E$2,E$5)/Get_Margin(E$3,E$2,E$5,E$1))*Get_Margin(E$3,E$2,E$5,E$1))*$C$3,ROUNDDOWN((Client_Margin($B36)*Alloted(E$3,E$2,E$5)/Get_Margin(E$3,E$2,E$5,E$1)),0),ROUNDUP((Client_Margin($B36)*Alloted(E$3,E$2,E$5)/Get_Margin(E$3,E$2,E$5,E$1)),0)),"-")</f>
        <v>-</v>
      </c>
      <c r="F36" s="14" cm="1">
        <f t="array" ref="F36">IFERROR(IF(ROUNDUP((Client_Margin($B36)*Alloted(F$3,F$2,F$5)/Get_Margin(F$3,F$2,F$5,F$1)),0)*Get_Margin(F$3,F$2,F$5,F$1)&gt;((Client_Margin($B36)*Alloted(F$3,F$2,F$5)/Get_Margin(F$3,F$2,F$5,F$1))*Get_Margin(F$3,F$2,F$5,F$1))*$C$3,ROUNDDOWN((Client_Margin($B36)*Alloted(F$3,F$2,F$5)/Get_Margin(F$3,F$2,F$5,F$1)),0),ROUNDUP((Client_Margin($B36)*Alloted(F$3,F$2,F$5)/Get_Margin(F$3,F$2,F$5,F$1)),0)),"-")</f>
        <v>4</v>
      </c>
      <c r="G36" s="14" cm="1">
        <f t="array" ref="G36">IFERROR(IF(ROUNDUP((Client_Margin($B36)*Alloted(G$3,G$2,G$5)/Get_Margin(G$3,G$2,G$5,G$1)),0)*Get_Margin(G$3,G$2,G$5,G$1)&gt;((Client_Margin($B36)*Alloted(G$3,G$2,G$5)/Get_Margin(G$3,G$2,G$5,G$1))*Get_Margin(G$3,G$2,G$5,G$1))*$C$3,ROUNDDOWN((Client_Margin($B36)*Alloted(G$3,G$2,G$5)/Get_Margin(G$3,G$2,G$5,G$1)),0),ROUNDUP((Client_Margin($B36)*Alloted(G$3,G$2,G$5)/Get_Margin(G$3,G$2,G$5,G$1)),0)),"-")</f>
        <v>2</v>
      </c>
      <c r="H36" s="43">
        <v>1</v>
      </c>
      <c r="I36" s="43">
        <v>1</v>
      </c>
      <c r="J36" s="43">
        <v>0</v>
      </c>
      <c r="K36" s="14" cm="1">
        <f t="array" ref="K36">IFERROR(IF(ROUNDUP((Client_Margin($B36)*Alloted(K$3,K$2,K$5)/Get_Margin(K$3,K$2,K$5,K$1)),0)*Get_Margin(K$3,K$2,K$5,K$1)&gt;((Client_Margin($B36)*Alloted(K$3,K$2,K$5)/Get_Margin(K$3,K$2,K$5,K$1))*Get_Margin(K$3,K$2,K$5,K$1))*$C$3,ROUNDDOWN((Client_Margin($B36)*Alloted(K$3,K$2,K$5)/Get_Margin(K$3,K$2,K$5,K$1)),0),ROUNDUP((Client_Margin($B36)*Alloted(K$3,K$2,K$5)/Get_Margin(K$3,K$2,K$5,K$1)),0)),"-")</f>
        <v>7</v>
      </c>
      <c r="L36" s="14" cm="1">
        <f t="array" ref="L36">IFERROR(IF(ROUNDUP((Client_Margin($B36)*Alloted(L$3,L$2,L$5)/Get_Margin(L$3,L$2,L$5,L$1)),0)*Get_Margin(L$3,L$2,L$5,L$1)&gt;((Client_Margin($B36)*Alloted(L$3,L$2,L$5)/Get_Margin(L$3,L$2,L$5,L$1))*Get_Margin(L$3,L$2,L$5,L$1))*$C$3,ROUNDDOWN((Client_Margin($B36)*Alloted(L$3,L$2,L$5)/Get_Margin(L$3,L$2,L$5,L$1)),0),ROUNDUP((Client_Margin($B36)*Alloted(L$3,L$2,L$5)/Get_Margin(L$3,L$2,L$5,L$1)),0)),"-")</f>
        <v>0</v>
      </c>
      <c r="M36" s="14" cm="1">
        <f t="array" ref="M36">IFERROR(IF(ROUNDUP((Client_Margin($B36)*Alloted(M$3,M$2,M$5)/Get_Margin(M$3,M$2,M$5,M$1)),0)*Get_Margin(M$3,M$2,M$5,M$1)&gt;((Client_Margin($B36)*Alloted(M$3,M$2,M$5)/Get_Margin(M$3,M$2,M$5,M$1))*Get_Margin(M$3,M$2,M$5,M$1))*$C$3,ROUNDDOWN((Client_Margin($B36)*Alloted(M$3,M$2,M$5)/Get_Margin(M$3,M$2,M$5,M$1)),0),ROUNDUP((Client_Margin($B36)*Alloted(M$3,M$2,M$5)/Get_Margin(M$3,M$2,M$5,M$1)),0)),"-")</f>
        <v>0</v>
      </c>
      <c r="N36" s="43"/>
    </row>
    <row r="37" spans="1:14" x14ac:dyDescent="0.25">
      <c r="A37">
        <f t="shared" si="3"/>
        <v>0</v>
      </c>
      <c r="B37" s="14"/>
      <c r="C37" s="14"/>
      <c r="D37" s="15">
        <f>SUM(E37:N37)</f>
        <v>0.94030769230769229</v>
      </c>
      <c r="E37" s="15" t="str" cm="1">
        <f t="array" ref="E37">IFERROR((_xlfn._xlws.FILTER(INDEX(Margin[],0,MATCH(E$1&amp;"_"&amp;E$3,Margin[#Headers],0)),(Margin[Index]=E$2)*(Margin[Strategy]=E$5))*E36)/Client_Margin($B36),"-")</f>
        <v>-</v>
      </c>
      <c r="F37" s="15" cm="1">
        <f t="array" ref="F37">IFERROR((_xlfn._xlws.FILTER(INDEX(Margin[],0,MATCH(F$1&amp;"_"&amp;F$3,Margin[#Headers],0)),(Margin[Index]=F$2)*(Margin[Strategy]=F$5))*F36)/Client_Margin($B36),"-")</f>
        <v>4.9230769230769231E-2</v>
      </c>
      <c r="G37" s="15" cm="1">
        <f t="array" ref="G37">IFERROR((_xlfn._xlws.FILTER(INDEX(Margin[],0,MATCH(G$1&amp;"_"&amp;G$3,Margin[#Headers],0)),(Margin[Index]=G$2)*(Margin[Strategy]=G$5))*G36)/Client_Margin($B36),"-")</f>
        <v>0.10707692307692308</v>
      </c>
      <c r="H37" s="15" cm="1">
        <f t="array" ref="H37">IFERROR((_xlfn._xlws.FILTER(INDEX(Margin[],0,MATCH(H$1&amp;"_"&amp;H$3,Margin[#Headers],0)),(Margin[Index]=H$2)*(Margin[Strategy]=H$5))*H36)/Client_Margin($B36),"-")</f>
        <v>0.14399999999999999</v>
      </c>
      <c r="I37" s="15" cm="1">
        <f t="array" ref="I37">IFERROR((_xlfn._xlws.FILTER(INDEX(Margin[],0,MATCH(I$1&amp;"_"&amp;I$3,Margin[#Headers],0)),(Margin[Index]=I$2)*(Margin[Strategy]=I$5))*I36)/Client_Margin($B36),"-")</f>
        <v>0.12307692307692308</v>
      </c>
      <c r="J37" s="15" cm="1">
        <f t="array" ref="J37">IFERROR((_xlfn._xlws.FILTER(INDEX(Margin[],0,MATCH(J$1&amp;"_"&amp;J$3,Margin[#Headers],0)),(Margin[Index]=J$2)*(Margin[Strategy]=J$5))*J36)/Client_Margin($B36),"-")</f>
        <v>0</v>
      </c>
      <c r="K37" s="15" cm="1">
        <f t="array" ref="K37">IFERROR((_xlfn._xlws.FILTER(INDEX(Margin[],0,MATCH(K$1&amp;"_"&amp;K$3,Margin[#Headers],0)),(Margin[Index]=K$2)*(Margin[Strategy]=K$5))*K36)/Client_Margin($B36),"-")</f>
        <v>0.51692307692307693</v>
      </c>
      <c r="L37" s="15" cm="1">
        <f t="array" ref="L37">IFERROR((_xlfn._xlws.FILTER(INDEX(Margin[],0,MATCH(L$1&amp;"_"&amp;L$3,Margin[#Headers],0)),(Margin[Index]=L$2)*(Margin[Strategy]=L$5))*L36)/Client_Margin($B36),"-")</f>
        <v>0</v>
      </c>
      <c r="M37" s="15" cm="1">
        <f t="array" ref="M37">IFERROR((_xlfn._xlws.FILTER(INDEX(Margin[],0,MATCH(M$1&amp;"_"&amp;M$3,Margin[#Headers],0)),(Margin[Index]=M$2)*(Margin[Strategy]=M$5))*M36)/Client_Margin($B36),"-")</f>
        <v>0</v>
      </c>
      <c r="N37" s="15" cm="1">
        <f t="array" ref="N37">IFERROR((_xlfn._xlws.FILTER(INDEX(Margin[],0,MATCH(N$1&amp;"_"&amp;N$3,Margin[#Headers],0)),(Margin[Index]=N$2)*(Margin[Strategy]=N$5))*N36)/Client_Margin($B36),"-")</f>
        <v>0</v>
      </c>
    </row>
  </sheetData>
  <autoFilter ref="A5:N38" xr:uid="{FB2A7FDE-B9DB-4D72-966A-43E82A79E3BC}"/>
  <conditionalFormatting sqref="D7:N7">
    <cfRule type="expression" dxfId="110" priority="31">
      <formula>D7&gt;D$4</formula>
    </cfRule>
  </conditionalFormatting>
  <conditionalFormatting sqref="D9:N9">
    <cfRule type="expression" dxfId="109" priority="30">
      <formula>D9&gt;D$4</formula>
    </cfRule>
  </conditionalFormatting>
  <conditionalFormatting sqref="D11:N11">
    <cfRule type="expression" dxfId="108" priority="29">
      <formula>D11&gt;D$4</formula>
    </cfRule>
  </conditionalFormatting>
  <conditionalFormatting sqref="D13:N13">
    <cfRule type="expression" dxfId="107" priority="28">
      <formula>D13&gt;D$4</formula>
    </cfRule>
  </conditionalFormatting>
  <conditionalFormatting sqref="D15:N15">
    <cfRule type="expression" dxfId="106" priority="27">
      <formula>D15&gt;D$4</formula>
    </cfRule>
  </conditionalFormatting>
  <conditionalFormatting sqref="D17:N17">
    <cfRule type="expression" dxfId="105" priority="26">
      <formula>D17&gt;D$4</formula>
    </cfRule>
  </conditionalFormatting>
  <conditionalFormatting sqref="D19:N19">
    <cfRule type="expression" dxfId="104" priority="25">
      <formula>D19&gt;D$4</formula>
    </cfRule>
  </conditionalFormatting>
  <conditionalFormatting sqref="D21:N21">
    <cfRule type="expression" dxfId="103" priority="24">
      <formula>D21&gt;D$4</formula>
    </cfRule>
  </conditionalFormatting>
  <conditionalFormatting sqref="D23:N23">
    <cfRule type="expression" dxfId="102" priority="23">
      <formula>D23&gt;D$4</formula>
    </cfRule>
  </conditionalFormatting>
  <conditionalFormatting sqref="D25:N25">
    <cfRule type="expression" dxfId="101" priority="22">
      <formula>D25&gt;D$4</formula>
    </cfRule>
  </conditionalFormatting>
  <conditionalFormatting sqref="D27:N27">
    <cfRule type="expression" dxfId="100" priority="21">
      <formula>D27&gt;D$4</formula>
    </cfRule>
  </conditionalFormatting>
  <conditionalFormatting sqref="D29:N29">
    <cfRule type="expression" dxfId="99" priority="20">
      <formula>D29&gt;D$4</formula>
    </cfRule>
  </conditionalFormatting>
  <conditionalFormatting sqref="D31:N31">
    <cfRule type="expression" dxfId="98" priority="19">
      <formula>D31&gt;D$4</formula>
    </cfRule>
  </conditionalFormatting>
  <conditionalFormatting sqref="D33:N33">
    <cfRule type="expression" dxfId="97" priority="18">
      <formula>D33&gt;D$4</formula>
    </cfRule>
  </conditionalFormatting>
  <conditionalFormatting sqref="D35:N35">
    <cfRule type="expression" dxfId="96" priority="17">
      <formula>D35&gt;D$4</formula>
    </cfRule>
  </conditionalFormatting>
  <conditionalFormatting sqref="D37:N37">
    <cfRule type="expression" dxfId="95" priority="16">
      <formula>D37&gt;D$4</formula>
    </cfRule>
  </conditionalFormatting>
  <dataValidations disablePrompts="1" count="2">
    <dataValidation type="list" allowBlank="1" showInputMessage="1" showErrorMessage="1" sqref="E1:N1" xr:uid="{23488071-82C1-411E-BA1D-F8E90B1D1AA1}">
      <formula1>"Expiry,N.Expiry"</formula1>
    </dataValidation>
    <dataValidation type="list" allowBlank="1" showInputMessage="1" showErrorMessage="1" sqref="E3:N3" xr:uid="{4CF8309E-F218-43AE-B3EE-5309E133F00F}">
      <formula1>"W.O.H,W.H"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8546E-8EC4-4203-8C4F-856A90DBF75E}">
  <sheetPr codeName="Sheet9"/>
  <dimension ref="A1:T37"/>
  <sheetViews>
    <sheetView topLeftCell="A37" workbookViewId="0">
      <selection activeCell="I16" sqref="I16"/>
    </sheetView>
  </sheetViews>
  <sheetFormatPr defaultRowHeight="15" x14ac:dyDescent="0.25"/>
  <cols>
    <col min="1" max="1" width="2" bestFit="1" customWidth="1"/>
    <col min="2" max="2" width="13.5703125" style="4" bestFit="1" customWidth="1"/>
    <col min="3" max="3" width="10" style="4" bestFit="1" customWidth="1"/>
    <col min="4" max="4" width="7.140625" bestFit="1" customWidth="1"/>
    <col min="5" max="5" width="8.140625" bestFit="1" customWidth="1"/>
    <col min="6" max="6" width="7.5703125" bestFit="1" customWidth="1"/>
    <col min="7" max="9" width="16.85546875" bestFit="1" customWidth="1"/>
    <col min="10" max="10" width="13" bestFit="1" customWidth="1"/>
    <col min="11" max="11" width="12.85546875" bestFit="1" customWidth="1"/>
    <col min="12" max="12" width="13.7109375" bestFit="1" customWidth="1"/>
    <col min="13" max="13" width="15.28515625" bestFit="1" customWidth="1"/>
    <col min="14" max="14" width="15.140625" bestFit="1" customWidth="1"/>
    <col min="16" max="16" width="15.28515625" bestFit="1" customWidth="1"/>
  </cols>
  <sheetData>
    <row r="1" spans="1:20" x14ac:dyDescent="0.25">
      <c r="E1" s="4" t="s">
        <v>105</v>
      </c>
      <c r="F1" s="4" t="s">
        <v>104</v>
      </c>
      <c r="G1" s="4" t="s">
        <v>105</v>
      </c>
      <c r="H1" s="4" t="s">
        <v>105</v>
      </c>
      <c r="I1" s="4" t="s">
        <v>105</v>
      </c>
      <c r="J1" s="4" t="s">
        <v>105</v>
      </c>
      <c r="K1" s="4" t="s">
        <v>105</v>
      </c>
      <c r="L1" s="4" t="s">
        <v>105</v>
      </c>
      <c r="M1" s="4" t="s">
        <v>105</v>
      </c>
      <c r="N1" s="4" t="s">
        <v>105</v>
      </c>
    </row>
    <row r="2" spans="1:20" x14ac:dyDescent="0.25">
      <c r="B2"/>
      <c r="C2"/>
      <c r="E2" s="4" t="s">
        <v>14</v>
      </c>
      <c r="F2" s="4" t="s">
        <v>15</v>
      </c>
      <c r="G2" s="4" t="s">
        <v>15</v>
      </c>
      <c r="H2" s="4" t="s">
        <v>81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</row>
    <row r="3" spans="1:20" x14ac:dyDescent="0.25">
      <c r="B3"/>
      <c r="C3">
        <v>1.1499999999999999</v>
      </c>
      <c r="E3" s="4" t="s">
        <v>103</v>
      </c>
      <c r="F3" s="4" t="s">
        <v>103</v>
      </c>
      <c r="G3" s="4" t="s">
        <v>103</v>
      </c>
      <c r="H3" s="4" t="s">
        <v>102</v>
      </c>
      <c r="I3" s="4" t="s">
        <v>103</v>
      </c>
      <c r="J3" s="4" t="s">
        <v>103</v>
      </c>
      <c r="K3" s="4" t="s">
        <v>103</v>
      </c>
      <c r="L3" s="4" t="s">
        <v>103</v>
      </c>
      <c r="M3" s="4" t="s">
        <v>102</v>
      </c>
      <c r="N3" s="4" t="s">
        <v>102</v>
      </c>
      <c r="S3" s="4"/>
      <c r="T3" s="4"/>
    </row>
    <row r="4" spans="1:20" x14ac:dyDescent="0.25">
      <c r="D4" s="38">
        <f>SUM(E4:N4)</f>
        <v>0.45</v>
      </c>
      <c r="E4" s="39" cm="1">
        <f t="array" ref="E4">IF(Wed!E3="W.H",_xlfn._xlws.FILTER(Margin[Strategy allotment % with hedge],(Margin[Strategy]=Wed!E$5)*(Margin[Index]=Wed!E$2)),_xlfn._xlws.FILTER(Margin[Strategy allotment % without hedge],(Margin[Strategy]=Wed!E$5)*(Margin[Index]=Wed!E$2)))</f>
        <v>0</v>
      </c>
      <c r="F4" s="39" cm="1">
        <f t="array" ref="F4">IF(Wed!F3="W.H",_xlfn._xlws.FILTER(Margin[Strategy allotment % with hedge],(Margin[Strategy]=Wed!F$5)*(Margin[Index]=Wed!F$2)),_xlfn._xlws.FILTER(Margin[Strategy allotment % without hedge],(Margin[Strategy]=Wed!F$5)*(Margin[Index]=Wed!F$2)))</f>
        <v>0</v>
      </c>
      <c r="G4" s="39" cm="1">
        <f t="array" ref="G4">IF(Wed!G3="W.H",_xlfn._xlws.FILTER(Margin[Strategy allotment % with hedge],(Margin[Strategy]=Wed!G$5)*(Margin[Index]=Wed!G$2)),_xlfn._xlws.FILTER(Margin[Strategy allotment % without hedge],(Margin[Strategy]=Wed!G$5)*(Margin[Index]=Wed!G$2)))</f>
        <v>0.1</v>
      </c>
      <c r="H4" s="39" cm="1">
        <f t="array" ref="H4">IF(Wed!H3="W.H",_xlfn._xlws.FILTER(Margin[Strategy allotment % with hedge],(Margin[Strategy]=Wed!H$5)*(Margin[Index]=Wed!H$2)),_xlfn._xlws.FILTER(Margin[Strategy allotment % without hedge],(Margin[Strategy]=Wed!H$5)*(Margin[Index]=Wed!H$2)))</f>
        <v>0.1</v>
      </c>
      <c r="I4" s="39" cm="1">
        <f t="array" ref="I4">IF(Wed!I3="W.H",_xlfn._xlws.FILTER(Margin[Strategy allotment % with hedge],(Margin[Strategy]=Wed!I$5)*(Margin[Index]=Wed!I$2)),_xlfn._xlws.FILTER(Margin[Strategy allotment % without hedge],(Margin[Strategy]=Wed!I$5)*(Margin[Index]=Wed!I$2)))</f>
        <v>0.1</v>
      </c>
      <c r="J4" s="39" cm="1">
        <f t="array" ref="J4">IF(Wed!J3="W.H",_xlfn._xlws.FILTER(Margin[Strategy allotment % with hedge],(Margin[Strategy]=Wed!J$5)*(Margin[Index]=Wed!J$2)),_xlfn._xlws.FILTER(Margin[Strategy allotment % without hedge],(Margin[Strategy]=Wed!J$5)*(Margin[Index]=Wed!J$2)))</f>
        <v>0</v>
      </c>
      <c r="K4" s="39" cm="1">
        <f t="array" ref="K4">IF(Wed!K3="W.H",_xlfn._xlws.FILTER(Margin[Strategy allotment % with hedge],(Margin[Strategy]=Wed!K$5)*(Margin[Index]=Wed!K$2)),_xlfn._xlws.FILTER(Margin[Strategy allotment % without hedge],(Margin[Strategy]=Wed!K$5)*(Margin[Index]=Wed!K$2)))</f>
        <v>0</v>
      </c>
      <c r="L4" s="39" cm="1">
        <f t="array" ref="L4">IF(Wed!L3="W.H",_xlfn._xlws.FILTER(Margin[Strategy allotment % with hedge],(Margin[Strategy]=Wed!L$5)*(Margin[Index]=Wed!L$2)),_xlfn._xlws.FILTER(Margin[Strategy allotment % without hedge],(Margin[Strategy]=Wed!L$5)*(Margin[Index]=Wed!L$2)))</f>
        <v>0.05</v>
      </c>
      <c r="M4" s="39" cm="1">
        <f t="array" ref="M4">IF(Wed!M3="W.H",_xlfn._xlws.FILTER(Margin[Strategy allotment % with hedge],(Margin[Strategy]=Wed!M$5)*(Margin[Index]=Wed!M$2)),_xlfn._xlws.FILTER(Margin[Strategy allotment % without hedge],(Margin[Strategy]=Wed!M$5)*(Margin[Index]=Wed!M$2)))</f>
        <v>0.05</v>
      </c>
      <c r="N4" s="39" cm="1">
        <f t="array" ref="N4">IF(Wed!N3="W.H",_xlfn._xlws.FILTER(Margin[Strategy allotment % with hedge],(Margin[Strategy]=Wed!N$5)*(Margin[Index]=Wed!N$2)),_xlfn._xlws.FILTER(Margin[Strategy allotment % without hedge],(Margin[Strategy]=Wed!N$5)*(Margin[Index]=Wed!N$2)))</f>
        <v>0.05</v>
      </c>
    </row>
    <row r="5" spans="1:20" x14ac:dyDescent="0.25">
      <c r="B5" s="16" t="s">
        <v>50</v>
      </c>
      <c r="C5" s="16" t="s">
        <v>51</v>
      </c>
      <c r="D5" s="16" t="s">
        <v>52</v>
      </c>
      <c r="E5" s="16" t="s">
        <v>67</v>
      </c>
      <c r="F5" s="16" t="s">
        <v>66</v>
      </c>
      <c r="G5" s="16" t="s">
        <v>69</v>
      </c>
      <c r="H5" s="16" t="s">
        <v>69</v>
      </c>
      <c r="I5" s="16" t="s">
        <v>69</v>
      </c>
      <c r="J5" s="16" t="s">
        <v>2</v>
      </c>
      <c r="K5" s="16" t="s">
        <v>3</v>
      </c>
      <c r="L5" s="16" t="s">
        <v>4</v>
      </c>
      <c r="M5" s="16" t="s">
        <v>5</v>
      </c>
      <c r="N5" s="16" t="s">
        <v>6</v>
      </c>
    </row>
    <row r="6" spans="1:20" x14ac:dyDescent="0.25">
      <c r="A6">
        <f>IF(B6="",0,1)</f>
        <v>1</v>
      </c>
      <c r="B6" s="14" t="s">
        <v>20</v>
      </c>
      <c r="C6" s="14" cm="1">
        <f t="array" ref="C6">(_xlfn._xlws.FILTER(Fund[Margin],Fund[Client Id]=B6))/10000000</f>
        <v>7.5</v>
      </c>
      <c r="D6" s="14"/>
      <c r="E6" s="14" t="str" cm="1">
        <f t="array" ref="E6">IFERROR(IF(ROUNDUP((Client_Margin($B6)*Alloted(E$3,E$2,E$5)/Get_Margin(E$3,E$2,E$5,E$1)),0)*Get_Margin(E$3,E$2,E$5,E$1)&gt;((Client_Margin($B6)*Alloted(E$3,E$2,E$5)/Get_Margin(E$3,E$2,E$5,E$1))*Get_Margin(E$3,E$2,E$5,E$1))*$C$3,ROUNDDOWN((Client_Margin($B6)*Alloted(E$3,E$2,E$5)/Get_Margin(E$3,E$2,E$5,E$1)),0),ROUNDUP((Client_Margin($B6)*Alloted(E$3,E$2,E$5)/Get_Margin(E$3,E$2,E$5,E$1)),0)),"-")</f>
        <v>-</v>
      </c>
      <c r="F6" s="14" t="str" cm="1">
        <f t="array" ref="F6">IFERROR(IF(ROUNDUP((Client_Margin($B6)*Alloted(F$3,F$2,F$5)/Get_Margin(F$3,F$2,F$5,F$1)),0)*Get_Margin(F$3,F$2,F$5,F$1)&gt;((Client_Margin($B6)*Alloted(F$3,F$2,F$5)/Get_Margin(F$3,F$2,F$5,F$1))*Get_Margin(F$3,F$2,F$5,F$1))*$C$3,ROUNDDOWN((Client_Margin($B6)*Alloted(F$3,F$2,F$5)/Get_Margin(F$3,F$2,F$5,F$1)),0),ROUNDUP((Client_Margin($B6)*Alloted(F$3,F$2,F$5)/Get_Margin(F$3,F$2,F$5,F$1)),0)),"-")</f>
        <v>-</v>
      </c>
      <c r="G6" s="14" cm="1">
        <f t="array" ref="G6">IFERROR(IF(ROUNDUP((Client_Margin($B6)*Alloted(G$3,G$2,G$5)/Get_Margin(G$3,G$2,G$5,G$1)),0)*Get_Margin(G$3,G$2,G$5,G$1)&gt;((Client_Margin($B6)*Alloted(G$3,G$2,G$5)/Get_Margin(G$3,G$2,G$5,G$1))*Get_Margin(G$3,G$2,G$5,G$1))*$C$3,ROUNDDOWN((Client_Margin($B6)*Alloted(G$3,G$2,G$5)/Get_Margin(G$3,G$2,G$5,G$1)),0),ROUNDUP((Client_Margin($B6)*Alloted(G$3,G$2,G$5)/Get_Margin(G$3,G$2,G$5,G$1)),0)),"-")</f>
        <v>11</v>
      </c>
      <c r="H6" s="14" cm="1">
        <f t="array" ref="H6">IFERROR(IF(ROUNDUP((Client_Margin($B6)*Alloted(H$3,H$2,H$5)/Get_Margin(H$3,H$2,H$5,H$1)),0)*Get_Margin(H$3,H$2,H$5,H$1)&gt;((Client_Margin($B6)*Alloted(H$3,H$2,H$5)/Get_Margin(H$3,H$2,H$5,H$1))*Get_Margin(H$3,H$2,H$5,H$1))*$C$3,ROUNDDOWN((Client_Margin($B6)*Alloted(H$3,H$2,H$5)/Get_Margin(H$3,H$2,H$5,H$1)),0),ROUNDUP((Client_Margin($B6)*Alloted(H$3,H$2,H$5)/Get_Margin(H$3,H$2,H$5,H$1)),0)),"-")</f>
        <v>4</v>
      </c>
      <c r="I6" s="14" cm="1">
        <f t="array" ref="I6">IFERROR(IF(ROUNDUP((Client_Margin($B6)*Alloted(I$3,I$2,I$5)/Get_Margin(I$3,I$2,I$5,I$1)),0)*Get_Margin(I$3,I$2,I$5,I$1)&gt;((Client_Margin($B6)*Alloted(I$3,I$2,I$5)/Get_Margin(I$3,I$2,I$5,I$1))*Get_Margin(I$3,I$2,I$5,I$1))*$C$3,ROUNDDOWN((Client_Margin($B6)*Alloted(I$3,I$2,I$5)/Get_Margin(I$3,I$2,I$5,I$1)),0),ROUNDUP((Client_Margin($B6)*Alloted(I$3,I$2,I$5)/Get_Margin(I$3,I$2,I$5,I$1)),0)),"-")</f>
        <v>5</v>
      </c>
      <c r="J6" s="14" cm="1">
        <f t="array" ref="J6">IFERROR(IF(ROUNDUP((Client_Margin($B6)*Alloted(J$3,J$2,J$5)/Get_Margin(J$3,J$2,J$5,J$1)),0)*Get_Margin(J$3,J$2,J$5,J$1)&gt;((Client_Margin($B6)*Alloted(J$3,J$2,J$5)/Get_Margin(J$3,J$2,J$5,J$1))*Get_Margin(J$3,J$2,J$5,J$1))*$C$3,ROUNDDOWN((Client_Margin($B6)*Alloted(J$3,J$2,J$5)/Get_Margin(J$3,J$2,J$5,J$1)),0),ROUNDUP((Client_Margin($B6)*Alloted(J$3,J$2,J$5)/Get_Margin(J$3,J$2,J$5,J$1)),0)),"-")</f>
        <v>0</v>
      </c>
      <c r="K6" s="14" cm="1">
        <f t="array" ref="K6">IFERROR(IF(ROUNDUP((Client_Margin($B6)*Alloted(K$3,K$2,K$5)/Get_Margin(K$3,K$2,K$5,K$1)),0)*Get_Margin(K$3,K$2,K$5,K$1)&gt;((Client_Margin($B6)*Alloted(K$3,K$2,K$5)/Get_Margin(K$3,K$2,K$5,K$1))*Get_Margin(K$3,K$2,K$5,K$1))*$C$3,ROUNDDOWN((Client_Margin($B6)*Alloted(K$3,K$2,K$5)/Get_Margin(K$3,K$2,K$5,K$1)),0),ROUNDUP((Client_Margin($B6)*Alloted(K$3,K$2,K$5)/Get_Margin(K$3,K$2,K$5,K$1)),0)),"-")</f>
        <v>0</v>
      </c>
      <c r="L6" s="14" cm="1">
        <f t="array" ref="L6">IFERROR(IF(ROUNDUP((Client_Margin($B6)*Alloted(L$3,L$2,L$5)/Get_Margin(L$3,L$2,L$5,L$1)),0)*Get_Margin(L$3,L$2,L$5,L$1)&gt;((Client_Margin($B6)*Alloted(L$3,L$2,L$5)/Get_Margin(L$3,L$2,L$5,L$1))*Get_Margin(L$3,L$2,L$5,L$1))*$C$3,ROUNDDOWN((Client_Margin($B6)*Alloted(L$3,L$2,L$5)/Get_Margin(L$3,L$2,L$5,L$1)),0),ROUNDUP((Client_Margin($B6)*Alloted(L$3,L$2,L$5)/Get_Margin(L$3,L$2,L$5,L$1)),0)),"-")</f>
        <v>11</v>
      </c>
      <c r="M6" s="14" cm="1">
        <f t="array" ref="M6">IFERROR(IF(ROUNDUP((Client_Margin($B6)*Alloted(M$3,M$2,M$5)/Get_Margin(M$3,M$2,M$5,M$1)),0)*Get_Margin(M$3,M$2,M$5,M$1)&gt;((Client_Margin($B6)*Alloted(M$3,M$2,M$5)/Get_Margin(M$3,M$2,M$5,M$1))*Get_Margin(M$3,M$2,M$5,M$1))*$C$3,ROUNDDOWN((Client_Margin($B6)*Alloted(M$3,M$2,M$5)/Get_Margin(M$3,M$2,M$5,M$1)),0),ROUNDUP((Client_Margin($B6)*Alloted(M$3,M$2,M$5)/Get_Margin(M$3,M$2,M$5,M$1)),0)),"-")</f>
        <v>12</v>
      </c>
      <c r="N6" s="14" cm="1">
        <f t="array" ref="N6">IFERROR(IF(ROUNDUP((Client_Margin($B6)*Alloted(N$3,N$2,N$5)/Get_Margin(N$3,N$2,N$5,N$1)),0)*Get_Margin(N$3,N$2,N$5,N$1)&gt;((Client_Margin($B6)*Alloted(N$3,N$2,N$5)/Get_Margin(N$3,N$2,N$5,N$1))*Get_Margin(N$3,N$2,N$5,N$1))*$C$3,ROUNDDOWN((Client_Margin($B6)*Alloted(N$3,N$2,N$5)/Get_Margin(N$3,N$2,N$5,N$1)),0),ROUNDUP((Client_Margin($B6)*Alloted(N$3,N$2,N$5)/Get_Margin(N$3,N$2,N$5,N$1)),0)),"-")</f>
        <v>12</v>
      </c>
    </row>
    <row r="7" spans="1:20" x14ac:dyDescent="0.25">
      <c r="A7">
        <f t="shared" ref="A7:A11" si="0">IF(B7="",0,1)</f>
        <v>0</v>
      </c>
      <c r="B7" s="14"/>
      <c r="C7" s="14"/>
      <c r="D7" s="15">
        <f>SUM(E7:N7)</f>
        <v>0.46872000000000003</v>
      </c>
      <c r="E7" s="15" t="str" cm="1">
        <f t="array" ref="E7">IFERROR((_xlfn._xlws.FILTER(INDEX(Margin[],0,MATCH(E$1&amp;"_"&amp;E$3,Margin[#Headers],0)),(Margin[Index]=E$2)*(Margin[Strategy]=E$5))*E6)/Client_Margin($B6),"-")</f>
        <v>-</v>
      </c>
      <c r="F7" s="15" t="str" cm="1">
        <f t="array" ref="F7">IFERROR((_xlfn._xlws.FILTER(INDEX(Margin[],0,MATCH(F$1&amp;"_"&amp;F$3,Margin[#Headers],0)),(Margin[Index]=F$2)*(Margin[Strategy]=F$5))*F6)/Client_Margin($B6),"-")</f>
        <v>-</v>
      </c>
      <c r="G7" s="15" cm="1">
        <f t="array" ref="G7">IFERROR((_xlfn._xlws.FILTER(INDEX(Margin[],0,MATCH(G$1&amp;"_"&amp;G$3,Margin[#Headers],0)),(Margin[Index]=G$2)*(Margin[Strategy]=G$5))*G6)/Client_Margin($B6),"-")</f>
        <v>0.10208</v>
      </c>
      <c r="H7" s="15" cm="1">
        <f t="array" ref="H7">IFERROR((_xlfn._xlws.FILTER(INDEX(Margin[],0,MATCH(H$1&amp;"_"&amp;H$3,Margin[#Headers],0)),(Margin[Index]=H$2)*(Margin[Strategy]=H$5))*H6)/Client_Margin($B6),"-")</f>
        <v>9.9839999999999998E-2</v>
      </c>
      <c r="I7" s="15" cm="1">
        <f t="array" ref="I7">IFERROR((_xlfn._xlws.FILTER(INDEX(Margin[],0,MATCH(I$1&amp;"_"&amp;I$3,Margin[#Headers],0)),(Margin[Index]=I$2)*(Margin[Strategy]=I$5))*I6)/Client_Margin($B6),"-")</f>
        <v>0.10666666666666667</v>
      </c>
      <c r="J7" s="15" cm="1">
        <f t="array" ref="J7">IFERROR((_xlfn._xlws.FILTER(INDEX(Margin[],0,MATCH(J$1&amp;"_"&amp;J$3,Margin[#Headers],0)),(Margin[Index]=J$2)*(Margin[Strategy]=J$5))*J6)/Client_Margin($B6),"-")</f>
        <v>0</v>
      </c>
      <c r="K7" s="15" cm="1">
        <f t="array" ref="K7">IFERROR((_xlfn._xlws.FILTER(INDEX(Margin[],0,MATCH(K$1&amp;"_"&amp;K$3,Margin[#Headers],0)),(Margin[Index]=K$2)*(Margin[Strategy]=K$5))*K6)/Client_Margin($B6),"-")</f>
        <v>0</v>
      </c>
      <c r="L7" s="15" cm="1">
        <f t="array" ref="L7">IFERROR((_xlfn._xlws.FILTER(INDEX(Margin[],0,MATCH(L$1&amp;"_"&amp;L$3,Margin[#Headers],0)),(Margin[Index]=L$2)*(Margin[Strategy]=L$5))*L6)/Client_Margin($B6),"-")</f>
        <v>5.1333333333333335E-2</v>
      </c>
      <c r="M7" s="15" cm="1">
        <f t="array" ref="M7">IFERROR((_xlfn._xlws.FILTER(INDEX(Margin[],0,MATCH(M$1&amp;"_"&amp;M$3,Margin[#Headers],0)),(Margin[Index]=M$2)*(Margin[Strategy]=M$5))*M6)/Client_Margin($B6),"-")</f>
        <v>5.4399999999999997E-2</v>
      </c>
      <c r="N7" s="15" cm="1">
        <f t="array" ref="N7">IFERROR((_xlfn._xlws.FILTER(INDEX(Margin[],0,MATCH(N$1&amp;"_"&amp;N$3,Margin[#Headers],0)),(Margin[Index]=N$2)*(Margin[Strategy]=N$5))*N6)/Client_Margin($B6),"-")</f>
        <v>5.4399999999999997E-2</v>
      </c>
    </row>
    <row r="8" spans="1:20" x14ac:dyDescent="0.25">
      <c r="A8">
        <f t="shared" si="0"/>
        <v>1</v>
      </c>
      <c r="B8" s="14" t="s">
        <v>46</v>
      </c>
      <c r="C8" s="14" cm="1">
        <f t="array" ref="C8">(_xlfn._xlws.FILTER(Fund[Margin],Fund[Client Id]=B8))/10000000</f>
        <v>6.8</v>
      </c>
      <c r="D8" s="17"/>
      <c r="E8" s="14" t="str" cm="1">
        <f t="array" ref="E8">IFERROR(IF(ROUNDUP((Client_Margin($B8)*Alloted(E$3,E$2,E$5)/Get_Margin(E$3,E$2,E$5,E$1)),0)*Get_Margin(E$3,E$2,E$5,E$1)&gt;((Client_Margin($B8)*Alloted(E$3,E$2,E$5)/Get_Margin(E$3,E$2,E$5,E$1))*Get_Margin(E$3,E$2,E$5,E$1))*$C$3,ROUNDDOWN((Client_Margin($B8)*Alloted(E$3,E$2,E$5)/Get_Margin(E$3,E$2,E$5,E$1)),0),ROUNDUP((Client_Margin($B8)*Alloted(E$3,E$2,E$5)/Get_Margin(E$3,E$2,E$5,E$1)),0)),"-")</f>
        <v>-</v>
      </c>
      <c r="F8" s="14" t="str" cm="1">
        <f t="array" ref="F8">IFERROR(IF(ROUNDUP((Client_Margin($B8)*Alloted(F$3,F$2,F$5)/Get_Margin(F$3,F$2,F$5,F$1)),0)*Get_Margin(F$3,F$2,F$5,F$1)&gt;((Client_Margin($B8)*Alloted(F$3,F$2,F$5)/Get_Margin(F$3,F$2,F$5,F$1))*Get_Margin(F$3,F$2,F$5,F$1))*$C$3,ROUNDDOWN((Client_Margin($B8)*Alloted(F$3,F$2,F$5)/Get_Margin(F$3,F$2,F$5,F$1)),0),ROUNDUP((Client_Margin($B8)*Alloted(F$3,F$2,F$5)/Get_Margin(F$3,F$2,F$5,F$1)),0)),"-")</f>
        <v>-</v>
      </c>
      <c r="G8" s="14" cm="1">
        <f t="array" ref="G8">IFERROR(IF(ROUNDUP((Client_Margin($B8)*Alloted(G$3,G$2,G$5)/Get_Margin(G$3,G$2,G$5,G$1)),0)*Get_Margin(G$3,G$2,G$5,G$1)&gt;((Client_Margin($B8)*Alloted(G$3,G$2,G$5)/Get_Margin(G$3,G$2,G$5,G$1))*Get_Margin(G$3,G$2,G$5,G$1))*$C$3,ROUNDDOWN((Client_Margin($B8)*Alloted(G$3,G$2,G$5)/Get_Margin(G$3,G$2,G$5,G$1)),0),ROUNDUP((Client_Margin($B8)*Alloted(G$3,G$2,G$5)/Get_Margin(G$3,G$2,G$5,G$1)),0)),"-")</f>
        <v>10</v>
      </c>
      <c r="H8" s="14" cm="1">
        <f t="array" ref="H8">IFERROR(IF(ROUNDUP((Client_Margin($B8)*Alloted(H$3,H$2,H$5)/Get_Margin(H$3,H$2,H$5,H$1)),0)*Get_Margin(H$3,H$2,H$5,H$1)&gt;((Client_Margin($B8)*Alloted(H$3,H$2,H$5)/Get_Margin(H$3,H$2,H$5,H$1))*Get_Margin(H$3,H$2,H$5,H$1))*$C$3,ROUNDDOWN((Client_Margin($B8)*Alloted(H$3,H$2,H$5)/Get_Margin(H$3,H$2,H$5,H$1)),0),ROUNDUP((Client_Margin($B8)*Alloted(H$3,H$2,H$5)/Get_Margin(H$3,H$2,H$5,H$1)),0)),"-")</f>
        <v>4</v>
      </c>
      <c r="I8" s="14" cm="1">
        <f t="array" ref="I8">IFERROR(IF(ROUNDUP((Client_Margin($B8)*Alloted(I$3,I$2,I$5)/Get_Margin(I$3,I$2,I$5,I$1)),0)*Get_Margin(I$3,I$2,I$5,I$1)&gt;((Client_Margin($B8)*Alloted(I$3,I$2,I$5)/Get_Margin(I$3,I$2,I$5,I$1))*Get_Margin(I$3,I$2,I$5,I$1))*$C$3,ROUNDDOWN((Client_Margin($B8)*Alloted(I$3,I$2,I$5)/Get_Margin(I$3,I$2,I$5,I$1)),0),ROUNDUP((Client_Margin($B8)*Alloted(I$3,I$2,I$5)/Get_Margin(I$3,I$2,I$5,I$1)),0)),"-")</f>
        <v>4</v>
      </c>
      <c r="J8" s="14" cm="1">
        <f t="array" ref="J8">IFERROR(IF(ROUNDUP((Client_Margin($B8)*Alloted(J$3,J$2,J$5)/Get_Margin(J$3,J$2,J$5,J$1)),0)*Get_Margin(J$3,J$2,J$5,J$1)&gt;((Client_Margin($B8)*Alloted(J$3,J$2,J$5)/Get_Margin(J$3,J$2,J$5,J$1))*Get_Margin(J$3,J$2,J$5,J$1))*$C$3,ROUNDDOWN((Client_Margin($B8)*Alloted(J$3,J$2,J$5)/Get_Margin(J$3,J$2,J$5,J$1)),0),ROUNDUP((Client_Margin($B8)*Alloted(J$3,J$2,J$5)/Get_Margin(J$3,J$2,J$5,J$1)),0)),"-")</f>
        <v>0</v>
      </c>
      <c r="K8" s="14" cm="1">
        <f t="array" ref="K8">IFERROR(IF(ROUNDUP((Client_Margin($B8)*Alloted(K$3,K$2,K$5)/Get_Margin(K$3,K$2,K$5,K$1)),0)*Get_Margin(K$3,K$2,K$5,K$1)&gt;((Client_Margin($B8)*Alloted(K$3,K$2,K$5)/Get_Margin(K$3,K$2,K$5,K$1))*Get_Margin(K$3,K$2,K$5,K$1))*$C$3,ROUNDDOWN((Client_Margin($B8)*Alloted(K$3,K$2,K$5)/Get_Margin(K$3,K$2,K$5,K$1)),0),ROUNDUP((Client_Margin($B8)*Alloted(K$3,K$2,K$5)/Get_Margin(K$3,K$2,K$5,K$1)),0)),"-")</f>
        <v>0</v>
      </c>
      <c r="L8" s="14" cm="1">
        <f t="array" ref="L8">IFERROR(IF(ROUNDUP((Client_Margin($B8)*Alloted(L$3,L$2,L$5)/Get_Margin(L$3,L$2,L$5,L$1)),0)*Get_Margin(L$3,L$2,L$5,L$1)&gt;((Client_Margin($B8)*Alloted(L$3,L$2,L$5)/Get_Margin(L$3,L$2,L$5,L$1))*Get_Margin(L$3,L$2,L$5,L$1))*$C$3,ROUNDDOWN((Client_Margin($B8)*Alloted(L$3,L$2,L$5)/Get_Margin(L$3,L$2,L$5,L$1)),0),ROUNDUP((Client_Margin($B8)*Alloted(L$3,L$2,L$5)/Get_Margin(L$3,L$2,L$5,L$1)),0)),"-")</f>
        <v>10</v>
      </c>
      <c r="M8" s="14" cm="1">
        <f t="array" ref="M8">IFERROR(IF(ROUNDUP((Client_Margin($B8)*Alloted(M$3,M$2,M$5)/Get_Margin(M$3,M$2,M$5,M$1)),0)*Get_Margin(M$3,M$2,M$5,M$1)&gt;((Client_Margin($B8)*Alloted(M$3,M$2,M$5)/Get_Margin(M$3,M$2,M$5,M$1))*Get_Margin(M$3,M$2,M$5,M$1))*$C$3,ROUNDDOWN((Client_Margin($B8)*Alloted(M$3,M$2,M$5)/Get_Margin(M$3,M$2,M$5,M$1)),0),ROUNDUP((Client_Margin($B8)*Alloted(M$3,M$2,M$5)/Get_Margin(M$3,M$2,M$5,M$1)),0)),"-")</f>
        <v>10</v>
      </c>
      <c r="N8" s="14" cm="1">
        <f t="array" ref="N8">IFERROR(IF(ROUNDUP((Client_Margin($B8)*Alloted(N$3,N$2,N$5)/Get_Margin(N$3,N$2,N$5,N$1)),0)*Get_Margin(N$3,N$2,N$5,N$1)&gt;((Client_Margin($B8)*Alloted(N$3,N$2,N$5)/Get_Margin(N$3,N$2,N$5,N$1))*Get_Margin(N$3,N$2,N$5,N$1))*$C$3,ROUNDDOWN((Client_Margin($B8)*Alloted(N$3,N$2,N$5)/Get_Margin(N$3,N$2,N$5,N$1)),0),ROUNDUP((Client_Margin($B8)*Alloted(N$3,N$2,N$5)/Get_Margin(N$3,N$2,N$5,N$1)),0)),"-")</f>
        <v>10</v>
      </c>
    </row>
    <row r="9" spans="1:20" x14ac:dyDescent="0.25">
      <c r="A9">
        <f t="shared" si="0"/>
        <v>0</v>
      </c>
      <c r="B9" s="14"/>
      <c r="C9" s="14"/>
      <c r="D9" s="15">
        <f>SUM(E9:N9)</f>
        <v>0.45805882352941174</v>
      </c>
      <c r="E9" s="15" t="str" cm="1">
        <f t="array" ref="E9">IFERROR((_xlfn._xlws.FILTER(INDEX(Margin[],0,MATCH(E$1&amp;"_"&amp;E$3,Margin[#Headers],0)),(Margin[Index]=E$2)*(Margin[Strategy]=E$5))*E8)/Client_Margin($B8),"-")</f>
        <v>-</v>
      </c>
      <c r="F9" s="15" t="str" cm="1">
        <f t="array" ref="F9">IFERROR((_xlfn._xlws.FILTER(INDEX(Margin[],0,MATCH(F$1&amp;"_"&amp;F$3,Margin[#Headers],0)),(Margin[Index]=F$2)*(Margin[Strategy]=F$5))*F8)/Client_Margin($B8),"-")</f>
        <v>-</v>
      </c>
      <c r="G9" s="15" cm="1">
        <f t="array" ref="G9">IFERROR((_xlfn._xlws.FILTER(INDEX(Margin[],0,MATCH(G$1&amp;"_"&amp;G$3,Margin[#Headers],0)),(Margin[Index]=G$2)*(Margin[Strategy]=G$5))*G8)/Client_Margin($B8),"-")</f>
        <v>0.10235294117647059</v>
      </c>
      <c r="H9" s="15" cm="1">
        <f t="array" ref="H9">IFERROR((_xlfn._xlws.FILTER(INDEX(Margin[],0,MATCH(H$1&amp;"_"&amp;H$3,Margin[#Headers],0)),(Margin[Index]=H$2)*(Margin[Strategy]=H$5))*H8)/Client_Margin($B8),"-")</f>
        <v>0.11011764705882353</v>
      </c>
      <c r="I9" s="15" cm="1">
        <f t="array" ref="I9">IFERROR((_xlfn._xlws.FILTER(INDEX(Margin[],0,MATCH(I$1&amp;"_"&amp;I$3,Margin[#Headers],0)),(Margin[Index]=I$2)*(Margin[Strategy]=I$5))*I8)/Client_Margin($B8),"-")</f>
        <v>9.4117647058823528E-2</v>
      </c>
      <c r="J9" s="15" cm="1">
        <f t="array" ref="J9">IFERROR((_xlfn._xlws.FILTER(INDEX(Margin[],0,MATCH(J$1&amp;"_"&amp;J$3,Margin[#Headers],0)),(Margin[Index]=J$2)*(Margin[Strategy]=J$5))*J8)/Client_Margin($B8),"-")</f>
        <v>0</v>
      </c>
      <c r="K9" s="15" cm="1">
        <f t="array" ref="K9">IFERROR((_xlfn._xlws.FILTER(INDEX(Margin[],0,MATCH(K$1&amp;"_"&amp;K$3,Margin[#Headers],0)),(Margin[Index]=K$2)*(Margin[Strategy]=K$5))*K8)/Client_Margin($B8),"-")</f>
        <v>0</v>
      </c>
      <c r="L9" s="15" cm="1">
        <f t="array" ref="L9">IFERROR((_xlfn._xlws.FILTER(INDEX(Margin[],0,MATCH(L$1&amp;"_"&amp;L$3,Margin[#Headers],0)),(Margin[Index]=L$2)*(Margin[Strategy]=L$5))*L8)/Client_Margin($B8),"-")</f>
        <v>5.1470588235294115E-2</v>
      </c>
      <c r="M9" s="15" cm="1">
        <f t="array" ref="M9">IFERROR((_xlfn._xlws.FILTER(INDEX(Margin[],0,MATCH(M$1&amp;"_"&amp;M$3,Margin[#Headers],0)),(Margin[Index]=M$2)*(Margin[Strategy]=M$5))*M8)/Client_Margin($B8),"-")</f>
        <v>0.05</v>
      </c>
      <c r="N9" s="15" cm="1">
        <f t="array" ref="N9">IFERROR((_xlfn._xlws.FILTER(INDEX(Margin[],0,MATCH(N$1&amp;"_"&amp;N$3,Margin[#Headers],0)),(Margin[Index]=N$2)*(Margin[Strategy]=N$5))*N8)/Client_Margin($B8),"-")</f>
        <v>0.05</v>
      </c>
    </row>
    <row r="10" spans="1:20" x14ac:dyDescent="0.25">
      <c r="A10">
        <f t="shared" si="0"/>
        <v>1</v>
      </c>
      <c r="B10" s="14" t="s">
        <v>30</v>
      </c>
      <c r="C10" s="14" cm="1">
        <f t="array" ref="C10">(_xlfn._xlws.FILTER(Fund[Margin],Fund[Client Id]=B10))/10000000</f>
        <v>6</v>
      </c>
      <c r="D10" s="17"/>
      <c r="E10" s="14" t="str" cm="1">
        <f t="array" ref="E10">IFERROR(IF(ROUNDUP((Client_Margin($B10)*Alloted(E$3,E$2,E$5)/Get_Margin(E$3,E$2,E$5,E$1)),0)*Get_Margin(E$3,E$2,E$5,E$1)&gt;((Client_Margin($B10)*Alloted(E$3,E$2,E$5)/Get_Margin(E$3,E$2,E$5,E$1))*Get_Margin(E$3,E$2,E$5,E$1))*$C$3,ROUNDDOWN((Client_Margin($B10)*Alloted(E$3,E$2,E$5)/Get_Margin(E$3,E$2,E$5,E$1)),0),ROUNDUP((Client_Margin($B10)*Alloted(E$3,E$2,E$5)/Get_Margin(E$3,E$2,E$5,E$1)),0)),"-")</f>
        <v>-</v>
      </c>
      <c r="F10" s="14" t="str" cm="1">
        <f t="array" ref="F10">IFERROR(IF(ROUNDUP((Client_Margin($B10)*Alloted(F$3,F$2,F$5)/Get_Margin(F$3,F$2,F$5,F$1)),0)*Get_Margin(F$3,F$2,F$5,F$1)&gt;((Client_Margin($B10)*Alloted(F$3,F$2,F$5)/Get_Margin(F$3,F$2,F$5,F$1))*Get_Margin(F$3,F$2,F$5,F$1))*$C$3,ROUNDDOWN((Client_Margin($B10)*Alloted(F$3,F$2,F$5)/Get_Margin(F$3,F$2,F$5,F$1)),0),ROUNDUP((Client_Margin($B10)*Alloted(F$3,F$2,F$5)/Get_Margin(F$3,F$2,F$5,F$1)),0)),"-")</f>
        <v>-</v>
      </c>
      <c r="G10" s="14" cm="1">
        <f t="array" ref="G10">IFERROR(IF(ROUNDUP((Client_Margin($B10)*Alloted(G$3,G$2,G$5)/Get_Margin(G$3,G$2,G$5,G$1)),0)*Get_Margin(G$3,G$2,G$5,G$1)&gt;((Client_Margin($B10)*Alloted(G$3,G$2,G$5)/Get_Margin(G$3,G$2,G$5,G$1))*Get_Margin(G$3,G$2,G$5,G$1))*$C$3,ROUNDDOWN((Client_Margin($B10)*Alloted(G$3,G$2,G$5)/Get_Margin(G$3,G$2,G$5,G$1)),0),ROUNDUP((Client_Margin($B10)*Alloted(G$3,G$2,G$5)/Get_Margin(G$3,G$2,G$5,G$1)),0)),"-")</f>
        <v>9</v>
      </c>
      <c r="H10" s="14" cm="1">
        <f t="array" ref="H10">IFERROR(IF(ROUNDUP((Client_Margin($B10)*Alloted(H$3,H$2,H$5)/Get_Margin(H$3,H$2,H$5,H$1)),0)*Get_Margin(H$3,H$2,H$5,H$1)&gt;((Client_Margin($B10)*Alloted(H$3,H$2,H$5)/Get_Margin(H$3,H$2,H$5,H$1))*Get_Margin(H$3,H$2,H$5,H$1))*$C$3,ROUNDDOWN((Client_Margin($B10)*Alloted(H$3,H$2,H$5)/Get_Margin(H$3,H$2,H$5,H$1)),0),ROUNDUP((Client_Margin($B10)*Alloted(H$3,H$2,H$5)/Get_Margin(H$3,H$2,H$5,H$1)),0)),"-")</f>
        <v>3</v>
      </c>
      <c r="I10" s="14" cm="1">
        <f t="array" ref="I10">IFERROR(IF(ROUNDUP((Client_Margin($B10)*Alloted(I$3,I$2,I$5)/Get_Margin(I$3,I$2,I$5,I$1)),0)*Get_Margin(I$3,I$2,I$5,I$1)&gt;((Client_Margin($B10)*Alloted(I$3,I$2,I$5)/Get_Margin(I$3,I$2,I$5,I$1))*Get_Margin(I$3,I$2,I$5,I$1))*$C$3,ROUNDDOWN((Client_Margin($B10)*Alloted(I$3,I$2,I$5)/Get_Margin(I$3,I$2,I$5,I$1)),0),ROUNDUP((Client_Margin($B10)*Alloted(I$3,I$2,I$5)/Get_Margin(I$3,I$2,I$5,I$1)),0)),"-")</f>
        <v>4</v>
      </c>
      <c r="J10" s="14" cm="1">
        <f t="array" ref="J10">IFERROR(IF(ROUNDUP((Client_Margin($B10)*Alloted(J$3,J$2,J$5)/Get_Margin(J$3,J$2,J$5,J$1)),0)*Get_Margin(J$3,J$2,J$5,J$1)&gt;((Client_Margin($B10)*Alloted(J$3,J$2,J$5)/Get_Margin(J$3,J$2,J$5,J$1))*Get_Margin(J$3,J$2,J$5,J$1))*$C$3,ROUNDDOWN((Client_Margin($B10)*Alloted(J$3,J$2,J$5)/Get_Margin(J$3,J$2,J$5,J$1)),0),ROUNDUP((Client_Margin($B10)*Alloted(J$3,J$2,J$5)/Get_Margin(J$3,J$2,J$5,J$1)),0)),"-")</f>
        <v>0</v>
      </c>
      <c r="K10" s="14" cm="1">
        <f t="array" ref="K10">IFERROR(IF(ROUNDUP((Client_Margin($B10)*Alloted(K$3,K$2,K$5)/Get_Margin(K$3,K$2,K$5,K$1)),0)*Get_Margin(K$3,K$2,K$5,K$1)&gt;((Client_Margin($B10)*Alloted(K$3,K$2,K$5)/Get_Margin(K$3,K$2,K$5,K$1))*Get_Margin(K$3,K$2,K$5,K$1))*$C$3,ROUNDDOWN((Client_Margin($B10)*Alloted(K$3,K$2,K$5)/Get_Margin(K$3,K$2,K$5,K$1)),0),ROUNDUP((Client_Margin($B10)*Alloted(K$3,K$2,K$5)/Get_Margin(K$3,K$2,K$5,K$1)),0)),"-")</f>
        <v>0</v>
      </c>
      <c r="L10" s="14" cm="1">
        <f t="array" ref="L10">IFERROR(IF(ROUNDUP((Client_Margin($B10)*Alloted(L$3,L$2,L$5)/Get_Margin(L$3,L$2,L$5,L$1)),0)*Get_Margin(L$3,L$2,L$5,L$1)&gt;((Client_Margin($B10)*Alloted(L$3,L$2,L$5)/Get_Margin(L$3,L$2,L$5,L$1))*Get_Margin(L$3,L$2,L$5,L$1))*$C$3,ROUNDDOWN((Client_Margin($B10)*Alloted(L$3,L$2,L$5)/Get_Margin(L$3,L$2,L$5,L$1)),0),ROUNDUP((Client_Margin($B10)*Alloted(L$3,L$2,L$5)/Get_Margin(L$3,L$2,L$5,L$1)),0)),"-")</f>
        <v>9</v>
      </c>
      <c r="M10" s="14" cm="1">
        <f t="array" ref="M10">IFERROR(IF(ROUNDUP((Client_Margin($B10)*Alloted(M$3,M$2,M$5)/Get_Margin(M$3,M$2,M$5,M$1)),0)*Get_Margin(M$3,M$2,M$5,M$1)&gt;((Client_Margin($B10)*Alloted(M$3,M$2,M$5)/Get_Margin(M$3,M$2,M$5,M$1))*Get_Margin(M$3,M$2,M$5,M$1))*$C$3,ROUNDDOWN((Client_Margin($B10)*Alloted(M$3,M$2,M$5)/Get_Margin(M$3,M$2,M$5,M$1)),0),ROUNDUP((Client_Margin($B10)*Alloted(M$3,M$2,M$5)/Get_Margin(M$3,M$2,M$5,M$1)),0)),"-")</f>
        <v>9</v>
      </c>
      <c r="N10" s="14" cm="1">
        <f t="array" ref="N10">IFERROR(IF(ROUNDUP((Client_Margin($B10)*Alloted(N$3,N$2,N$5)/Get_Margin(N$3,N$2,N$5,N$1)),0)*Get_Margin(N$3,N$2,N$5,N$1)&gt;((Client_Margin($B10)*Alloted(N$3,N$2,N$5)/Get_Margin(N$3,N$2,N$5,N$1))*Get_Margin(N$3,N$2,N$5,N$1))*$C$3,ROUNDDOWN((Client_Margin($B10)*Alloted(N$3,N$2,N$5)/Get_Margin(N$3,N$2,N$5,N$1)),0),ROUNDUP((Client_Margin($B10)*Alloted(N$3,N$2,N$5)/Get_Margin(N$3,N$2,N$5,N$1)),0)),"-")</f>
        <v>9</v>
      </c>
    </row>
    <row r="11" spans="1:20" x14ac:dyDescent="0.25">
      <c r="A11">
        <f t="shared" si="0"/>
        <v>0</v>
      </c>
      <c r="B11" s="14"/>
      <c r="C11" s="14"/>
      <c r="D11" s="15">
        <f>SUM(E11:N11)</f>
        <v>0.45916666666666667</v>
      </c>
      <c r="E11" s="15" t="str" cm="1">
        <f t="array" ref="E11">IFERROR((_xlfn._xlws.FILTER(INDEX(Margin[],0,MATCH(E$1&amp;"_"&amp;E$3,Margin[#Headers],0)),(Margin[Index]=E$2)*(Margin[Strategy]=E$5))*E10)/Client_Margin($B10),"-")</f>
        <v>-</v>
      </c>
      <c r="F11" s="15" t="str" cm="1">
        <f t="array" ref="F11">IFERROR((_xlfn._xlws.FILTER(INDEX(Margin[],0,MATCH(F$1&amp;"_"&amp;F$3,Margin[#Headers],0)),(Margin[Index]=F$2)*(Margin[Strategy]=F$5))*F10)/Client_Margin($B10),"-")</f>
        <v>-</v>
      </c>
      <c r="G11" s="15" cm="1">
        <f t="array" ref="G11">IFERROR((_xlfn._xlws.FILTER(INDEX(Margin[],0,MATCH(G$1&amp;"_"&amp;G$3,Margin[#Headers],0)),(Margin[Index]=G$2)*(Margin[Strategy]=G$5))*G10)/Client_Margin($B10),"-")</f>
        <v>0.10440000000000001</v>
      </c>
      <c r="H11" s="15" cm="1">
        <f t="array" ref="H11">IFERROR((_xlfn._xlws.FILTER(INDEX(Margin[],0,MATCH(H$1&amp;"_"&amp;H$3,Margin[#Headers],0)),(Margin[Index]=H$2)*(Margin[Strategy]=H$5))*H10)/Client_Margin($B10),"-")</f>
        <v>9.3600000000000003E-2</v>
      </c>
      <c r="I11" s="15" cm="1">
        <f t="array" ref="I11">IFERROR((_xlfn._xlws.FILTER(INDEX(Margin[],0,MATCH(I$1&amp;"_"&amp;I$3,Margin[#Headers],0)),(Margin[Index]=I$2)*(Margin[Strategy]=I$5))*I10)/Client_Margin($B10),"-")</f>
        <v>0.10666666666666667</v>
      </c>
      <c r="J11" s="15" cm="1">
        <f t="array" ref="J11">IFERROR((_xlfn._xlws.FILTER(INDEX(Margin[],0,MATCH(J$1&amp;"_"&amp;J$3,Margin[#Headers],0)),(Margin[Index]=J$2)*(Margin[Strategy]=J$5))*J10)/Client_Margin($B10),"-")</f>
        <v>0</v>
      </c>
      <c r="K11" s="15" cm="1">
        <f t="array" ref="K11">IFERROR((_xlfn._xlws.FILTER(INDEX(Margin[],0,MATCH(K$1&amp;"_"&amp;K$3,Margin[#Headers],0)),(Margin[Index]=K$2)*(Margin[Strategy]=K$5))*K10)/Client_Margin($B10),"-")</f>
        <v>0</v>
      </c>
      <c r="L11" s="15" cm="1">
        <f t="array" ref="L11">IFERROR((_xlfn._xlws.FILTER(INDEX(Margin[],0,MATCH(L$1&amp;"_"&amp;L$3,Margin[#Headers],0)),(Margin[Index]=L$2)*(Margin[Strategy]=L$5))*L10)/Client_Margin($B10),"-")</f>
        <v>5.2499999999999998E-2</v>
      </c>
      <c r="M11" s="15" cm="1">
        <f t="array" ref="M11">IFERROR((_xlfn._xlws.FILTER(INDEX(Margin[],0,MATCH(M$1&amp;"_"&amp;M$3,Margin[#Headers],0)),(Margin[Index]=M$2)*(Margin[Strategy]=M$5))*M10)/Client_Margin($B10),"-")</f>
        <v>5.0999999999999997E-2</v>
      </c>
      <c r="N11" s="15" cm="1">
        <f t="array" ref="N11">IFERROR((_xlfn._xlws.FILTER(INDEX(Margin[],0,MATCH(N$1&amp;"_"&amp;N$3,Margin[#Headers],0)),(Margin[Index]=N$2)*(Margin[Strategy]=N$5))*N10)/Client_Margin($B10),"-")</f>
        <v>5.0999999999999997E-2</v>
      </c>
    </row>
    <row r="12" spans="1:20" x14ac:dyDescent="0.25">
      <c r="A12">
        <f>IF(B12="",0,1)</f>
        <v>1</v>
      </c>
      <c r="B12" s="14" t="s">
        <v>111</v>
      </c>
      <c r="C12" s="14" cm="1">
        <f t="array" ref="C12">(_xlfn._xlws.FILTER(Fund[Margin],Fund[Client Id]=B12))/10000000</f>
        <v>5.9</v>
      </c>
      <c r="D12" s="17"/>
      <c r="E12" s="14" t="str" cm="1">
        <f t="array" ref="E12">IFERROR(IF(ROUNDUP((Client_Margin($B12)*Alloted(E$3,E$2,E$5)/Get_Margin(E$3,E$2,E$5,E$1)),0)*Get_Margin(E$3,E$2,E$5,E$1)&gt;((Client_Margin($B12)*Alloted(E$3,E$2,E$5)/Get_Margin(E$3,E$2,E$5,E$1))*Get_Margin(E$3,E$2,E$5,E$1))*$C$3,ROUNDDOWN((Client_Margin($B12)*Alloted(E$3,E$2,E$5)/Get_Margin(E$3,E$2,E$5,E$1)),0),ROUNDUP((Client_Margin($B12)*Alloted(E$3,E$2,E$5)/Get_Margin(E$3,E$2,E$5,E$1)),0)),"-")</f>
        <v>-</v>
      </c>
      <c r="F12" s="14" t="str" cm="1">
        <f t="array" ref="F12">IFERROR(IF(ROUNDUP((Client_Margin($B12)*Alloted(F$3,F$2,F$5)/Get_Margin(F$3,F$2,F$5,F$1)),0)*Get_Margin(F$3,F$2,F$5,F$1)&gt;((Client_Margin($B12)*Alloted(F$3,F$2,F$5)/Get_Margin(F$3,F$2,F$5,F$1))*Get_Margin(F$3,F$2,F$5,F$1))*$C$3,ROUNDDOWN((Client_Margin($B12)*Alloted(F$3,F$2,F$5)/Get_Margin(F$3,F$2,F$5,F$1)),0),ROUNDUP((Client_Margin($B12)*Alloted(F$3,F$2,F$5)/Get_Margin(F$3,F$2,F$5,F$1)),0)),"-")</f>
        <v>-</v>
      </c>
      <c r="G12" s="14" cm="1">
        <f t="array" ref="G12">IFERROR(IF(ROUNDUP((Client_Margin($B12)*Alloted(G$3,G$2,G$5)/Get_Margin(G$3,G$2,G$5,G$1)),0)*Get_Margin(G$3,G$2,G$5,G$1)&gt;((Client_Margin($B12)*Alloted(G$3,G$2,G$5)/Get_Margin(G$3,G$2,G$5,G$1))*Get_Margin(G$3,G$2,G$5,G$1))*$C$3,ROUNDDOWN((Client_Margin($B12)*Alloted(G$3,G$2,G$5)/Get_Margin(G$3,G$2,G$5,G$1)),0),ROUNDUP((Client_Margin($B12)*Alloted(G$3,G$2,G$5)/Get_Margin(G$3,G$2,G$5,G$1)),0)),"-")</f>
        <v>9</v>
      </c>
      <c r="H12" s="14" cm="1">
        <f t="array" ref="H12">IFERROR(IF(ROUNDUP((Client_Margin($B12)*Alloted(H$3,H$2,H$5)/Get_Margin(H$3,H$2,H$5,H$1)),0)*Get_Margin(H$3,H$2,H$5,H$1)&gt;((Client_Margin($B12)*Alloted(H$3,H$2,H$5)/Get_Margin(H$3,H$2,H$5,H$1))*Get_Margin(H$3,H$2,H$5,H$1))*$C$3,ROUNDDOWN((Client_Margin($B12)*Alloted(H$3,H$2,H$5)/Get_Margin(H$3,H$2,H$5,H$1)),0),ROUNDUP((Client_Margin($B12)*Alloted(H$3,H$2,H$5)/Get_Margin(H$3,H$2,H$5,H$1)),0)),"-")</f>
        <v>3</v>
      </c>
      <c r="I12" s="14" cm="1">
        <f t="array" ref="I12">IFERROR(IF(ROUNDUP((Client_Margin($B12)*Alloted(I$3,I$2,I$5)/Get_Margin(I$3,I$2,I$5,I$1)),0)*Get_Margin(I$3,I$2,I$5,I$1)&gt;((Client_Margin($B12)*Alloted(I$3,I$2,I$5)/Get_Margin(I$3,I$2,I$5,I$1))*Get_Margin(I$3,I$2,I$5,I$1))*$C$3,ROUNDDOWN((Client_Margin($B12)*Alloted(I$3,I$2,I$5)/Get_Margin(I$3,I$2,I$5,I$1)),0),ROUNDUP((Client_Margin($B12)*Alloted(I$3,I$2,I$5)/Get_Margin(I$3,I$2,I$5,I$1)),0)),"-")</f>
        <v>4</v>
      </c>
      <c r="J12" s="14" cm="1">
        <f t="array" ref="J12">IFERROR(IF(ROUNDUP((Client_Margin($B12)*Alloted(J$3,J$2,J$5)/Get_Margin(J$3,J$2,J$5,J$1)),0)*Get_Margin(J$3,J$2,J$5,J$1)&gt;((Client_Margin($B12)*Alloted(J$3,J$2,J$5)/Get_Margin(J$3,J$2,J$5,J$1))*Get_Margin(J$3,J$2,J$5,J$1))*$C$3,ROUNDDOWN((Client_Margin($B12)*Alloted(J$3,J$2,J$5)/Get_Margin(J$3,J$2,J$5,J$1)),0),ROUNDUP((Client_Margin($B12)*Alloted(J$3,J$2,J$5)/Get_Margin(J$3,J$2,J$5,J$1)),0)),"-")</f>
        <v>0</v>
      </c>
      <c r="K12" s="14" cm="1">
        <f t="array" ref="K12">IFERROR(IF(ROUNDUP((Client_Margin($B12)*Alloted(K$3,K$2,K$5)/Get_Margin(K$3,K$2,K$5,K$1)),0)*Get_Margin(K$3,K$2,K$5,K$1)&gt;((Client_Margin($B12)*Alloted(K$3,K$2,K$5)/Get_Margin(K$3,K$2,K$5,K$1))*Get_Margin(K$3,K$2,K$5,K$1))*$C$3,ROUNDDOWN((Client_Margin($B12)*Alloted(K$3,K$2,K$5)/Get_Margin(K$3,K$2,K$5,K$1)),0),ROUNDUP((Client_Margin($B12)*Alloted(K$3,K$2,K$5)/Get_Margin(K$3,K$2,K$5,K$1)),0)),"-")</f>
        <v>0</v>
      </c>
      <c r="L12" s="14" cm="1">
        <f t="array" ref="L12">IFERROR(IF(ROUNDUP((Client_Margin($B12)*Alloted(L$3,L$2,L$5)/Get_Margin(L$3,L$2,L$5,L$1)),0)*Get_Margin(L$3,L$2,L$5,L$1)&gt;((Client_Margin($B12)*Alloted(L$3,L$2,L$5)/Get_Margin(L$3,L$2,L$5,L$1))*Get_Margin(L$3,L$2,L$5,L$1))*$C$3,ROUNDDOWN((Client_Margin($B12)*Alloted(L$3,L$2,L$5)/Get_Margin(L$3,L$2,L$5,L$1)),0),ROUNDUP((Client_Margin($B12)*Alloted(L$3,L$2,L$5)/Get_Margin(L$3,L$2,L$5,L$1)),0)),"-")</f>
        <v>9</v>
      </c>
      <c r="M12" s="14" cm="1">
        <f t="array" ref="M12">IFERROR(IF(ROUNDUP((Client_Margin($B12)*Alloted(M$3,M$2,M$5)/Get_Margin(M$3,M$2,M$5,M$1)),0)*Get_Margin(M$3,M$2,M$5,M$1)&gt;((Client_Margin($B12)*Alloted(M$3,M$2,M$5)/Get_Margin(M$3,M$2,M$5,M$1))*Get_Margin(M$3,M$2,M$5,M$1))*$C$3,ROUNDDOWN((Client_Margin($B12)*Alloted(M$3,M$2,M$5)/Get_Margin(M$3,M$2,M$5,M$1)),0),ROUNDUP((Client_Margin($B12)*Alloted(M$3,M$2,M$5)/Get_Margin(M$3,M$2,M$5,M$1)),0)),"-")</f>
        <v>9</v>
      </c>
      <c r="N12" s="14" cm="1">
        <f t="array" ref="N12">IFERROR(IF(ROUNDUP((Client_Margin($B12)*Alloted(N$3,N$2,N$5)/Get_Margin(N$3,N$2,N$5,N$1)),0)*Get_Margin(N$3,N$2,N$5,N$1)&gt;((Client_Margin($B12)*Alloted(N$3,N$2,N$5)/Get_Margin(N$3,N$2,N$5,N$1))*Get_Margin(N$3,N$2,N$5,N$1))*$C$3,ROUNDDOWN((Client_Margin($B12)*Alloted(N$3,N$2,N$5)/Get_Margin(N$3,N$2,N$5,N$1)),0),ROUNDUP((Client_Margin($B12)*Alloted(N$3,N$2,N$5)/Get_Margin(N$3,N$2,N$5,N$1)),0)),"-")</f>
        <v>9</v>
      </c>
    </row>
    <row r="13" spans="1:20" x14ac:dyDescent="0.25">
      <c r="A13">
        <f>IF(B13="",0,1)</f>
        <v>0</v>
      </c>
      <c r="B13" s="14"/>
      <c r="C13" s="14"/>
      <c r="D13" s="15">
        <f>SUM(E13:N13)</f>
        <v>0.4669491525423729</v>
      </c>
      <c r="E13" s="15" t="str" cm="1">
        <f t="array" ref="E13">IFERROR((_xlfn._xlws.FILTER(INDEX(Margin[],0,MATCH(E$1&amp;"_"&amp;E$3,Margin[#Headers],0)),(Margin[Index]=E$2)*(Margin[Strategy]=E$5))*E12)/Client_Margin($B12),"-")</f>
        <v>-</v>
      </c>
      <c r="F13" s="15" t="str" cm="1">
        <f t="array" ref="F13">IFERROR((_xlfn._xlws.FILTER(INDEX(Margin[],0,MATCH(F$1&amp;"_"&amp;F$3,Margin[#Headers],0)),(Margin[Index]=F$2)*(Margin[Strategy]=F$5))*F12)/Client_Margin($B12),"-")</f>
        <v>-</v>
      </c>
      <c r="G13" s="15" cm="1">
        <f t="array" ref="G13">IFERROR((_xlfn._xlws.FILTER(INDEX(Margin[],0,MATCH(G$1&amp;"_"&amp;G$3,Margin[#Headers],0)),(Margin[Index]=G$2)*(Margin[Strategy]=G$5))*G12)/Client_Margin($B12),"-")</f>
        <v>0.10616949152542372</v>
      </c>
      <c r="H13" s="15" cm="1">
        <f t="array" ref="H13">IFERROR((_xlfn._xlws.FILTER(INDEX(Margin[],0,MATCH(H$1&amp;"_"&amp;H$3,Margin[#Headers],0)),(Margin[Index]=H$2)*(Margin[Strategy]=H$5))*H12)/Client_Margin($B12),"-")</f>
        <v>9.5186440677966097E-2</v>
      </c>
      <c r="I13" s="15" cm="1">
        <f t="array" ref="I13">IFERROR((_xlfn._xlws.FILTER(INDEX(Margin[],0,MATCH(I$1&amp;"_"&amp;I$3,Margin[#Headers],0)),(Margin[Index]=I$2)*(Margin[Strategy]=I$5))*I12)/Client_Margin($B12),"-")</f>
        <v>0.10847457627118644</v>
      </c>
      <c r="J13" s="15" cm="1">
        <f t="array" ref="J13">IFERROR((_xlfn._xlws.FILTER(INDEX(Margin[],0,MATCH(J$1&amp;"_"&amp;J$3,Margin[#Headers],0)),(Margin[Index]=J$2)*(Margin[Strategy]=J$5))*J12)/Client_Margin($B12),"-")</f>
        <v>0</v>
      </c>
      <c r="K13" s="15" cm="1">
        <f t="array" ref="K13">IFERROR((_xlfn._xlws.FILTER(INDEX(Margin[],0,MATCH(K$1&amp;"_"&amp;K$3,Margin[#Headers],0)),(Margin[Index]=K$2)*(Margin[Strategy]=K$5))*K12)/Client_Margin($B12),"-")</f>
        <v>0</v>
      </c>
      <c r="L13" s="15" cm="1">
        <f t="array" ref="L13">IFERROR((_xlfn._xlws.FILTER(INDEX(Margin[],0,MATCH(L$1&amp;"_"&amp;L$3,Margin[#Headers],0)),(Margin[Index]=L$2)*(Margin[Strategy]=L$5))*L12)/Client_Margin($B12),"-")</f>
        <v>5.3389830508474574E-2</v>
      </c>
      <c r="M13" s="15" cm="1">
        <f t="array" ref="M13">IFERROR((_xlfn._xlws.FILTER(INDEX(Margin[],0,MATCH(M$1&amp;"_"&amp;M$3,Margin[#Headers],0)),(Margin[Index]=M$2)*(Margin[Strategy]=M$5))*M12)/Client_Margin($B12),"-")</f>
        <v>5.1864406779661018E-2</v>
      </c>
      <c r="N13" s="15" cm="1">
        <f t="array" ref="N13">IFERROR((_xlfn._xlws.FILTER(INDEX(Margin[],0,MATCH(N$1&amp;"_"&amp;N$3,Margin[#Headers],0)),(Margin[Index]=N$2)*(Margin[Strategy]=N$5))*N12)/Client_Margin($B12),"-")</f>
        <v>5.1864406779661018E-2</v>
      </c>
    </row>
    <row r="14" spans="1:20" x14ac:dyDescent="0.25">
      <c r="A14">
        <f t="shared" ref="A14:A23" si="1">IF(B14="",0,1)</f>
        <v>1</v>
      </c>
      <c r="B14" s="14" t="s">
        <v>22</v>
      </c>
      <c r="C14" s="14" cm="1">
        <f t="array" ref="C14">(_xlfn._xlws.FILTER(Fund[Margin],Fund[Client Id]=B14))/10000000</f>
        <v>5.0999999999999996</v>
      </c>
      <c r="D14" s="17"/>
      <c r="E14" s="14" t="str" cm="1">
        <f t="array" ref="E14">IFERROR(IF(ROUNDUP((Client_Margin($B14)*Alloted(E$3,E$2,E$5)/Get_Margin(E$3,E$2,E$5,E$1)),0)*Get_Margin(E$3,E$2,E$5,E$1)&gt;((Client_Margin($B14)*Alloted(E$3,E$2,E$5)/Get_Margin(E$3,E$2,E$5,E$1))*Get_Margin(E$3,E$2,E$5,E$1))*$C$3,ROUNDDOWN((Client_Margin($B14)*Alloted(E$3,E$2,E$5)/Get_Margin(E$3,E$2,E$5,E$1)),0),ROUNDUP((Client_Margin($B14)*Alloted(E$3,E$2,E$5)/Get_Margin(E$3,E$2,E$5,E$1)),0)),"-")</f>
        <v>-</v>
      </c>
      <c r="F14" s="14" t="str" cm="1">
        <f t="array" ref="F14">IFERROR(IF(ROUNDUP((Client_Margin($B14)*Alloted(F$3,F$2,F$5)/Get_Margin(F$3,F$2,F$5,F$1)),0)*Get_Margin(F$3,F$2,F$5,F$1)&gt;((Client_Margin($B14)*Alloted(F$3,F$2,F$5)/Get_Margin(F$3,F$2,F$5,F$1))*Get_Margin(F$3,F$2,F$5,F$1))*$C$3,ROUNDDOWN((Client_Margin($B14)*Alloted(F$3,F$2,F$5)/Get_Margin(F$3,F$2,F$5,F$1)),0),ROUNDUP((Client_Margin($B14)*Alloted(F$3,F$2,F$5)/Get_Margin(F$3,F$2,F$5,F$1)),0)),"-")</f>
        <v>-</v>
      </c>
      <c r="G14" s="14" cm="1">
        <f t="array" ref="G14">IFERROR(IF(ROUNDUP((Client_Margin($B14)*Alloted(G$3,G$2,G$5)/Get_Margin(G$3,G$2,G$5,G$1)),0)*Get_Margin(G$3,G$2,G$5,G$1)&gt;((Client_Margin($B14)*Alloted(G$3,G$2,G$5)/Get_Margin(G$3,G$2,G$5,G$1))*Get_Margin(G$3,G$2,G$5,G$1))*$C$3,ROUNDDOWN((Client_Margin($B14)*Alloted(G$3,G$2,G$5)/Get_Margin(G$3,G$2,G$5,G$1)),0),ROUNDUP((Client_Margin($B14)*Alloted(G$3,G$2,G$5)/Get_Margin(G$3,G$2,G$5,G$1)),0)),"-")</f>
        <v>8</v>
      </c>
      <c r="H14" s="14" cm="1">
        <f t="array" ref="H14">IFERROR(IF(ROUNDUP((Client_Margin($B14)*Alloted(H$3,H$2,H$5)/Get_Margin(H$3,H$2,H$5,H$1)),0)*Get_Margin(H$3,H$2,H$5,H$1)&gt;((Client_Margin($B14)*Alloted(H$3,H$2,H$5)/Get_Margin(H$3,H$2,H$5,H$1))*Get_Margin(H$3,H$2,H$5,H$1))*$C$3,ROUNDDOWN((Client_Margin($B14)*Alloted(H$3,H$2,H$5)/Get_Margin(H$3,H$2,H$5,H$1)),0),ROUNDUP((Client_Margin($B14)*Alloted(H$3,H$2,H$5)/Get_Margin(H$3,H$2,H$5,H$1)),0)),"-")</f>
        <v>3</v>
      </c>
      <c r="I14" s="14" cm="1">
        <f t="array" ref="I14">IFERROR(IF(ROUNDUP((Client_Margin($B14)*Alloted(I$3,I$2,I$5)/Get_Margin(I$3,I$2,I$5,I$1)),0)*Get_Margin(I$3,I$2,I$5,I$1)&gt;((Client_Margin($B14)*Alloted(I$3,I$2,I$5)/Get_Margin(I$3,I$2,I$5,I$1))*Get_Margin(I$3,I$2,I$5,I$1))*$C$3,ROUNDDOWN((Client_Margin($B14)*Alloted(I$3,I$2,I$5)/Get_Margin(I$3,I$2,I$5,I$1)),0),ROUNDUP((Client_Margin($B14)*Alloted(I$3,I$2,I$5)/Get_Margin(I$3,I$2,I$5,I$1)),0)),"-")</f>
        <v>3</v>
      </c>
      <c r="J14" s="14" cm="1">
        <f t="array" ref="J14">IFERROR(IF(ROUNDUP((Client_Margin($B14)*Alloted(J$3,J$2,J$5)/Get_Margin(J$3,J$2,J$5,J$1)),0)*Get_Margin(J$3,J$2,J$5,J$1)&gt;((Client_Margin($B14)*Alloted(J$3,J$2,J$5)/Get_Margin(J$3,J$2,J$5,J$1))*Get_Margin(J$3,J$2,J$5,J$1))*$C$3,ROUNDDOWN((Client_Margin($B14)*Alloted(J$3,J$2,J$5)/Get_Margin(J$3,J$2,J$5,J$1)),0),ROUNDUP((Client_Margin($B14)*Alloted(J$3,J$2,J$5)/Get_Margin(J$3,J$2,J$5,J$1)),0)),"-")</f>
        <v>0</v>
      </c>
      <c r="K14" s="14" cm="1">
        <f t="array" ref="K14">IFERROR(IF(ROUNDUP((Client_Margin($B14)*Alloted(K$3,K$2,K$5)/Get_Margin(K$3,K$2,K$5,K$1)),0)*Get_Margin(K$3,K$2,K$5,K$1)&gt;((Client_Margin($B14)*Alloted(K$3,K$2,K$5)/Get_Margin(K$3,K$2,K$5,K$1))*Get_Margin(K$3,K$2,K$5,K$1))*$C$3,ROUNDDOWN((Client_Margin($B14)*Alloted(K$3,K$2,K$5)/Get_Margin(K$3,K$2,K$5,K$1)),0),ROUNDUP((Client_Margin($B14)*Alloted(K$3,K$2,K$5)/Get_Margin(K$3,K$2,K$5,K$1)),0)),"-")</f>
        <v>0</v>
      </c>
      <c r="L14" s="14" cm="1">
        <f t="array" ref="L14">IFERROR(IF(ROUNDUP((Client_Margin($B14)*Alloted(L$3,L$2,L$5)/Get_Margin(L$3,L$2,L$5,L$1)),0)*Get_Margin(L$3,L$2,L$5,L$1)&gt;((Client_Margin($B14)*Alloted(L$3,L$2,L$5)/Get_Margin(L$3,L$2,L$5,L$1))*Get_Margin(L$3,L$2,L$5,L$1))*$C$3,ROUNDDOWN((Client_Margin($B14)*Alloted(L$3,L$2,L$5)/Get_Margin(L$3,L$2,L$5,L$1)),0),ROUNDUP((Client_Margin($B14)*Alloted(L$3,L$2,L$5)/Get_Margin(L$3,L$2,L$5,L$1)),0)),"-")</f>
        <v>8</v>
      </c>
      <c r="M14" s="14" cm="1">
        <f t="array" ref="M14">IFERROR(IF(ROUNDUP((Client_Margin($B14)*Alloted(M$3,M$2,M$5)/Get_Margin(M$3,M$2,M$5,M$1)),0)*Get_Margin(M$3,M$2,M$5,M$1)&gt;((Client_Margin($B14)*Alloted(M$3,M$2,M$5)/Get_Margin(M$3,M$2,M$5,M$1))*Get_Margin(M$3,M$2,M$5,M$1))*$C$3,ROUNDDOWN((Client_Margin($B14)*Alloted(M$3,M$2,M$5)/Get_Margin(M$3,M$2,M$5,M$1)),0),ROUNDUP((Client_Margin($B14)*Alloted(M$3,M$2,M$5)/Get_Margin(M$3,M$2,M$5,M$1)),0)),"-")</f>
        <v>8</v>
      </c>
      <c r="N14" s="14" cm="1">
        <f t="array" ref="N14">IFERROR(IF(ROUNDUP((Client_Margin($B14)*Alloted(N$3,N$2,N$5)/Get_Margin(N$3,N$2,N$5,N$1)),0)*Get_Margin(N$3,N$2,N$5,N$1)&gt;((Client_Margin($B14)*Alloted(N$3,N$2,N$5)/Get_Margin(N$3,N$2,N$5,N$1))*Get_Margin(N$3,N$2,N$5,N$1))*$C$3,ROUNDDOWN((Client_Margin($B14)*Alloted(N$3,N$2,N$5)/Get_Margin(N$3,N$2,N$5,N$1)),0),ROUNDUP((Client_Margin($B14)*Alloted(N$3,N$2,N$5)/Get_Margin(N$3,N$2,N$5,N$1)),0)),"-")</f>
        <v>8</v>
      </c>
    </row>
    <row r="15" spans="1:20" x14ac:dyDescent="0.25">
      <c r="A15">
        <f t="shared" si="1"/>
        <v>0</v>
      </c>
      <c r="B15" s="14"/>
      <c r="C15" s="14"/>
      <c r="D15" s="15">
        <f>SUM(E15:N15)</f>
        <v>0.47498039215686272</v>
      </c>
      <c r="E15" s="15" t="str" cm="1">
        <f t="array" ref="E15">IFERROR((_xlfn._xlws.FILTER(INDEX(Margin[],0,MATCH(E$1&amp;"_"&amp;E$3,Margin[#Headers],0)),(Margin[Index]=E$2)*(Margin[Strategy]=E$5))*E14)/Client_Margin($B14),"-")</f>
        <v>-</v>
      </c>
      <c r="F15" s="15" t="str" cm="1">
        <f t="array" ref="F15">IFERROR((_xlfn._xlws.FILTER(INDEX(Margin[],0,MATCH(F$1&amp;"_"&amp;F$3,Margin[#Headers],0)),(Margin[Index]=F$2)*(Margin[Strategy]=F$5))*F14)/Client_Margin($B14),"-")</f>
        <v>-</v>
      </c>
      <c r="G15" s="15" cm="1">
        <f t="array" ref="G15">IFERROR((_xlfn._xlws.FILTER(INDEX(Margin[],0,MATCH(G$1&amp;"_"&amp;G$3,Margin[#Headers],0)),(Margin[Index]=G$2)*(Margin[Strategy]=G$5))*G14)/Client_Margin($B14),"-")</f>
        <v>0.10917647058823529</v>
      </c>
      <c r="H15" s="15" cm="1">
        <f t="array" ref="H15">IFERROR((_xlfn._xlws.FILTER(INDEX(Margin[],0,MATCH(H$1&amp;"_"&amp;H$3,Margin[#Headers],0)),(Margin[Index]=H$2)*(Margin[Strategy]=H$5))*H14)/Client_Margin($B14),"-")</f>
        <v>0.11011764705882353</v>
      </c>
      <c r="I15" s="15" cm="1">
        <f t="array" ref="I15">IFERROR((_xlfn._xlws.FILTER(INDEX(Margin[],0,MATCH(I$1&amp;"_"&amp;I$3,Margin[#Headers],0)),(Margin[Index]=I$2)*(Margin[Strategy]=I$5))*I14)/Client_Margin($B14),"-")</f>
        <v>9.4117647058823528E-2</v>
      </c>
      <c r="J15" s="15" cm="1">
        <f t="array" ref="J15">IFERROR((_xlfn._xlws.FILTER(INDEX(Margin[],0,MATCH(J$1&amp;"_"&amp;J$3,Margin[#Headers],0)),(Margin[Index]=J$2)*(Margin[Strategy]=J$5))*J14)/Client_Margin($B14),"-")</f>
        <v>0</v>
      </c>
      <c r="K15" s="15" cm="1">
        <f t="array" ref="K15">IFERROR((_xlfn._xlws.FILTER(INDEX(Margin[],0,MATCH(K$1&amp;"_"&amp;K$3,Margin[#Headers],0)),(Margin[Index]=K$2)*(Margin[Strategy]=K$5))*K14)/Client_Margin($B14),"-")</f>
        <v>0</v>
      </c>
      <c r="L15" s="15" cm="1">
        <f t="array" ref="L15">IFERROR((_xlfn._xlws.FILTER(INDEX(Margin[],0,MATCH(L$1&amp;"_"&amp;L$3,Margin[#Headers],0)),(Margin[Index]=L$2)*(Margin[Strategy]=L$5))*L14)/Client_Margin($B14),"-")</f>
        <v>5.4901960784313725E-2</v>
      </c>
      <c r="M15" s="15" cm="1">
        <f t="array" ref="M15">IFERROR((_xlfn._xlws.FILTER(INDEX(Margin[],0,MATCH(M$1&amp;"_"&amp;M$3,Margin[#Headers],0)),(Margin[Index]=M$2)*(Margin[Strategy]=M$5))*M14)/Client_Margin($B14),"-")</f>
        <v>5.3333333333333337E-2</v>
      </c>
      <c r="N15" s="15" cm="1">
        <f t="array" ref="N15">IFERROR((_xlfn._xlws.FILTER(INDEX(Margin[],0,MATCH(N$1&amp;"_"&amp;N$3,Margin[#Headers],0)),(Margin[Index]=N$2)*(Margin[Strategy]=N$5))*N14)/Client_Margin($B14),"-")</f>
        <v>5.3333333333333337E-2</v>
      </c>
    </row>
    <row r="16" spans="1:20" x14ac:dyDescent="0.25">
      <c r="A16">
        <f t="shared" si="1"/>
        <v>1</v>
      </c>
      <c r="B16" s="14" t="s">
        <v>34</v>
      </c>
      <c r="C16" s="14" cm="1">
        <f t="array" ref="C16">(_xlfn._xlws.FILTER(Fund[Margin],Fund[Client Id]=B16))/10000000</f>
        <v>3.5</v>
      </c>
      <c r="D16" s="17"/>
      <c r="E16" s="14" t="str" cm="1">
        <f t="array" ref="E16">IFERROR(IF(ROUNDUP((Client_Margin($B16)*Alloted(E$3,E$2,E$5)/Get_Margin(E$3,E$2,E$5,E$1)),0)*Get_Margin(E$3,E$2,E$5,E$1)&gt;((Client_Margin($B16)*Alloted(E$3,E$2,E$5)/Get_Margin(E$3,E$2,E$5,E$1))*Get_Margin(E$3,E$2,E$5,E$1))*$C$3,ROUNDDOWN((Client_Margin($B16)*Alloted(E$3,E$2,E$5)/Get_Margin(E$3,E$2,E$5,E$1)),0),ROUNDUP((Client_Margin($B16)*Alloted(E$3,E$2,E$5)/Get_Margin(E$3,E$2,E$5,E$1)),0)),"-")</f>
        <v>-</v>
      </c>
      <c r="F16" s="14" t="str" cm="1">
        <f t="array" ref="F16">IFERROR(IF(ROUNDUP((Client_Margin($B16)*Alloted(F$3,F$2,F$5)/Get_Margin(F$3,F$2,F$5,F$1)),0)*Get_Margin(F$3,F$2,F$5,F$1)&gt;((Client_Margin($B16)*Alloted(F$3,F$2,F$5)/Get_Margin(F$3,F$2,F$5,F$1))*Get_Margin(F$3,F$2,F$5,F$1))*$C$3,ROUNDDOWN((Client_Margin($B16)*Alloted(F$3,F$2,F$5)/Get_Margin(F$3,F$2,F$5,F$1)),0),ROUNDUP((Client_Margin($B16)*Alloted(F$3,F$2,F$5)/Get_Margin(F$3,F$2,F$5,F$1)),0)),"-")</f>
        <v>-</v>
      </c>
      <c r="G16" s="14" cm="1">
        <f t="array" ref="G16">IFERROR(IF(ROUNDUP((Client_Margin($B16)*Alloted(G$3,G$2,G$5)/Get_Margin(G$3,G$2,G$5,G$1)),0)*Get_Margin(G$3,G$2,G$5,G$1)&gt;((Client_Margin($B16)*Alloted(G$3,G$2,G$5)/Get_Margin(G$3,G$2,G$5,G$1))*Get_Margin(G$3,G$2,G$5,G$1))*$C$3,ROUNDDOWN((Client_Margin($B16)*Alloted(G$3,G$2,G$5)/Get_Margin(G$3,G$2,G$5,G$1)),0),ROUNDUP((Client_Margin($B16)*Alloted(G$3,G$2,G$5)/Get_Margin(G$3,G$2,G$5,G$1)),0)),"-")</f>
        <v>5</v>
      </c>
      <c r="H16" s="14" cm="1">
        <f t="array" ref="H16">IFERROR(IF(ROUNDUP((Client_Margin($B16)*Alloted(H$3,H$2,H$5)/Get_Margin(H$3,H$2,H$5,H$1)),0)*Get_Margin(H$3,H$2,H$5,H$1)&gt;((Client_Margin($B16)*Alloted(H$3,H$2,H$5)/Get_Margin(H$3,H$2,H$5,H$1))*Get_Margin(H$3,H$2,H$5,H$1))*$C$3,ROUNDDOWN((Client_Margin($B16)*Alloted(H$3,H$2,H$5)/Get_Margin(H$3,H$2,H$5,H$1)),0),ROUNDUP((Client_Margin($B16)*Alloted(H$3,H$2,H$5)/Get_Margin(H$3,H$2,H$5,H$1)),0)),"-")</f>
        <v>2</v>
      </c>
      <c r="I16" s="14" cm="1">
        <f t="array" ref="I16">IFERROR(IF(ROUNDUP((Client_Margin($B16)*Alloted(I$3,I$2,I$5)/Get_Margin(I$3,I$2,I$5,I$1)),0)*Get_Margin(I$3,I$2,I$5,I$1)&gt;((Client_Margin($B16)*Alloted(I$3,I$2,I$5)/Get_Margin(I$3,I$2,I$5,I$1))*Get_Margin(I$3,I$2,I$5,I$1))*$C$3,ROUNDDOWN((Client_Margin($B16)*Alloted(I$3,I$2,I$5)/Get_Margin(I$3,I$2,I$5,I$1)),0),ROUNDUP((Client_Margin($B16)*Alloted(I$3,I$2,I$5)/Get_Margin(I$3,I$2,I$5,I$1)),0)),"-")</f>
        <v>2</v>
      </c>
      <c r="J16" s="14" cm="1">
        <f t="array" ref="J16">IFERROR(IF(ROUNDUP((Client_Margin($B16)*Alloted(J$3,J$2,J$5)/Get_Margin(J$3,J$2,J$5,J$1)),0)*Get_Margin(J$3,J$2,J$5,J$1)&gt;((Client_Margin($B16)*Alloted(J$3,J$2,J$5)/Get_Margin(J$3,J$2,J$5,J$1))*Get_Margin(J$3,J$2,J$5,J$1))*$C$3,ROUNDDOWN((Client_Margin($B16)*Alloted(J$3,J$2,J$5)/Get_Margin(J$3,J$2,J$5,J$1)),0),ROUNDUP((Client_Margin($B16)*Alloted(J$3,J$2,J$5)/Get_Margin(J$3,J$2,J$5,J$1)),0)),"-")</f>
        <v>0</v>
      </c>
      <c r="K16" s="14" cm="1">
        <f t="array" ref="K16">IFERROR(IF(ROUNDUP((Client_Margin($B16)*Alloted(K$3,K$2,K$5)/Get_Margin(K$3,K$2,K$5,K$1)),0)*Get_Margin(K$3,K$2,K$5,K$1)&gt;((Client_Margin($B16)*Alloted(K$3,K$2,K$5)/Get_Margin(K$3,K$2,K$5,K$1))*Get_Margin(K$3,K$2,K$5,K$1))*$C$3,ROUNDDOWN((Client_Margin($B16)*Alloted(K$3,K$2,K$5)/Get_Margin(K$3,K$2,K$5,K$1)),0),ROUNDUP((Client_Margin($B16)*Alloted(K$3,K$2,K$5)/Get_Margin(K$3,K$2,K$5,K$1)),0)),"-")</f>
        <v>0</v>
      </c>
      <c r="L16" s="14" cm="1">
        <f t="array" ref="L16">IFERROR(IF(ROUNDUP((Client_Margin($B16)*Alloted(L$3,L$2,L$5)/Get_Margin(L$3,L$2,L$5,L$1)),0)*Get_Margin(L$3,L$2,L$5,L$1)&gt;((Client_Margin($B16)*Alloted(L$3,L$2,L$5)/Get_Margin(L$3,L$2,L$5,L$1))*Get_Margin(L$3,L$2,L$5,L$1))*$C$3,ROUNDDOWN((Client_Margin($B16)*Alloted(L$3,L$2,L$5)/Get_Margin(L$3,L$2,L$5,L$1)),0),ROUNDUP((Client_Margin($B16)*Alloted(L$3,L$2,L$5)/Get_Margin(L$3,L$2,L$5,L$1)),0)),"-")</f>
        <v>5</v>
      </c>
      <c r="M16" s="14" cm="1">
        <f t="array" ref="M16">IFERROR(IF(ROUNDUP((Client_Margin($B16)*Alloted(M$3,M$2,M$5)/Get_Margin(M$3,M$2,M$5,M$1)),0)*Get_Margin(M$3,M$2,M$5,M$1)&gt;((Client_Margin($B16)*Alloted(M$3,M$2,M$5)/Get_Margin(M$3,M$2,M$5,M$1))*Get_Margin(M$3,M$2,M$5,M$1))*$C$3,ROUNDDOWN((Client_Margin($B16)*Alloted(M$3,M$2,M$5)/Get_Margin(M$3,M$2,M$5,M$1)),0),ROUNDUP((Client_Margin($B16)*Alloted(M$3,M$2,M$5)/Get_Margin(M$3,M$2,M$5,M$1)),0)),"-")</f>
        <v>5</v>
      </c>
      <c r="N16" s="14" cm="1">
        <f t="array" ref="N16">IFERROR(IF(ROUNDUP((Client_Margin($B16)*Alloted(N$3,N$2,N$5)/Get_Margin(N$3,N$2,N$5,N$1)),0)*Get_Margin(N$3,N$2,N$5,N$1)&gt;((Client_Margin($B16)*Alloted(N$3,N$2,N$5)/Get_Margin(N$3,N$2,N$5,N$1))*Get_Margin(N$3,N$2,N$5,N$1))*$C$3,ROUNDDOWN((Client_Margin($B16)*Alloted(N$3,N$2,N$5)/Get_Margin(N$3,N$2,N$5,N$1)),0),ROUNDUP((Client_Margin($B16)*Alloted(N$3,N$2,N$5)/Get_Margin(N$3,N$2,N$5,N$1)),0)),"-")</f>
        <v>5</v>
      </c>
    </row>
    <row r="17" spans="1:14" x14ac:dyDescent="0.25">
      <c r="A17">
        <f t="shared" si="1"/>
        <v>0</v>
      </c>
      <c r="B17" s="14"/>
      <c r="C17" s="14"/>
      <c r="D17" s="15">
        <f>SUM(E17:N17)</f>
        <v>0.44497142857142857</v>
      </c>
      <c r="E17" s="15" t="str" cm="1">
        <f t="array" ref="E17">IFERROR((_xlfn._xlws.FILTER(INDEX(Margin[],0,MATCH(E$1&amp;"_"&amp;E$3,Margin[#Headers],0)),(Margin[Index]=E$2)*(Margin[Strategy]=E$5))*E16)/Client_Margin($B16),"-")</f>
        <v>-</v>
      </c>
      <c r="F17" s="15" t="str" cm="1">
        <f t="array" ref="F17">IFERROR((_xlfn._xlws.FILTER(INDEX(Margin[],0,MATCH(F$1&amp;"_"&amp;F$3,Margin[#Headers],0)),(Margin[Index]=F$2)*(Margin[Strategy]=F$5))*F16)/Client_Margin($B16),"-")</f>
        <v>-</v>
      </c>
      <c r="G17" s="15" cm="1">
        <f t="array" ref="G17">IFERROR((_xlfn._xlws.FILTER(INDEX(Margin[],0,MATCH(G$1&amp;"_"&amp;G$3,Margin[#Headers],0)),(Margin[Index]=G$2)*(Margin[Strategy]=G$5))*G16)/Client_Margin($B16),"-")</f>
        <v>9.9428571428571422E-2</v>
      </c>
      <c r="H17" s="15" cm="1">
        <f t="array" ref="H17">IFERROR((_xlfn._xlws.FILTER(INDEX(Margin[],0,MATCH(H$1&amp;"_"&amp;H$3,Margin[#Headers],0)),(Margin[Index]=H$2)*(Margin[Strategy]=H$5))*H16)/Client_Margin($B16),"-")</f>
        <v>0.10697142857142856</v>
      </c>
      <c r="I17" s="15" cm="1">
        <f t="array" ref="I17">IFERROR((_xlfn._xlws.FILTER(INDEX(Margin[],0,MATCH(I$1&amp;"_"&amp;I$3,Margin[#Headers],0)),(Margin[Index]=I$2)*(Margin[Strategy]=I$5))*I16)/Client_Margin($B16),"-")</f>
        <v>9.1428571428571428E-2</v>
      </c>
      <c r="J17" s="15" cm="1">
        <f t="array" ref="J17">IFERROR((_xlfn._xlws.FILTER(INDEX(Margin[],0,MATCH(J$1&amp;"_"&amp;J$3,Margin[#Headers],0)),(Margin[Index]=J$2)*(Margin[Strategy]=J$5))*J16)/Client_Margin($B16),"-")</f>
        <v>0</v>
      </c>
      <c r="K17" s="15" cm="1">
        <f t="array" ref="K17">IFERROR((_xlfn._xlws.FILTER(INDEX(Margin[],0,MATCH(K$1&amp;"_"&amp;K$3,Margin[#Headers],0)),(Margin[Index]=K$2)*(Margin[Strategy]=K$5))*K16)/Client_Margin($B16),"-")</f>
        <v>0</v>
      </c>
      <c r="L17" s="15" cm="1">
        <f t="array" ref="L17">IFERROR((_xlfn._xlws.FILTER(INDEX(Margin[],0,MATCH(L$1&amp;"_"&amp;L$3,Margin[#Headers],0)),(Margin[Index]=L$2)*(Margin[Strategy]=L$5))*L16)/Client_Margin($B16),"-")</f>
        <v>0.05</v>
      </c>
      <c r="M17" s="15" cm="1">
        <f t="array" ref="M17">IFERROR((_xlfn._xlws.FILTER(INDEX(Margin[],0,MATCH(M$1&amp;"_"&amp;M$3,Margin[#Headers],0)),(Margin[Index]=M$2)*(Margin[Strategy]=M$5))*M16)/Client_Margin($B16),"-")</f>
        <v>4.8571428571428571E-2</v>
      </c>
      <c r="N17" s="15" cm="1">
        <f t="array" ref="N17">IFERROR((_xlfn._xlws.FILTER(INDEX(Margin[],0,MATCH(N$1&amp;"_"&amp;N$3,Margin[#Headers],0)),(Margin[Index]=N$2)*(Margin[Strategy]=N$5))*N16)/Client_Margin($B16),"-")</f>
        <v>4.8571428571428571E-2</v>
      </c>
    </row>
    <row r="18" spans="1:14" x14ac:dyDescent="0.25">
      <c r="A18">
        <f t="shared" si="1"/>
        <v>1</v>
      </c>
      <c r="B18" s="14" t="s">
        <v>28</v>
      </c>
      <c r="C18" s="14" cm="1">
        <f t="array" ref="C18">(_xlfn._xlws.FILTER(Fund[Margin],Fund[Client Id]=B18))/10000000</f>
        <v>2.8</v>
      </c>
      <c r="D18" s="17"/>
      <c r="E18" s="14" t="str" cm="1">
        <f t="array" ref="E18">IFERROR(IF(ROUNDUP((Client_Margin($B18)*Alloted(E$3,E$2,E$5)/Get_Margin(E$3,E$2,E$5,E$1)),0)*Get_Margin(E$3,E$2,E$5,E$1)&gt;((Client_Margin($B18)*Alloted(E$3,E$2,E$5)/Get_Margin(E$3,E$2,E$5,E$1))*Get_Margin(E$3,E$2,E$5,E$1))*$C$3,ROUNDDOWN((Client_Margin($B18)*Alloted(E$3,E$2,E$5)/Get_Margin(E$3,E$2,E$5,E$1)),0),ROUNDUP((Client_Margin($B18)*Alloted(E$3,E$2,E$5)/Get_Margin(E$3,E$2,E$5,E$1)),0)),"-")</f>
        <v>-</v>
      </c>
      <c r="F18" s="14" t="str" cm="1">
        <f t="array" ref="F18">IFERROR(IF(ROUNDUP((Client_Margin($B18)*Alloted(F$3,F$2,F$5)/Get_Margin(F$3,F$2,F$5,F$1)),0)*Get_Margin(F$3,F$2,F$5,F$1)&gt;((Client_Margin($B18)*Alloted(F$3,F$2,F$5)/Get_Margin(F$3,F$2,F$5,F$1))*Get_Margin(F$3,F$2,F$5,F$1))*$C$3,ROUNDDOWN((Client_Margin($B18)*Alloted(F$3,F$2,F$5)/Get_Margin(F$3,F$2,F$5,F$1)),0),ROUNDUP((Client_Margin($B18)*Alloted(F$3,F$2,F$5)/Get_Margin(F$3,F$2,F$5,F$1)),0)),"-")</f>
        <v>-</v>
      </c>
      <c r="G18" s="14" cm="1">
        <f t="array" ref="G18">IFERROR(IF(ROUNDUP((Client_Margin($B18)*Alloted(G$3,G$2,G$5)/Get_Margin(G$3,G$2,G$5,G$1)),0)*Get_Margin(G$3,G$2,G$5,G$1)&gt;((Client_Margin($B18)*Alloted(G$3,G$2,G$5)/Get_Margin(G$3,G$2,G$5,G$1))*Get_Margin(G$3,G$2,G$5,G$1))*$C$3,ROUNDDOWN((Client_Margin($B18)*Alloted(G$3,G$2,G$5)/Get_Margin(G$3,G$2,G$5,G$1)),0),ROUNDUP((Client_Margin($B18)*Alloted(G$3,G$2,G$5)/Get_Margin(G$3,G$2,G$5,G$1)),0)),"-")</f>
        <v>4</v>
      </c>
      <c r="H18" s="14" cm="1">
        <f t="array" ref="H18">IFERROR(IF(ROUNDUP((Client_Margin($B18)*Alloted(H$3,H$2,H$5)/Get_Margin(H$3,H$2,H$5,H$1)),0)*Get_Margin(H$3,H$2,H$5,H$1)&gt;((Client_Margin($B18)*Alloted(H$3,H$2,H$5)/Get_Margin(H$3,H$2,H$5,H$1))*Get_Margin(H$3,H$2,H$5,H$1))*$C$3,ROUNDDOWN((Client_Margin($B18)*Alloted(H$3,H$2,H$5)/Get_Margin(H$3,H$2,H$5,H$1)),0),ROUNDUP((Client_Margin($B18)*Alloted(H$3,H$2,H$5)/Get_Margin(H$3,H$2,H$5,H$1)),0)),"-")</f>
        <v>1</v>
      </c>
      <c r="I18" s="14" cm="1">
        <f t="array" ref="I18">IFERROR(IF(ROUNDUP((Client_Margin($B18)*Alloted(I$3,I$2,I$5)/Get_Margin(I$3,I$2,I$5,I$1)),0)*Get_Margin(I$3,I$2,I$5,I$1)&gt;((Client_Margin($B18)*Alloted(I$3,I$2,I$5)/Get_Margin(I$3,I$2,I$5,I$1))*Get_Margin(I$3,I$2,I$5,I$1))*$C$3,ROUNDDOWN((Client_Margin($B18)*Alloted(I$3,I$2,I$5)/Get_Margin(I$3,I$2,I$5,I$1)),0),ROUNDUP((Client_Margin($B18)*Alloted(I$3,I$2,I$5)/Get_Margin(I$3,I$2,I$5,I$1)),0)),"-")</f>
        <v>2</v>
      </c>
      <c r="J18" s="14" cm="1">
        <f t="array" ref="J18">IFERROR(IF(ROUNDUP((Client_Margin($B18)*Alloted(J$3,J$2,J$5)/Get_Margin(J$3,J$2,J$5,J$1)),0)*Get_Margin(J$3,J$2,J$5,J$1)&gt;((Client_Margin($B18)*Alloted(J$3,J$2,J$5)/Get_Margin(J$3,J$2,J$5,J$1))*Get_Margin(J$3,J$2,J$5,J$1))*$C$3,ROUNDDOWN((Client_Margin($B18)*Alloted(J$3,J$2,J$5)/Get_Margin(J$3,J$2,J$5,J$1)),0),ROUNDUP((Client_Margin($B18)*Alloted(J$3,J$2,J$5)/Get_Margin(J$3,J$2,J$5,J$1)),0)),"-")</f>
        <v>0</v>
      </c>
      <c r="K18" s="14" cm="1">
        <f t="array" ref="K18">IFERROR(IF(ROUNDUP((Client_Margin($B18)*Alloted(K$3,K$2,K$5)/Get_Margin(K$3,K$2,K$5,K$1)),0)*Get_Margin(K$3,K$2,K$5,K$1)&gt;((Client_Margin($B18)*Alloted(K$3,K$2,K$5)/Get_Margin(K$3,K$2,K$5,K$1))*Get_Margin(K$3,K$2,K$5,K$1))*$C$3,ROUNDDOWN((Client_Margin($B18)*Alloted(K$3,K$2,K$5)/Get_Margin(K$3,K$2,K$5,K$1)),0),ROUNDUP((Client_Margin($B18)*Alloted(K$3,K$2,K$5)/Get_Margin(K$3,K$2,K$5,K$1)),0)),"-")</f>
        <v>0</v>
      </c>
      <c r="L18" s="14" cm="1">
        <f t="array" ref="L18">IFERROR(IF(ROUNDUP((Client_Margin($B18)*Alloted(L$3,L$2,L$5)/Get_Margin(L$3,L$2,L$5,L$1)),0)*Get_Margin(L$3,L$2,L$5,L$1)&gt;((Client_Margin($B18)*Alloted(L$3,L$2,L$5)/Get_Margin(L$3,L$2,L$5,L$1))*Get_Margin(L$3,L$2,L$5,L$1))*$C$3,ROUNDDOWN((Client_Margin($B18)*Alloted(L$3,L$2,L$5)/Get_Margin(L$3,L$2,L$5,L$1)),0),ROUNDUP((Client_Margin($B18)*Alloted(L$3,L$2,L$5)/Get_Margin(L$3,L$2,L$5,L$1)),0)),"-")</f>
        <v>4</v>
      </c>
      <c r="M18" s="14" cm="1">
        <f t="array" ref="M18">IFERROR(IF(ROUNDUP((Client_Margin($B18)*Alloted(M$3,M$2,M$5)/Get_Margin(M$3,M$2,M$5,M$1)),0)*Get_Margin(M$3,M$2,M$5,M$1)&gt;((Client_Margin($B18)*Alloted(M$3,M$2,M$5)/Get_Margin(M$3,M$2,M$5,M$1))*Get_Margin(M$3,M$2,M$5,M$1))*$C$3,ROUNDDOWN((Client_Margin($B18)*Alloted(M$3,M$2,M$5)/Get_Margin(M$3,M$2,M$5,M$1)),0),ROUNDUP((Client_Margin($B18)*Alloted(M$3,M$2,M$5)/Get_Margin(M$3,M$2,M$5,M$1)),0)),"-")</f>
        <v>4</v>
      </c>
      <c r="N18" s="14" cm="1">
        <f t="array" ref="N18">IFERROR(IF(ROUNDUP((Client_Margin($B18)*Alloted(N$3,N$2,N$5)/Get_Margin(N$3,N$2,N$5,N$1)),0)*Get_Margin(N$3,N$2,N$5,N$1)&gt;((Client_Margin($B18)*Alloted(N$3,N$2,N$5)/Get_Margin(N$3,N$2,N$5,N$1))*Get_Margin(N$3,N$2,N$5,N$1))*$C$3,ROUNDDOWN((Client_Margin($B18)*Alloted(N$3,N$2,N$5)/Get_Margin(N$3,N$2,N$5,N$1)),0),ROUNDUP((Client_Margin($B18)*Alloted(N$3,N$2,N$5)/Get_Margin(N$3,N$2,N$5,N$1)),0)),"-")</f>
        <v>4</v>
      </c>
    </row>
    <row r="19" spans="1:14" x14ac:dyDescent="0.25">
      <c r="A19">
        <f t="shared" si="1"/>
        <v>0</v>
      </c>
      <c r="B19" s="14"/>
      <c r="C19" s="14"/>
      <c r="D19" s="15">
        <f>SUM(E19:N19)</f>
        <v>0.42771428571428571</v>
      </c>
      <c r="E19" s="15" t="str" cm="1">
        <f t="array" ref="E19">IFERROR((_xlfn._xlws.FILTER(INDEX(Margin[],0,MATCH(E$1&amp;"_"&amp;E$3,Margin[#Headers],0)),(Margin[Index]=E$2)*(Margin[Strategy]=E$5))*E18)/Client_Margin($B18),"-")</f>
        <v>-</v>
      </c>
      <c r="F19" s="15" t="str" cm="1">
        <f t="array" ref="F19">IFERROR((_xlfn._xlws.FILTER(INDEX(Margin[],0,MATCH(F$1&amp;"_"&amp;F$3,Margin[#Headers],0)),(Margin[Index]=F$2)*(Margin[Strategy]=F$5))*F18)/Client_Margin($B18),"-")</f>
        <v>-</v>
      </c>
      <c r="G19" s="15" cm="1">
        <f t="array" ref="G19">IFERROR((_xlfn._xlws.FILTER(INDEX(Margin[],0,MATCH(G$1&amp;"_"&amp;G$3,Margin[#Headers],0)),(Margin[Index]=G$2)*(Margin[Strategy]=G$5))*G18)/Client_Margin($B18),"-")</f>
        <v>9.9428571428571422E-2</v>
      </c>
      <c r="H19" s="15" cm="1">
        <f t="array" ref="H19">IFERROR((_xlfn._xlws.FILTER(INDEX(Margin[],0,MATCH(H$1&amp;"_"&amp;H$3,Margin[#Headers],0)),(Margin[Index]=H$2)*(Margin[Strategy]=H$5))*H18)/Client_Margin($B18),"-")</f>
        <v>6.6857142857142851E-2</v>
      </c>
      <c r="I19" s="15" cm="1">
        <f t="array" ref="I19">IFERROR((_xlfn._xlws.FILTER(INDEX(Margin[],0,MATCH(I$1&amp;"_"&amp;I$3,Margin[#Headers],0)),(Margin[Index]=I$2)*(Margin[Strategy]=I$5))*I18)/Client_Margin($B18),"-")</f>
        <v>0.11428571428571428</v>
      </c>
      <c r="J19" s="15" cm="1">
        <f t="array" ref="J19">IFERROR((_xlfn._xlws.FILTER(INDEX(Margin[],0,MATCH(J$1&amp;"_"&amp;J$3,Margin[#Headers],0)),(Margin[Index]=J$2)*(Margin[Strategy]=J$5))*J18)/Client_Margin($B18),"-")</f>
        <v>0</v>
      </c>
      <c r="K19" s="15" cm="1">
        <f t="array" ref="K19">IFERROR((_xlfn._xlws.FILTER(INDEX(Margin[],0,MATCH(K$1&amp;"_"&amp;K$3,Margin[#Headers],0)),(Margin[Index]=K$2)*(Margin[Strategy]=K$5))*K18)/Client_Margin($B18),"-")</f>
        <v>0</v>
      </c>
      <c r="L19" s="15" cm="1">
        <f t="array" ref="L19">IFERROR((_xlfn._xlws.FILTER(INDEX(Margin[],0,MATCH(L$1&amp;"_"&amp;L$3,Margin[#Headers],0)),(Margin[Index]=L$2)*(Margin[Strategy]=L$5))*L18)/Client_Margin($B18),"-")</f>
        <v>0.05</v>
      </c>
      <c r="M19" s="15" cm="1">
        <f t="array" ref="M19">IFERROR((_xlfn._xlws.FILTER(INDEX(Margin[],0,MATCH(M$1&amp;"_"&amp;M$3,Margin[#Headers],0)),(Margin[Index]=M$2)*(Margin[Strategy]=M$5))*M18)/Client_Margin($B18),"-")</f>
        <v>4.8571428571428571E-2</v>
      </c>
      <c r="N19" s="15" cm="1">
        <f t="array" ref="N19">IFERROR((_xlfn._xlws.FILTER(INDEX(Margin[],0,MATCH(N$1&amp;"_"&amp;N$3,Margin[#Headers],0)),(Margin[Index]=N$2)*(Margin[Strategy]=N$5))*N18)/Client_Margin($B18),"-")</f>
        <v>4.8571428571428571E-2</v>
      </c>
    </row>
    <row r="20" spans="1:14" x14ac:dyDescent="0.25">
      <c r="A20">
        <f t="shared" si="1"/>
        <v>1</v>
      </c>
      <c r="B20" s="14" t="s">
        <v>48</v>
      </c>
      <c r="C20" s="14" cm="1">
        <f t="array" ref="C20">(_xlfn._xlws.FILTER(Fund[Margin],Fund[Client Id]=B20))/10000000</f>
        <v>2.9</v>
      </c>
      <c r="D20" s="17"/>
      <c r="E20" s="14" t="str" cm="1">
        <f t="array" ref="E20">IFERROR(IF(ROUNDUP((Client_Margin($B20)*Alloted(E$3,E$2,E$5)/Get_Margin(E$3,E$2,E$5,E$1)),0)*Get_Margin(E$3,E$2,E$5,E$1)&gt;((Client_Margin($B20)*Alloted(E$3,E$2,E$5)/Get_Margin(E$3,E$2,E$5,E$1))*Get_Margin(E$3,E$2,E$5,E$1))*$C$3,ROUNDDOWN((Client_Margin($B20)*Alloted(E$3,E$2,E$5)/Get_Margin(E$3,E$2,E$5,E$1)),0),ROUNDUP((Client_Margin($B20)*Alloted(E$3,E$2,E$5)/Get_Margin(E$3,E$2,E$5,E$1)),0)),"-")</f>
        <v>-</v>
      </c>
      <c r="F20" s="14" t="str" cm="1">
        <f t="array" ref="F20">IFERROR(IF(ROUNDUP((Client_Margin($B20)*Alloted(F$3,F$2,F$5)/Get_Margin(F$3,F$2,F$5,F$1)),0)*Get_Margin(F$3,F$2,F$5,F$1)&gt;((Client_Margin($B20)*Alloted(F$3,F$2,F$5)/Get_Margin(F$3,F$2,F$5,F$1))*Get_Margin(F$3,F$2,F$5,F$1))*$C$3,ROUNDDOWN((Client_Margin($B20)*Alloted(F$3,F$2,F$5)/Get_Margin(F$3,F$2,F$5,F$1)),0),ROUNDUP((Client_Margin($B20)*Alloted(F$3,F$2,F$5)/Get_Margin(F$3,F$2,F$5,F$1)),0)),"-")</f>
        <v>-</v>
      </c>
      <c r="G20" s="14" cm="1">
        <f t="array" ref="G20">IFERROR(IF(ROUNDUP((Client_Margin($B20)*Alloted(G$3,G$2,G$5)/Get_Margin(G$3,G$2,G$5,G$1)),0)*Get_Margin(G$3,G$2,G$5,G$1)&gt;((Client_Margin($B20)*Alloted(G$3,G$2,G$5)/Get_Margin(G$3,G$2,G$5,G$1))*Get_Margin(G$3,G$2,G$5,G$1))*$C$3,ROUNDDOWN((Client_Margin($B20)*Alloted(G$3,G$2,G$5)/Get_Margin(G$3,G$2,G$5,G$1)),0),ROUNDUP((Client_Margin($B20)*Alloted(G$3,G$2,G$5)/Get_Margin(G$3,G$2,G$5,G$1)),0)),"-")</f>
        <v>4</v>
      </c>
      <c r="H20" s="14" cm="1">
        <f t="array" ref="H20">IFERROR(IF(ROUNDUP((Client_Margin($B20)*Alloted(H$3,H$2,H$5)/Get_Margin(H$3,H$2,H$5,H$1)),0)*Get_Margin(H$3,H$2,H$5,H$1)&gt;((Client_Margin($B20)*Alloted(H$3,H$2,H$5)/Get_Margin(H$3,H$2,H$5,H$1))*Get_Margin(H$3,H$2,H$5,H$1))*$C$3,ROUNDDOWN((Client_Margin($B20)*Alloted(H$3,H$2,H$5)/Get_Margin(H$3,H$2,H$5,H$1)),0),ROUNDUP((Client_Margin($B20)*Alloted(H$3,H$2,H$5)/Get_Margin(H$3,H$2,H$5,H$1)),0)),"-")</f>
        <v>1</v>
      </c>
      <c r="I20" s="14" cm="1">
        <f t="array" ref="I20">IFERROR(IF(ROUNDUP((Client_Margin($B20)*Alloted(I$3,I$2,I$5)/Get_Margin(I$3,I$2,I$5,I$1)),0)*Get_Margin(I$3,I$2,I$5,I$1)&gt;((Client_Margin($B20)*Alloted(I$3,I$2,I$5)/Get_Margin(I$3,I$2,I$5,I$1))*Get_Margin(I$3,I$2,I$5,I$1))*$C$3,ROUNDDOWN((Client_Margin($B20)*Alloted(I$3,I$2,I$5)/Get_Margin(I$3,I$2,I$5,I$1)),0),ROUNDUP((Client_Margin($B20)*Alloted(I$3,I$2,I$5)/Get_Margin(I$3,I$2,I$5,I$1)),0)),"-")</f>
        <v>2</v>
      </c>
      <c r="J20" s="14" cm="1">
        <f t="array" ref="J20">IFERROR(IF(ROUNDUP((Client_Margin($B20)*Alloted(J$3,J$2,J$5)/Get_Margin(J$3,J$2,J$5,J$1)),0)*Get_Margin(J$3,J$2,J$5,J$1)&gt;((Client_Margin($B20)*Alloted(J$3,J$2,J$5)/Get_Margin(J$3,J$2,J$5,J$1))*Get_Margin(J$3,J$2,J$5,J$1))*$C$3,ROUNDDOWN((Client_Margin($B20)*Alloted(J$3,J$2,J$5)/Get_Margin(J$3,J$2,J$5,J$1)),0),ROUNDUP((Client_Margin($B20)*Alloted(J$3,J$2,J$5)/Get_Margin(J$3,J$2,J$5,J$1)),0)),"-")</f>
        <v>0</v>
      </c>
      <c r="K20" s="14" cm="1">
        <f t="array" ref="K20">IFERROR(IF(ROUNDUP((Client_Margin($B20)*Alloted(K$3,K$2,K$5)/Get_Margin(K$3,K$2,K$5,K$1)),0)*Get_Margin(K$3,K$2,K$5,K$1)&gt;((Client_Margin($B20)*Alloted(K$3,K$2,K$5)/Get_Margin(K$3,K$2,K$5,K$1))*Get_Margin(K$3,K$2,K$5,K$1))*$C$3,ROUNDDOWN((Client_Margin($B20)*Alloted(K$3,K$2,K$5)/Get_Margin(K$3,K$2,K$5,K$1)),0),ROUNDUP((Client_Margin($B20)*Alloted(K$3,K$2,K$5)/Get_Margin(K$3,K$2,K$5,K$1)),0)),"-")</f>
        <v>0</v>
      </c>
      <c r="L20" s="14" cm="1">
        <f t="array" ref="L20">IFERROR(IF(ROUNDUP((Client_Margin($B20)*Alloted(L$3,L$2,L$5)/Get_Margin(L$3,L$2,L$5,L$1)),0)*Get_Margin(L$3,L$2,L$5,L$1)&gt;((Client_Margin($B20)*Alloted(L$3,L$2,L$5)/Get_Margin(L$3,L$2,L$5,L$1))*Get_Margin(L$3,L$2,L$5,L$1))*$C$3,ROUNDDOWN((Client_Margin($B20)*Alloted(L$3,L$2,L$5)/Get_Margin(L$3,L$2,L$5,L$1)),0),ROUNDUP((Client_Margin($B20)*Alloted(L$3,L$2,L$5)/Get_Margin(L$3,L$2,L$5,L$1)),0)),"-")</f>
        <v>4</v>
      </c>
      <c r="M20" s="14" cm="1">
        <f t="array" ref="M20">IFERROR(IF(ROUNDUP((Client_Margin($B20)*Alloted(M$3,M$2,M$5)/Get_Margin(M$3,M$2,M$5,M$1)),0)*Get_Margin(M$3,M$2,M$5,M$1)&gt;((Client_Margin($B20)*Alloted(M$3,M$2,M$5)/Get_Margin(M$3,M$2,M$5,M$1))*Get_Margin(M$3,M$2,M$5,M$1))*$C$3,ROUNDDOWN((Client_Margin($B20)*Alloted(M$3,M$2,M$5)/Get_Margin(M$3,M$2,M$5,M$1)),0),ROUNDUP((Client_Margin($B20)*Alloted(M$3,M$2,M$5)/Get_Margin(M$3,M$2,M$5,M$1)),0)),"-")</f>
        <v>4</v>
      </c>
      <c r="N20" s="14" cm="1">
        <f t="array" ref="N20">IFERROR(IF(ROUNDUP((Client_Margin($B20)*Alloted(N$3,N$2,N$5)/Get_Margin(N$3,N$2,N$5,N$1)),0)*Get_Margin(N$3,N$2,N$5,N$1)&gt;((Client_Margin($B20)*Alloted(N$3,N$2,N$5)/Get_Margin(N$3,N$2,N$5,N$1))*Get_Margin(N$3,N$2,N$5,N$1))*$C$3,ROUNDDOWN((Client_Margin($B20)*Alloted(N$3,N$2,N$5)/Get_Margin(N$3,N$2,N$5,N$1)),0),ROUNDUP((Client_Margin($B20)*Alloted(N$3,N$2,N$5)/Get_Margin(N$3,N$2,N$5,N$1)),0)),"-")</f>
        <v>4</v>
      </c>
    </row>
    <row r="21" spans="1:14" x14ac:dyDescent="0.25">
      <c r="A21">
        <f t="shared" si="1"/>
        <v>0</v>
      </c>
      <c r="B21" s="14"/>
      <c r="C21" s="14"/>
      <c r="D21" s="15">
        <f>SUM(E21:N21)</f>
        <v>0.41296551724137931</v>
      </c>
      <c r="E21" s="15" t="str" cm="1">
        <f t="array" ref="E21">IFERROR((_xlfn._xlws.FILTER(INDEX(Margin[],0,MATCH(E$1&amp;"_"&amp;E$3,Margin[#Headers],0)),(Margin[Index]=E$2)*(Margin[Strategy]=E$5))*E20)/Client_Margin($B20),"-")</f>
        <v>-</v>
      </c>
      <c r="F21" s="15" t="str" cm="1">
        <f t="array" ref="F21">IFERROR((_xlfn._xlws.FILTER(INDEX(Margin[],0,MATCH(F$1&amp;"_"&amp;F$3,Margin[#Headers],0)),(Margin[Index]=F$2)*(Margin[Strategy]=F$5))*F20)/Client_Margin($B20),"-")</f>
        <v>-</v>
      </c>
      <c r="G21" s="15" cm="1">
        <f t="array" ref="G21">IFERROR((_xlfn._xlws.FILTER(INDEX(Margin[],0,MATCH(G$1&amp;"_"&amp;G$3,Margin[#Headers],0)),(Margin[Index]=G$2)*(Margin[Strategy]=G$5))*G20)/Client_Margin($B20),"-")</f>
        <v>9.6000000000000002E-2</v>
      </c>
      <c r="H21" s="15" cm="1">
        <f t="array" ref="H21">IFERROR((_xlfn._xlws.FILTER(INDEX(Margin[],0,MATCH(H$1&amp;"_"&amp;H$3,Margin[#Headers],0)),(Margin[Index]=H$2)*(Margin[Strategy]=H$5))*H20)/Client_Margin($B20),"-")</f>
        <v>6.4551724137931032E-2</v>
      </c>
      <c r="I21" s="15" cm="1">
        <f t="array" ref="I21">IFERROR((_xlfn._xlws.FILTER(INDEX(Margin[],0,MATCH(I$1&amp;"_"&amp;I$3,Margin[#Headers],0)),(Margin[Index]=I$2)*(Margin[Strategy]=I$5))*I20)/Client_Margin($B20),"-")</f>
        <v>0.1103448275862069</v>
      </c>
      <c r="J21" s="15" cm="1">
        <f t="array" ref="J21">IFERROR((_xlfn._xlws.FILTER(INDEX(Margin[],0,MATCH(J$1&amp;"_"&amp;J$3,Margin[#Headers],0)),(Margin[Index]=J$2)*(Margin[Strategy]=J$5))*J20)/Client_Margin($B20),"-")</f>
        <v>0</v>
      </c>
      <c r="K21" s="15" cm="1">
        <f t="array" ref="K21">IFERROR((_xlfn._xlws.FILTER(INDEX(Margin[],0,MATCH(K$1&amp;"_"&amp;K$3,Margin[#Headers],0)),(Margin[Index]=K$2)*(Margin[Strategy]=K$5))*K20)/Client_Margin($B20),"-")</f>
        <v>0</v>
      </c>
      <c r="L21" s="15" cm="1">
        <f t="array" ref="L21">IFERROR((_xlfn._xlws.FILTER(INDEX(Margin[],0,MATCH(L$1&amp;"_"&amp;L$3,Margin[#Headers],0)),(Margin[Index]=L$2)*(Margin[Strategy]=L$5))*L20)/Client_Margin($B20),"-")</f>
        <v>4.8275862068965517E-2</v>
      </c>
      <c r="M21" s="15" cm="1">
        <f t="array" ref="M21">IFERROR((_xlfn._xlws.FILTER(INDEX(Margin[],0,MATCH(M$1&amp;"_"&amp;M$3,Margin[#Headers],0)),(Margin[Index]=M$2)*(Margin[Strategy]=M$5))*M20)/Client_Margin($B20),"-")</f>
        <v>4.6896551724137932E-2</v>
      </c>
      <c r="N21" s="15" cm="1">
        <f t="array" ref="N21">IFERROR((_xlfn._xlws.FILTER(INDEX(Margin[],0,MATCH(N$1&amp;"_"&amp;N$3,Margin[#Headers],0)),(Margin[Index]=N$2)*(Margin[Strategy]=N$5))*N20)/Client_Margin($B20),"-")</f>
        <v>4.6896551724137932E-2</v>
      </c>
    </row>
    <row r="22" spans="1:14" x14ac:dyDescent="0.25">
      <c r="A22">
        <f t="shared" si="1"/>
        <v>1</v>
      </c>
      <c r="B22" s="14" t="s">
        <v>53</v>
      </c>
      <c r="C22" s="14" cm="1">
        <f t="array" ref="C22">(_xlfn._xlws.FILTER(Fund[Margin],Fund[Client Id]=B22))/10000000</f>
        <v>2.4</v>
      </c>
      <c r="D22" s="17"/>
      <c r="E22" s="14" t="str" cm="1">
        <f t="array" ref="E22">IFERROR(IF(ROUNDUP((Client_Margin($B22)*Alloted(E$3,E$2,E$5)/Get_Margin(E$3,E$2,E$5,E$1)),0)*Get_Margin(E$3,E$2,E$5,E$1)&gt;((Client_Margin($B22)*Alloted(E$3,E$2,E$5)/Get_Margin(E$3,E$2,E$5,E$1))*Get_Margin(E$3,E$2,E$5,E$1))*$C$3,ROUNDDOWN((Client_Margin($B22)*Alloted(E$3,E$2,E$5)/Get_Margin(E$3,E$2,E$5,E$1)),0),ROUNDUP((Client_Margin($B22)*Alloted(E$3,E$2,E$5)/Get_Margin(E$3,E$2,E$5,E$1)),0)),"-")</f>
        <v>-</v>
      </c>
      <c r="F22" s="14" t="str" cm="1">
        <f t="array" ref="F22">IFERROR(IF(ROUNDUP((Client_Margin($B22)*Alloted(F$3,F$2,F$5)/Get_Margin(F$3,F$2,F$5,F$1)),0)*Get_Margin(F$3,F$2,F$5,F$1)&gt;((Client_Margin($B22)*Alloted(F$3,F$2,F$5)/Get_Margin(F$3,F$2,F$5,F$1))*Get_Margin(F$3,F$2,F$5,F$1))*$C$3,ROUNDDOWN((Client_Margin($B22)*Alloted(F$3,F$2,F$5)/Get_Margin(F$3,F$2,F$5,F$1)),0),ROUNDUP((Client_Margin($B22)*Alloted(F$3,F$2,F$5)/Get_Margin(F$3,F$2,F$5,F$1)),0)),"-")</f>
        <v>-</v>
      </c>
      <c r="G22" s="14" cm="1">
        <f t="array" ref="G22">IFERROR(IF(ROUNDUP((Client_Margin($B22)*Alloted(G$3,G$2,G$5)/Get_Margin(G$3,G$2,G$5,G$1)),0)*Get_Margin(G$3,G$2,G$5,G$1)&gt;((Client_Margin($B22)*Alloted(G$3,G$2,G$5)/Get_Margin(G$3,G$2,G$5,G$1))*Get_Margin(G$3,G$2,G$5,G$1))*$C$3,ROUNDDOWN((Client_Margin($B22)*Alloted(G$3,G$2,G$5)/Get_Margin(G$3,G$2,G$5,G$1)),0),ROUNDUP((Client_Margin($B22)*Alloted(G$3,G$2,G$5)/Get_Margin(G$3,G$2,G$5,G$1)),0)),"-")</f>
        <v>3</v>
      </c>
      <c r="H22" s="14" cm="1">
        <f t="array" ref="H22">IFERROR(IF(ROUNDUP((Client_Margin($B22)*Alloted(H$3,H$2,H$5)/Get_Margin(H$3,H$2,H$5,H$1)),0)*Get_Margin(H$3,H$2,H$5,H$1)&gt;((Client_Margin($B22)*Alloted(H$3,H$2,H$5)/Get_Margin(H$3,H$2,H$5,H$1))*Get_Margin(H$3,H$2,H$5,H$1))*$C$3,ROUNDDOWN((Client_Margin($B22)*Alloted(H$3,H$2,H$5)/Get_Margin(H$3,H$2,H$5,H$1)),0),ROUNDUP((Client_Margin($B22)*Alloted(H$3,H$2,H$5)/Get_Margin(H$3,H$2,H$5,H$1)),0)),"-")</f>
        <v>1</v>
      </c>
      <c r="I22" s="14" cm="1">
        <f t="array" ref="I22">IFERROR(IF(ROUNDUP((Client_Margin($B22)*Alloted(I$3,I$2,I$5)/Get_Margin(I$3,I$2,I$5,I$1)),0)*Get_Margin(I$3,I$2,I$5,I$1)&gt;((Client_Margin($B22)*Alloted(I$3,I$2,I$5)/Get_Margin(I$3,I$2,I$5,I$1))*Get_Margin(I$3,I$2,I$5,I$1))*$C$3,ROUNDDOWN((Client_Margin($B22)*Alloted(I$3,I$2,I$5)/Get_Margin(I$3,I$2,I$5,I$1)),0),ROUNDUP((Client_Margin($B22)*Alloted(I$3,I$2,I$5)/Get_Margin(I$3,I$2,I$5,I$1)),0)),"-")</f>
        <v>1</v>
      </c>
      <c r="J22" s="14" cm="1">
        <f t="array" ref="J22">IFERROR(IF(ROUNDUP((Client_Margin($B22)*Alloted(J$3,J$2,J$5)/Get_Margin(J$3,J$2,J$5,J$1)),0)*Get_Margin(J$3,J$2,J$5,J$1)&gt;((Client_Margin($B22)*Alloted(J$3,J$2,J$5)/Get_Margin(J$3,J$2,J$5,J$1))*Get_Margin(J$3,J$2,J$5,J$1))*$C$3,ROUNDDOWN((Client_Margin($B22)*Alloted(J$3,J$2,J$5)/Get_Margin(J$3,J$2,J$5,J$1)),0),ROUNDUP((Client_Margin($B22)*Alloted(J$3,J$2,J$5)/Get_Margin(J$3,J$2,J$5,J$1)),0)),"-")</f>
        <v>0</v>
      </c>
      <c r="K22" s="14" cm="1">
        <f t="array" ref="K22">IFERROR(IF(ROUNDUP((Client_Margin($B22)*Alloted(K$3,K$2,K$5)/Get_Margin(K$3,K$2,K$5,K$1)),0)*Get_Margin(K$3,K$2,K$5,K$1)&gt;((Client_Margin($B22)*Alloted(K$3,K$2,K$5)/Get_Margin(K$3,K$2,K$5,K$1))*Get_Margin(K$3,K$2,K$5,K$1))*$C$3,ROUNDDOWN((Client_Margin($B22)*Alloted(K$3,K$2,K$5)/Get_Margin(K$3,K$2,K$5,K$1)),0),ROUNDUP((Client_Margin($B22)*Alloted(K$3,K$2,K$5)/Get_Margin(K$3,K$2,K$5,K$1)),0)),"-")</f>
        <v>0</v>
      </c>
      <c r="L22" s="14" cm="1">
        <f t="array" ref="L22">IFERROR(IF(ROUNDUP((Client_Margin($B22)*Alloted(L$3,L$2,L$5)/Get_Margin(L$3,L$2,L$5,L$1)),0)*Get_Margin(L$3,L$2,L$5,L$1)&gt;((Client_Margin($B22)*Alloted(L$3,L$2,L$5)/Get_Margin(L$3,L$2,L$5,L$1))*Get_Margin(L$3,L$2,L$5,L$1))*$C$3,ROUNDDOWN((Client_Margin($B22)*Alloted(L$3,L$2,L$5)/Get_Margin(L$3,L$2,L$5,L$1)),0),ROUNDUP((Client_Margin($B22)*Alloted(L$3,L$2,L$5)/Get_Margin(L$3,L$2,L$5,L$1)),0)),"-")</f>
        <v>3</v>
      </c>
      <c r="M22" s="14" cm="1">
        <f t="array" ref="M22">IFERROR(IF(ROUNDUP((Client_Margin($B22)*Alloted(M$3,M$2,M$5)/Get_Margin(M$3,M$2,M$5,M$1)),0)*Get_Margin(M$3,M$2,M$5,M$1)&gt;((Client_Margin($B22)*Alloted(M$3,M$2,M$5)/Get_Margin(M$3,M$2,M$5,M$1))*Get_Margin(M$3,M$2,M$5,M$1))*$C$3,ROUNDDOWN((Client_Margin($B22)*Alloted(M$3,M$2,M$5)/Get_Margin(M$3,M$2,M$5,M$1)),0),ROUNDUP((Client_Margin($B22)*Alloted(M$3,M$2,M$5)/Get_Margin(M$3,M$2,M$5,M$1)),0)),"-")</f>
        <v>4</v>
      </c>
      <c r="N22" s="14" cm="1">
        <f t="array" ref="N22">IFERROR(IF(ROUNDUP((Client_Margin($B22)*Alloted(N$3,N$2,N$5)/Get_Margin(N$3,N$2,N$5,N$1)),0)*Get_Margin(N$3,N$2,N$5,N$1)&gt;((Client_Margin($B22)*Alloted(N$3,N$2,N$5)/Get_Margin(N$3,N$2,N$5,N$1))*Get_Margin(N$3,N$2,N$5,N$1))*$C$3,ROUNDDOWN((Client_Margin($B22)*Alloted(N$3,N$2,N$5)/Get_Margin(N$3,N$2,N$5,N$1)),0),ROUNDUP((Client_Margin($B22)*Alloted(N$3,N$2,N$5)/Get_Margin(N$3,N$2,N$5,N$1)),0)),"-")</f>
        <v>4</v>
      </c>
    </row>
    <row r="23" spans="1:14" x14ac:dyDescent="0.25">
      <c r="A23">
        <f t="shared" si="1"/>
        <v>0</v>
      </c>
      <c r="B23" s="14"/>
      <c r="C23" s="14"/>
      <c r="D23" s="15">
        <f>SUM(E23:N23)</f>
        <v>0.38874999999999993</v>
      </c>
      <c r="E23" s="15" t="str" cm="1">
        <f t="array" ref="E23">IFERROR((_xlfn._xlws.FILTER(INDEX(Margin[],0,MATCH(E$1&amp;"_"&amp;E$3,Margin[#Headers],0)),(Margin[Index]=E$2)*(Margin[Strategy]=E$5))*E22)/Client_Margin($B22),"-")</f>
        <v>-</v>
      </c>
      <c r="F23" s="15" t="str" cm="1">
        <f t="array" ref="F23">IFERROR((_xlfn._xlws.FILTER(INDEX(Margin[],0,MATCH(F$1&amp;"_"&amp;F$3,Margin[#Headers],0)),(Margin[Index]=F$2)*(Margin[Strategy]=F$5))*F22)/Client_Margin($B22),"-")</f>
        <v>-</v>
      </c>
      <c r="G23" s="15" cm="1">
        <f t="array" ref="G23">IFERROR((_xlfn._xlws.FILTER(INDEX(Margin[],0,MATCH(G$1&amp;"_"&amp;G$3,Margin[#Headers],0)),(Margin[Index]=G$2)*(Margin[Strategy]=G$5))*G22)/Client_Margin($B22),"-")</f>
        <v>8.6999999999999994E-2</v>
      </c>
      <c r="H23" s="15" cm="1">
        <f t="array" ref="H23">IFERROR((_xlfn._xlws.FILTER(INDEX(Margin[],0,MATCH(H$1&amp;"_"&amp;H$3,Margin[#Headers],0)),(Margin[Index]=H$2)*(Margin[Strategy]=H$5))*H22)/Client_Margin($B22),"-")</f>
        <v>7.8E-2</v>
      </c>
      <c r="I23" s="15" cm="1">
        <f t="array" ref="I23">IFERROR((_xlfn._xlws.FILTER(INDEX(Margin[],0,MATCH(I$1&amp;"_"&amp;I$3,Margin[#Headers],0)),(Margin[Index]=I$2)*(Margin[Strategy]=I$5))*I22)/Client_Margin($B22),"-")</f>
        <v>6.6666666666666666E-2</v>
      </c>
      <c r="J23" s="15" cm="1">
        <f t="array" ref="J23">IFERROR((_xlfn._xlws.FILTER(INDEX(Margin[],0,MATCH(J$1&amp;"_"&amp;J$3,Margin[#Headers],0)),(Margin[Index]=J$2)*(Margin[Strategy]=J$5))*J22)/Client_Margin($B22),"-")</f>
        <v>0</v>
      </c>
      <c r="K23" s="15" cm="1">
        <f t="array" ref="K23">IFERROR((_xlfn._xlws.FILTER(INDEX(Margin[],0,MATCH(K$1&amp;"_"&amp;K$3,Margin[#Headers],0)),(Margin[Index]=K$2)*(Margin[Strategy]=K$5))*K22)/Client_Margin($B22),"-")</f>
        <v>0</v>
      </c>
      <c r="L23" s="15" cm="1">
        <f t="array" ref="L23">IFERROR((_xlfn._xlws.FILTER(INDEX(Margin[],0,MATCH(L$1&amp;"_"&amp;L$3,Margin[#Headers],0)),(Margin[Index]=L$2)*(Margin[Strategy]=L$5))*L22)/Client_Margin($B22),"-")</f>
        <v>4.3749999999999997E-2</v>
      </c>
      <c r="M23" s="15" cm="1">
        <f t="array" ref="M23">IFERROR((_xlfn._xlws.FILTER(INDEX(Margin[],0,MATCH(M$1&amp;"_"&amp;M$3,Margin[#Headers],0)),(Margin[Index]=M$2)*(Margin[Strategy]=M$5))*M22)/Client_Margin($B22),"-")</f>
        <v>5.6666666666666664E-2</v>
      </c>
      <c r="N23" s="15" cm="1">
        <f t="array" ref="N23">IFERROR((_xlfn._xlws.FILTER(INDEX(Margin[],0,MATCH(N$1&amp;"_"&amp;N$3,Margin[#Headers],0)),(Margin[Index]=N$2)*(Margin[Strategy]=N$5))*N22)/Client_Margin($B22),"-")</f>
        <v>5.6666666666666664E-2</v>
      </c>
    </row>
    <row r="24" spans="1:14" x14ac:dyDescent="0.25">
      <c r="A24">
        <f>IF(B24="",0,1)</f>
        <v>1</v>
      </c>
      <c r="B24" s="14" t="s">
        <v>44</v>
      </c>
      <c r="C24" s="14" cm="1">
        <f t="array" ref="C24">(_xlfn._xlws.FILTER(Fund[Margin],Fund[Client Id]=B24))/10000000</f>
        <v>2.4</v>
      </c>
      <c r="D24" s="17"/>
      <c r="E24" s="14" t="str" cm="1">
        <f t="array" ref="E24">IFERROR(IF(ROUNDUP((Client_Margin($B24)*Alloted(E$3,E$2,E$5)/Get_Margin(E$3,E$2,E$5,E$1)),0)*Get_Margin(E$3,E$2,E$5,E$1)&gt;((Client_Margin($B24)*Alloted(E$3,E$2,E$5)/Get_Margin(E$3,E$2,E$5,E$1))*Get_Margin(E$3,E$2,E$5,E$1))*$C$3,ROUNDDOWN((Client_Margin($B24)*Alloted(E$3,E$2,E$5)/Get_Margin(E$3,E$2,E$5,E$1)),0),ROUNDUP((Client_Margin($B24)*Alloted(E$3,E$2,E$5)/Get_Margin(E$3,E$2,E$5,E$1)),0)),"-")</f>
        <v>-</v>
      </c>
      <c r="F24" s="14" t="str" cm="1">
        <f t="array" ref="F24">IFERROR(IF(ROUNDUP((Client_Margin($B24)*Alloted(F$3,F$2,F$5)/Get_Margin(F$3,F$2,F$5,F$1)),0)*Get_Margin(F$3,F$2,F$5,F$1)&gt;((Client_Margin($B24)*Alloted(F$3,F$2,F$5)/Get_Margin(F$3,F$2,F$5,F$1))*Get_Margin(F$3,F$2,F$5,F$1))*$C$3,ROUNDDOWN((Client_Margin($B24)*Alloted(F$3,F$2,F$5)/Get_Margin(F$3,F$2,F$5,F$1)),0),ROUNDUP((Client_Margin($B24)*Alloted(F$3,F$2,F$5)/Get_Margin(F$3,F$2,F$5,F$1)),0)),"-")</f>
        <v>-</v>
      </c>
      <c r="G24" s="14" cm="1">
        <f t="array" ref="G24">IFERROR(IF(ROUNDUP((Client_Margin($B24)*Alloted(G$3,G$2,G$5)/Get_Margin(G$3,G$2,G$5,G$1)),0)*Get_Margin(G$3,G$2,G$5,G$1)&gt;((Client_Margin($B24)*Alloted(G$3,G$2,G$5)/Get_Margin(G$3,G$2,G$5,G$1))*Get_Margin(G$3,G$2,G$5,G$1))*$C$3,ROUNDDOWN((Client_Margin($B24)*Alloted(G$3,G$2,G$5)/Get_Margin(G$3,G$2,G$5,G$1)),0),ROUNDUP((Client_Margin($B24)*Alloted(G$3,G$2,G$5)/Get_Margin(G$3,G$2,G$5,G$1)),0)),"-")</f>
        <v>3</v>
      </c>
      <c r="H24" s="14" cm="1">
        <f t="array" ref="H24">IFERROR(IF(ROUNDUP((Client_Margin($B24)*Alloted(H$3,H$2,H$5)/Get_Margin(H$3,H$2,H$5,H$1)),0)*Get_Margin(H$3,H$2,H$5,H$1)&gt;((Client_Margin($B24)*Alloted(H$3,H$2,H$5)/Get_Margin(H$3,H$2,H$5,H$1))*Get_Margin(H$3,H$2,H$5,H$1))*$C$3,ROUNDDOWN((Client_Margin($B24)*Alloted(H$3,H$2,H$5)/Get_Margin(H$3,H$2,H$5,H$1)),0),ROUNDUP((Client_Margin($B24)*Alloted(H$3,H$2,H$5)/Get_Margin(H$3,H$2,H$5,H$1)),0)),"-")</f>
        <v>1</v>
      </c>
      <c r="I24" s="14" cm="1">
        <f t="array" ref="I24">IFERROR(IF(ROUNDUP((Client_Margin($B24)*Alloted(I$3,I$2,I$5)/Get_Margin(I$3,I$2,I$5,I$1)),0)*Get_Margin(I$3,I$2,I$5,I$1)&gt;((Client_Margin($B24)*Alloted(I$3,I$2,I$5)/Get_Margin(I$3,I$2,I$5,I$1))*Get_Margin(I$3,I$2,I$5,I$1))*$C$3,ROUNDDOWN((Client_Margin($B24)*Alloted(I$3,I$2,I$5)/Get_Margin(I$3,I$2,I$5,I$1)),0),ROUNDUP((Client_Margin($B24)*Alloted(I$3,I$2,I$5)/Get_Margin(I$3,I$2,I$5,I$1)),0)),"-")</f>
        <v>1</v>
      </c>
      <c r="J24" s="14" cm="1">
        <f t="array" ref="J24">IFERROR(IF(ROUNDUP((Client_Margin($B24)*Alloted(J$3,J$2,J$5)/Get_Margin(J$3,J$2,J$5,J$1)),0)*Get_Margin(J$3,J$2,J$5,J$1)&gt;((Client_Margin($B24)*Alloted(J$3,J$2,J$5)/Get_Margin(J$3,J$2,J$5,J$1))*Get_Margin(J$3,J$2,J$5,J$1))*$C$3,ROUNDDOWN((Client_Margin($B24)*Alloted(J$3,J$2,J$5)/Get_Margin(J$3,J$2,J$5,J$1)),0),ROUNDUP((Client_Margin($B24)*Alloted(J$3,J$2,J$5)/Get_Margin(J$3,J$2,J$5,J$1)),0)),"-")</f>
        <v>0</v>
      </c>
      <c r="K24" s="14" cm="1">
        <f t="array" ref="K24">IFERROR(IF(ROUNDUP((Client_Margin($B24)*Alloted(K$3,K$2,K$5)/Get_Margin(K$3,K$2,K$5,K$1)),0)*Get_Margin(K$3,K$2,K$5,K$1)&gt;((Client_Margin($B24)*Alloted(K$3,K$2,K$5)/Get_Margin(K$3,K$2,K$5,K$1))*Get_Margin(K$3,K$2,K$5,K$1))*$C$3,ROUNDDOWN((Client_Margin($B24)*Alloted(K$3,K$2,K$5)/Get_Margin(K$3,K$2,K$5,K$1)),0),ROUNDUP((Client_Margin($B24)*Alloted(K$3,K$2,K$5)/Get_Margin(K$3,K$2,K$5,K$1)),0)),"-")</f>
        <v>0</v>
      </c>
      <c r="L24" s="14" cm="1">
        <f t="array" ref="L24">IFERROR(IF(ROUNDUP((Client_Margin($B24)*Alloted(L$3,L$2,L$5)/Get_Margin(L$3,L$2,L$5,L$1)),0)*Get_Margin(L$3,L$2,L$5,L$1)&gt;((Client_Margin($B24)*Alloted(L$3,L$2,L$5)/Get_Margin(L$3,L$2,L$5,L$1))*Get_Margin(L$3,L$2,L$5,L$1))*$C$3,ROUNDDOWN((Client_Margin($B24)*Alloted(L$3,L$2,L$5)/Get_Margin(L$3,L$2,L$5,L$1)),0),ROUNDUP((Client_Margin($B24)*Alloted(L$3,L$2,L$5)/Get_Margin(L$3,L$2,L$5,L$1)),0)),"-")</f>
        <v>3</v>
      </c>
      <c r="M24" s="14" cm="1">
        <f t="array" ref="M24">IFERROR(IF(ROUNDUP((Client_Margin($B24)*Alloted(M$3,M$2,M$5)/Get_Margin(M$3,M$2,M$5,M$1)),0)*Get_Margin(M$3,M$2,M$5,M$1)&gt;((Client_Margin($B24)*Alloted(M$3,M$2,M$5)/Get_Margin(M$3,M$2,M$5,M$1))*Get_Margin(M$3,M$2,M$5,M$1))*$C$3,ROUNDDOWN((Client_Margin($B24)*Alloted(M$3,M$2,M$5)/Get_Margin(M$3,M$2,M$5,M$1)),0),ROUNDUP((Client_Margin($B24)*Alloted(M$3,M$2,M$5)/Get_Margin(M$3,M$2,M$5,M$1)),0)),"-")</f>
        <v>4</v>
      </c>
      <c r="N24" s="14" cm="1">
        <f t="array" ref="N24">IFERROR(IF(ROUNDUP((Client_Margin($B24)*Alloted(N$3,N$2,N$5)/Get_Margin(N$3,N$2,N$5,N$1)),0)*Get_Margin(N$3,N$2,N$5,N$1)&gt;((Client_Margin($B24)*Alloted(N$3,N$2,N$5)/Get_Margin(N$3,N$2,N$5,N$1))*Get_Margin(N$3,N$2,N$5,N$1))*$C$3,ROUNDDOWN((Client_Margin($B24)*Alloted(N$3,N$2,N$5)/Get_Margin(N$3,N$2,N$5,N$1)),0),ROUNDUP((Client_Margin($B24)*Alloted(N$3,N$2,N$5)/Get_Margin(N$3,N$2,N$5,N$1)),0)),"-")</f>
        <v>4</v>
      </c>
    </row>
    <row r="25" spans="1:14" x14ac:dyDescent="0.25">
      <c r="A25">
        <f>IF(B25="",0,1)</f>
        <v>0</v>
      </c>
      <c r="B25" s="14"/>
      <c r="C25" s="14"/>
      <c r="D25" s="15">
        <f>SUM(E25:N25)</f>
        <v>0.38874999999999993</v>
      </c>
      <c r="E25" s="15" t="str" cm="1">
        <f t="array" ref="E25">IFERROR((_xlfn._xlws.FILTER(INDEX(Margin[],0,MATCH(E$1&amp;"_"&amp;E$3,Margin[#Headers],0)),(Margin[Index]=E$2)*(Margin[Strategy]=E$5))*E24)/Client_Margin($B24),"-")</f>
        <v>-</v>
      </c>
      <c r="F25" s="15" t="str" cm="1">
        <f t="array" ref="F25">IFERROR((_xlfn._xlws.FILTER(INDEX(Margin[],0,MATCH(F$1&amp;"_"&amp;F$3,Margin[#Headers],0)),(Margin[Index]=F$2)*(Margin[Strategy]=F$5))*F24)/Client_Margin($B24),"-")</f>
        <v>-</v>
      </c>
      <c r="G25" s="15" cm="1">
        <f t="array" ref="G25">IFERROR((_xlfn._xlws.FILTER(INDEX(Margin[],0,MATCH(G$1&amp;"_"&amp;G$3,Margin[#Headers],0)),(Margin[Index]=G$2)*(Margin[Strategy]=G$5))*G24)/Client_Margin($B24),"-")</f>
        <v>8.6999999999999994E-2</v>
      </c>
      <c r="H25" s="15" cm="1">
        <f t="array" ref="H25">IFERROR((_xlfn._xlws.FILTER(INDEX(Margin[],0,MATCH(H$1&amp;"_"&amp;H$3,Margin[#Headers],0)),(Margin[Index]=H$2)*(Margin[Strategy]=H$5))*H24)/Client_Margin($B24),"-")</f>
        <v>7.8E-2</v>
      </c>
      <c r="I25" s="15" cm="1">
        <f t="array" ref="I25">IFERROR((_xlfn._xlws.FILTER(INDEX(Margin[],0,MATCH(I$1&amp;"_"&amp;I$3,Margin[#Headers],0)),(Margin[Index]=I$2)*(Margin[Strategy]=I$5))*I24)/Client_Margin($B24),"-")</f>
        <v>6.6666666666666666E-2</v>
      </c>
      <c r="J25" s="15" cm="1">
        <f t="array" ref="J25">IFERROR((_xlfn._xlws.FILTER(INDEX(Margin[],0,MATCH(J$1&amp;"_"&amp;J$3,Margin[#Headers],0)),(Margin[Index]=J$2)*(Margin[Strategy]=J$5))*J24)/Client_Margin($B24),"-")</f>
        <v>0</v>
      </c>
      <c r="K25" s="15" cm="1">
        <f t="array" ref="K25">IFERROR((_xlfn._xlws.FILTER(INDEX(Margin[],0,MATCH(K$1&amp;"_"&amp;K$3,Margin[#Headers],0)),(Margin[Index]=K$2)*(Margin[Strategy]=K$5))*K24)/Client_Margin($B24),"-")</f>
        <v>0</v>
      </c>
      <c r="L25" s="15" cm="1">
        <f t="array" ref="L25">IFERROR((_xlfn._xlws.FILTER(INDEX(Margin[],0,MATCH(L$1&amp;"_"&amp;L$3,Margin[#Headers],0)),(Margin[Index]=L$2)*(Margin[Strategy]=L$5))*L24)/Client_Margin($B24),"-")</f>
        <v>4.3749999999999997E-2</v>
      </c>
      <c r="M25" s="15" cm="1">
        <f t="array" ref="M25">IFERROR((_xlfn._xlws.FILTER(INDEX(Margin[],0,MATCH(M$1&amp;"_"&amp;M$3,Margin[#Headers],0)),(Margin[Index]=M$2)*(Margin[Strategy]=M$5))*M24)/Client_Margin($B24),"-")</f>
        <v>5.6666666666666664E-2</v>
      </c>
      <c r="N25" s="15" cm="1">
        <f t="array" ref="N25">IFERROR((_xlfn._xlws.FILTER(INDEX(Margin[],0,MATCH(N$1&amp;"_"&amp;N$3,Margin[#Headers],0)),(Margin[Index]=N$2)*(Margin[Strategy]=N$5))*N24)/Client_Margin($B24),"-")</f>
        <v>5.6666666666666664E-2</v>
      </c>
    </row>
    <row r="26" spans="1:14" x14ac:dyDescent="0.25">
      <c r="A26">
        <f t="shared" ref="A26:A27" si="2">IF(B26="",0,1)</f>
        <v>1</v>
      </c>
      <c r="B26" s="14" t="s">
        <v>113</v>
      </c>
      <c r="C26" s="14" cm="1">
        <f t="array" ref="C26">(_xlfn._xlws.FILTER(Fund[Margin],Fund[Client Id]=B26))/10000000</f>
        <v>1.95</v>
      </c>
      <c r="D26" s="17"/>
      <c r="E26" s="14" t="str" cm="1">
        <f t="array" ref="E26">IFERROR(IF(ROUNDUP((Client_Margin($B26)*Alloted(E$3,E$2,E$5)/Get_Margin(E$3,E$2,E$5,E$1)),0)*Get_Margin(E$3,E$2,E$5,E$1)&gt;((Client_Margin($B26)*Alloted(E$3,E$2,E$5)/Get_Margin(E$3,E$2,E$5,E$1))*Get_Margin(E$3,E$2,E$5,E$1))*$C$3,ROUNDDOWN((Client_Margin($B26)*Alloted(E$3,E$2,E$5)/Get_Margin(E$3,E$2,E$5,E$1)),0),ROUNDUP((Client_Margin($B26)*Alloted(E$3,E$2,E$5)/Get_Margin(E$3,E$2,E$5,E$1)),0)),"-")</f>
        <v>-</v>
      </c>
      <c r="F26" s="14" t="str" cm="1">
        <f t="array" ref="F26">IFERROR(IF(ROUNDUP((Client_Margin($B26)*Alloted(F$3,F$2,F$5)/Get_Margin(F$3,F$2,F$5,F$1)),0)*Get_Margin(F$3,F$2,F$5,F$1)&gt;((Client_Margin($B26)*Alloted(F$3,F$2,F$5)/Get_Margin(F$3,F$2,F$5,F$1))*Get_Margin(F$3,F$2,F$5,F$1))*$C$3,ROUNDDOWN((Client_Margin($B26)*Alloted(F$3,F$2,F$5)/Get_Margin(F$3,F$2,F$5,F$1)),0),ROUNDUP((Client_Margin($B26)*Alloted(F$3,F$2,F$5)/Get_Margin(F$3,F$2,F$5,F$1)),0)),"-")</f>
        <v>-</v>
      </c>
      <c r="G26" s="14" cm="1">
        <f t="array" ref="G26">IFERROR(IF(ROUNDUP((Client_Margin($B26)*Alloted(G$3,G$2,G$5)/Get_Margin(G$3,G$2,G$5,G$1)),0)*Get_Margin(G$3,G$2,G$5,G$1)&gt;((Client_Margin($B26)*Alloted(G$3,G$2,G$5)/Get_Margin(G$3,G$2,G$5,G$1))*Get_Margin(G$3,G$2,G$5,G$1))*$C$3,ROUNDDOWN((Client_Margin($B26)*Alloted(G$3,G$2,G$5)/Get_Margin(G$3,G$2,G$5,G$1)),0),ROUNDUP((Client_Margin($B26)*Alloted(G$3,G$2,G$5)/Get_Margin(G$3,G$2,G$5,G$1)),0)),"-")</f>
        <v>3</v>
      </c>
      <c r="H26" s="14" cm="1">
        <f t="array" ref="H26">IFERROR(IF(ROUNDUP((Client_Margin($B26)*Alloted(H$3,H$2,H$5)/Get_Margin(H$3,H$2,H$5,H$1)),0)*Get_Margin(H$3,H$2,H$5,H$1)&gt;((Client_Margin($B26)*Alloted(H$3,H$2,H$5)/Get_Margin(H$3,H$2,H$5,H$1))*Get_Margin(H$3,H$2,H$5,H$1))*$C$3,ROUNDDOWN((Client_Margin($B26)*Alloted(H$3,H$2,H$5)/Get_Margin(H$3,H$2,H$5,H$1)),0),ROUNDUP((Client_Margin($B26)*Alloted(H$3,H$2,H$5)/Get_Margin(H$3,H$2,H$5,H$1)),0)),"-")</f>
        <v>1</v>
      </c>
      <c r="I26" s="14" cm="1">
        <f t="array" ref="I26">IFERROR(IF(ROUNDUP((Client_Margin($B26)*Alloted(I$3,I$2,I$5)/Get_Margin(I$3,I$2,I$5,I$1)),0)*Get_Margin(I$3,I$2,I$5,I$1)&gt;((Client_Margin($B26)*Alloted(I$3,I$2,I$5)/Get_Margin(I$3,I$2,I$5,I$1))*Get_Margin(I$3,I$2,I$5,I$1))*$C$3,ROUNDDOWN((Client_Margin($B26)*Alloted(I$3,I$2,I$5)/Get_Margin(I$3,I$2,I$5,I$1)),0),ROUNDUP((Client_Margin($B26)*Alloted(I$3,I$2,I$5)/Get_Margin(I$3,I$2,I$5,I$1)),0)),"-")</f>
        <v>1</v>
      </c>
      <c r="J26" s="14" cm="1">
        <f t="array" ref="J26">IFERROR(IF(ROUNDUP((Client_Margin($B26)*Alloted(J$3,J$2,J$5)/Get_Margin(J$3,J$2,J$5,J$1)),0)*Get_Margin(J$3,J$2,J$5,J$1)&gt;((Client_Margin($B26)*Alloted(J$3,J$2,J$5)/Get_Margin(J$3,J$2,J$5,J$1))*Get_Margin(J$3,J$2,J$5,J$1))*$C$3,ROUNDDOWN((Client_Margin($B26)*Alloted(J$3,J$2,J$5)/Get_Margin(J$3,J$2,J$5,J$1)),0),ROUNDUP((Client_Margin($B26)*Alloted(J$3,J$2,J$5)/Get_Margin(J$3,J$2,J$5,J$1)),0)),"-")</f>
        <v>0</v>
      </c>
      <c r="K26" s="14" cm="1">
        <f t="array" ref="K26">IFERROR(IF(ROUNDUP((Client_Margin($B26)*Alloted(K$3,K$2,K$5)/Get_Margin(K$3,K$2,K$5,K$1)),0)*Get_Margin(K$3,K$2,K$5,K$1)&gt;((Client_Margin($B26)*Alloted(K$3,K$2,K$5)/Get_Margin(K$3,K$2,K$5,K$1))*Get_Margin(K$3,K$2,K$5,K$1))*$C$3,ROUNDDOWN((Client_Margin($B26)*Alloted(K$3,K$2,K$5)/Get_Margin(K$3,K$2,K$5,K$1)),0),ROUNDUP((Client_Margin($B26)*Alloted(K$3,K$2,K$5)/Get_Margin(K$3,K$2,K$5,K$1)),0)),"-")</f>
        <v>0</v>
      </c>
      <c r="L26" s="43">
        <v>0</v>
      </c>
      <c r="M26" s="14" cm="1">
        <f t="array" ref="M26">IFERROR(IF(ROUNDUP((Client_Margin($B26)*Alloted(M$3,M$2,M$5)/Get_Margin(M$3,M$2,M$5,M$1)),0)*Get_Margin(M$3,M$2,M$5,M$1)&gt;((Client_Margin($B26)*Alloted(M$3,M$2,M$5)/Get_Margin(M$3,M$2,M$5,M$1))*Get_Margin(M$3,M$2,M$5,M$1))*$C$3,ROUNDDOWN((Client_Margin($B26)*Alloted(M$3,M$2,M$5)/Get_Margin(M$3,M$2,M$5,M$1)),0),ROUNDUP((Client_Margin($B26)*Alloted(M$3,M$2,M$5)/Get_Margin(M$3,M$2,M$5,M$1)),0)),"-")</f>
        <v>3</v>
      </c>
      <c r="N26" s="14" cm="1">
        <f t="array" ref="N26">IFERROR(IF(ROUNDUP((Client_Margin($B26)*Alloted(N$3,N$2,N$5)/Get_Margin(N$3,N$2,N$5,N$1)),0)*Get_Margin(N$3,N$2,N$5,N$1)&gt;((Client_Margin($B26)*Alloted(N$3,N$2,N$5)/Get_Margin(N$3,N$2,N$5,N$1))*Get_Margin(N$3,N$2,N$5,N$1))*$C$3,ROUNDDOWN((Client_Margin($B26)*Alloted(N$3,N$2,N$5)/Get_Margin(N$3,N$2,N$5,N$1)),0),ROUNDUP((Client_Margin($B26)*Alloted(N$3,N$2,N$5)/Get_Margin(N$3,N$2,N$5,N$1)),0)),"-")</f>
        <v>3</v>
      </c>
    </row>
    <row r="27" spans="1:14" x14ac:dyDescent="0.25">
      <c r="A27">
        <f t="shared" si="2"/>
        <v>0</v>
      </c>
      <c r="B27" s="14"/>
      <c r="C27" s="14"/>
      <c r="D27" s="15">
        <f>SUM(E27:N27)</f>
        <v>0.38974358974358969</v>
      </c>
      <c r="E27" s="15" t="str" cm="1">
        <f t="array" ref="E27">IFERROR((_xlfn._xlws.FILTER(INDEX(Margin[],0,MATCH(E$1&amp;"_"&amp;E$3,Margin[#Headers],0)),(Margin[Index]=E$2)*(Margin[Strategy]=E$5))*E26)/Client_Margin($B26),"-")</f>
        <v>-</v>
      </c>
      <c r="F27" s="15" t="str" cm="1">
        <f t="array" ref="F27">IFERROR((_xlfn._xlws.FILTER(INDEX(Margin[],0,MATCH(F$1&amp;"_"&amp;F$3,Margin[#Headers],0)),(Margin[Index]=F$2)*(Margin[Strategy]=F$5))*F26)/Client_Margin($B26),"-")</f>
        <v>-</v>
      </c>
      <c r="G27" s="15" cm="1">
        <f t="array" ref="G27">IFERROR((_xlfn._xlws.FILTER(INDEX(Margin[],0,MATCH(G$1&amp;"_"&amp;G$3,Margin[#Headers],0)),(Margin[Index]=G$2)*(Margin[Strategy]=G$5))*G26)/Client_Margin($B26),"-")</f>
        <v>0.10707692307692308</v>
      </c>
      <c r="H27" s="15" cm="1">
        <f t="array" ref="H27">IFERROR((_xlfn._xlws.FILTER(INDEX(Margin[],0,MATCH(H$1&amp;"_"&amp;H$3,Margin[#Headers],0)),(Margin[Index]=H$2)*(Margin[Strategy]=H$5))*H26)/Client_Margin($B26),"-")</f>
        <v>9.6000000000000002E-2</v>
      </c>
      <c r="I27" s="15" cm="1">
        <f t="array" ref="I27">IFERROR((_xlfn._xlws.FILTER(INDEX(Margin[],0,MATCH(I$1&amp;"_"&amp;I$3,Margin[#Headers],0)),(Margin[Index]=I$2)*(Margin[Strategy]=I$5))*I26)/Client_Margin($B26),"-")</f>
        <v>8.2051282051282051E-2</v>
      </c>
      <c r="J27" s="15" cm="1">
        <f t="array" ref="J27">IFERROR((_xlfn._xlws.FILTER(INDEX(Margin[],0,MATCH(J$1&amp;"_"&amp;J$3,Margin[#Headers],0)),(Margin[Index]=J$2)*(Margin[Strategy]=J$5))*J26)/Client_Margin($B26),"-")</f>
        <v>0</v>
      </c>
      <c r="K27" s="15" cm="1">
        <f t="array" ref="K27">IFERROR((_xlfn._xlws.FILTER(INDEX(Margin[],0,MATCH(K$1&amp;"_"&amp;K$3,Margin[#Headers],0)),(Margin[Index]=K$2)*(Margin[Strategy]=K$5))*K26)/Client_Margin($B26),"-")</f>
        <v>0</v>
      </c>
      <c r="L27" s="15" cm="1">
        <f t="array" ref="L27">IFERROR((_xlfn._xlws.FILTER(INDEX(Margin[],0,MATCH(L$1&amp;"_"&amp;L$3,Margin[#Headers],0)),(Margin[Index]=L$2)*(Margin[Strategy]=L$5))*L26)/Client_Margin($B26),"-")</f>
        <v>0</v>
      </c>
      <c r="M27" s="15" cm="1">
        <f t="array" ref="M27">IFERROR((_xlfn._xlws.FILTER(INDEX(Margin[],0,MATCH(M$1&amp;"_"&amp;M$3,Margin[#Headers],0)),(Margin[Index]=M$2)*(Margin[Strategy]=M$5))*M26)/Client_Margin($B26),"-")</f>
        <v>5.2307692307692305E-2</v>
      </c>
      <c r="N27" s="15" cm="1">
        <f t="array" ref="N27">IFERROR((_xlfn._xlws.FILTER(INDEX(Margin[],0,MATCH(N$1&amp;"_"&amp;N$3,Margin[#Headers],0)),(Margin[Index]=N$2)*(Margin[Strategy]=N$5))*N26)/Client_Margin($B26),"-")</f>
        <v>5.2307692307692305E-2</v>
      </c>
    </row>
    <row r="28" spans="1:14" x14ac:dyDescent="0.25">
      <c r="A28">
        <f>IF(B28="",0,1)</f>
        <v>1</v>
      </c>
      <c r="B28" s="14" t="s">
        <v>36</v>
      </c>
      <c r="C28" s="14" cm="1">
        <f t="array" ref="C28">(_xlfn._xlws.FILTER(Fund[Margin],Fund[Client Id]=B28))/10000000</f>
        <v>1.8</v>
      </c>
      <c r="D28" s="17"/>
      <c r="E28" s="14" t="str" cm="1">
        <f t="array" ref="E28">IFERROR(IF(ROUNDUP((Client_Margin($B28)*Alloted(E$3,E$2,E$5)/Get_Margin(E$3,E$2,E$5,E$1)),0)*Get_Margin(E$3,E$2,E$5,E$1)&gt;((Client_Margin($B28)*Alloted(E$3,E$2,E$5)/Get_Margin(E$3,E$2,E$5,E$1))*Get_Margin(E$3,E$2,E$5,E$1))*$C$3,ROUNDDOWN((Client_Margin($B28)*Alloted(E$3,E$2,E$5)/Get_Margin(E$3,E$2,E$5,E$1)),0),ROUNDUP((Client_Margin($B28)*Alloted(E$3,E$2,E$5)/Get_Margin(E$3,E$2,E$5,E$1)),0)),"-")</f>
        <v>-</v>
      </c>
      <c r="F28" s="14" t="str" cm="1">
        <f t="array" ref="F28">IFERROR(IF(ROUNDUP((Client_Margin($B28)*Alloted(F$3,F$2,F$5)/Get_Margin(F$3,F$2,F$5,F$1)),0)*Get_Margin(F$3,F$2,F$5,F$1)&gt;((Client_Margin($B28)*Alloted(F$3,F$2,F$5)/Get_Margin(F$3,F$2,F$5,F$1))*Get_Margin(F$3,F$2,F$5,F$1))*$C$3,ROUNDDOWN((Client_Margin($B28)*Alloted(F$3,F$2,F$5)/Get_Margin(F$3,F$2,F$5,F$1)),0),ROUNDUP((Client_Margin($B28)*Alloted(F$3,F$2,F$5)/Get_Margin(F$3,F$2,F$5,F$1)),0)),"-")</f>
        <v>-</v>
      </c>
      <c r="G28" s="14" cm="1">
        <f t="array" ref="G28">IFERROR(IF(ROUNDUP((Client_Margin($B28)*Alloted(G$3,G$2,G$5)/Get_Margin(G$3,G$2,G$5,G$1)),0)*Get_Margin(G$3,G$2,G$5,G$1)&gt;((Client_Margin($B28)*Alloted(G$3,G$2,G$5)/Get_Margin(G$3,G$2,G$5,G$1))*Get_Margin(G$3,G$2,G$5,G$1))*$C$3,ROUNDDOWN((Client_Margin($B28)*Alloted(G$3,G$2,G$5)/Get_Margin(G$3,G$2,G$5,G$1)),0),ROUNDUP((Client_Margin($B28)*Alloted(G$3,G$2,G$5)/Get_Margin(G$3,G$2,G$5,G$1)),0)),"-")</f>
        <v>2</v>
      </c>
      <c r="H28" s="14" cm="1">
        <f t="array" ref="H28">IFERROR(IF(ROUNDUP((Client_Margin($B28)*Alloted(H$3,H$2,H$5)/Get_Margin(H$3,H$2,H$5,H$1)),0)*Get_Margin(H$3,H$2,H$5,H$1)&gt;((Client_Margin($B28)*Alloted(H$3,H$2,H$5)/Get_Margin(H$3,H$2,H$5,H$1))*Get_Margin(H$3,H$2,H$5,H$1))*$C$3,ROUNDDOWN((Client_Margin($B28)*Alloted(H$3,H$2,H$5)/Get_Margin(H$3,H$2,H$5,H$1)),0),ROUNDUP((Client_Margin($B28)*Alloted(H$3,H$2,H$5)/Get_Margin(H$3,H$2,H$5,H$1)),0)),"-")</f>
        <v>1</v>
      </c>
      <c r="I28" s="14" cm="1">
        <f t="array" ref="I28">IFERROR(IF(ROUNDUP((Client_Margin($B28)*Alloted(I$3,I$2,I$5)/Get_Margin(I$3,I$2,I$5,I$1)),0)*Get_Margin(I$3,I$2,I$5,I$1)&gt;((Client_Margin($B28)*Alloted(I$3,I$2,I$5)/Get_Margin(I$3,I$2,I$5,I$1))*Get_Margin(I$3,I$2,I$5,I$1))*$C$3,ROUNDDOWN((Client_Margin($B28)*Alloted(I$3,I$2,I$5)/Get_Margin(I$3,I$2,I$5,I$1)),0),ROUNDUP((Client_Margin($B28)*Alloted(I$3,I$2,I$5)/Get_Margin(I$3,I$2,I$5,I$1)),0)),"-")</f>
        <v>1</v>
      </c>
      <c r="J28" s="14" cm="1">
        <f t="array" ref="J28">IFERROR(IF(ROUNDUP((Client_Margin($B28)*Alloted(J$3,J$2,J$5)/Get_Margin(J$3,J$2,J$5,J$1)),0)*Get_Margin(J$3,J$2,J$5,J$1)&gt;((Client_Margin($B28)*Alloted(J$3,J$2,J$5)/Get_Margin(J$3,J$2,J$5,J$1))*Get_Margin(J$3,J$2,J$5,J$1))*$C$3,ROUNDDOWN((Client_Margin($B28)*Alloted(J$3,J$2,J$5)/Get_Margin(J$3,J$2,J$5,J$1)),0),ROUNDUP((Client_Margin($B28)*Alloted(J$3,J$2,J$5)/Get_Margin(J$3,J$2,J$5,J$1)),0)),"-")</f>
        <v>0</v>
      </c>
      <c r="K28" s="14" cm="1">
        <f t="array" ref="K28">IFERROR(IF(ROUNDUP((Client_Margin($B28)*Alloted(K$3,K$2,K$5)/Get_Margin(K$3,K$2,K$5,K$1)),0)*Get_Margin(K$3,K$2,K$5,K$1)&gt;((Client_Margin($B28)*Alloted(K$3,K$2,K$5)/Get_Margin(K$3,K$2,K$5,K$1))*Get_Margin(K$3,K$2,K$5,K$1))*$C$3,ROUNDDOWN((Client_Margin($B28)*Alloted(K$3,K$2,K$5)/Get_Margin(K$3,K$2,K$5,K$1)),0),ROUNDUP((Client_Margin($B28)*Alloted(K$3,K$2,K$5)/Get_Margin(K$3,K$2,K$5,K$1)),0)),"-")</f>
        <v>0</v>
      </c>
      <c r="L28" s="43">
        <v>0</v>
      </c>
      <c r="M28" s="14" cm="1">
        <f t="array" ref="M28">IFERROR(IF(ROUNDUP((Client_Margin($B28)*Alloted(M$3,M$2,M$5)/Get_Margin(M$3,M$2,M$5,M$1)),0)*Get_Margin(M$3,M$2,M$5,M$1)&gt;((Client_Margin($B28)*Alloted(M$3,M$2,M$5)/Get_Margin(M$3,M$2,M$5,M$1))*Get_Margin(M$3,M$2,M$5,M$1))*$C$3,ROUNDDOWN((Client_Margin($B28)*Alloted(M$3,M$2,M$5)/Get_Margin(M$3,M$2,M$5,M$1)),0),ROUNDUP((Client_Margin($B28)*Alloted(M$3,M$2,M$5)/Get_Margin(M$3,M$2,M$5,M$1)),0)),"-")</f>
        <v>3</v>
      </c>
      <c r="N28" s="14" cm="1">
        <f t="array" ref="N28">IFERROR(IF(ROUNDUP((Client_Margin($B28)*Alloted(N$3,N$2,N$5)/Get_Margin(N$3,N$2,N$5,N$1)),0)*Get_Margin(N$3,N$2,N$5,N$1)&gt;((Client_Margin($B28)*Alloted(N$3,N$2,N$5)/Get_Margin(N$3,N$2,N$5,N$1))*Get_Margin(N$3,N$2,N$5,N$1))*$C$3,ROUNDDOWN((Client_Margin($B28)*Alloted(N$3,N$2,N$5)/Get_Margin(N$3,N$2,N$5,N$1)),0),ROUNDUP((Client_Margin($B28)*Alloted(N$3,N$2,N$5)/Get_Margin(N$3,N$2,N$5,N$1)),0)),"-")</f>
        <v>3</v>
      </c>
    </row>
    <row r="29" spans="1:14" x14ac:dyDescent="0.25">
      <c r="A29">
        <f>IF(B29="",0,1)</f>
        <v>0</v>
      </c>
      <c r="B29" s="14"/>
      <c r="C29" s="14"/>
      <c r="D29" s="15">
        <f>SUM(E29:N29)</f>
        <v>0.38355555555555554</v>
      </c>
      <c r="E29" s="15" t="str" cm="1">
        <f t="array" ref="E29">IFERROR((_xlfn._xlws.FILTER(INDEX(Margin[],0,MATCH(E$1&amp;"_"&amp;E$3,Margin[#Headers],0)),(Margin[Index]=E$2)*(Margin[Strategy]=E$5))*E28)/Client_Margin($B28),"-")</f>
        <v>-</v>
      </c>
      <c r="F29" s="15" t="str" cm="1">
        <f t="array" ref="F29">IFERROR((_xlfn._xlws.FILTER(INDEX(Margin[],0,MATCH(F$1&amp;"_"&amp;F$3,Margin[#Headers],0)),(Margin[Index]=F$2)*(Margin[Strategy]=F$5))*F28)/Client_Margin($B28),"-")</f>
        <v>-</v>
      </c>
      <c r="G29" s="15" cm="1">
        <f t="array" ref="G29">IFERROR((_xlfn._xlws.FILTER(INDEX(Margin[],0,MATCH(G$1&amp;"_"&amp;G$3,Margin[#Headers],0)),(Margin[Index]=G$2)*(Margin[Strategy]=G$5))*G28)/Client_Margin($B28),"-")</f>
        <v>7.7333333333333337E-2</v>
      </c>
      <c r="H29" s="15" cm="1">
        <f t="array" ref="H29">IFERROR((_xlfn._xlws.FILTER(INDEX(Margin[],0,MATCH(H$1&amp;"_"&amp;H$3,Margin[#Headers],0)),(Margin[Index]=H$2)*(Margin[Strategy]=H$5))*H28)/Client_Margin($B28),"-")</f>
        <v>0.104</v>
      </c>
      <c r="I29" s="15" cm="1">
        <f t="array" ref="I29">IFERROR((_xlfn._xlws.FILTER(INDEX(Margin[],0,MATCH(I$1&amp;"_"&amp;I$3,Margin[#Headers],0)),(Margin[Index]=I$2)*(Margin[Strategy]=I$5))*I28)/Client_Margin($B28),"-")</f>
        <v>8.8888888888888892E-2</v>
      </c>
      <c r="J29" s="15" cm="1">
        <f t="array" ref="J29">IFERROR((_xlfn._xlws.FILTER(INDEX(Margin[],0,MATCH(J$1&amp;"_"&amp;J$3,Margin[#Headers],0)),(Margin[Index]=J$2)*(Margin[Strategy]=J$5))*J28)/Client_Margin($B28),"-")</f>
        <v>0</v>
      </c>
      <c r="K29" s="15" cm="1">
        <f t="array" ref="K29">IFERROR((_xlfn._xlws.FILTER(INDEX(Margin[],0,MATCH(K$1&amp;"_"&amp;K$3,Margin[#Headers],0)),(Margin[Index]=K$2)*(Margin[Strategy]=K$5))*K28)/Client_Margin($B28),"-")</f>
        <v>0</v>
      </c>
      <c r="L29" s="15" cm="1">
        <f t="array" ref="L29">IFERROR((_xlfn._xlws.FILTER(INDEX(Margin[],0,MATCH(L$1&amp;"_"&amp;L$3,Margin[#Headers],0)),(Margin[Index]=L$2)*(Margin[Strategy]=L$5))*L28)/Client_Margin($B28),"-")</f>
        <v>0</v>
      </c>
      <c r="M29" s="15" cm="1">
        <f t="array" ref="M29">IFERROR((_xlfn._xlws.FILTER(INDEX(Margin[],0,MATCH(M$1&amp;"_"&amp;M$3,Margin[#Headers],0)),(Margin[Index]=M$2)*(Margin[Strategy]=M$5))*M28)/Client_Margin($B28),"-")</f>
        <v>5.6666666666666664E-2</v>
      </c>
      <c r="N29" s="15" cm="1">
        <f t="array" ref="N29">IFERROR((_xlfn._xlws.FILTER(INDEX(Margin[],0,MATCH(N$1&amp;"_"&amp;N$3,Margin[#Headers],0)),(Margin[Index]=N$2)*(Margin[Strategy]=N$5))*N28)/Client_Margin($B28),"-")</f>
        <v>5.6666666666666664E-2</v>
      </c>
    </row>
    <row r="30" spans="1:14" x14ac:dyDescent="0.25">
      <c r="A30">
        <f t="shared" ref="A30:A37" si="3">IF(B30="",0,1)</f>
        <v>1</v>
      </c>
      <c r="B30" s="14" t="s">
        <v>32</v>
      </c>
      <c r="C30" s="14" cm="1">
        <f t="array" ref="C30">(_xlfn._xlws.FILTER(Fund[Margin],Fund[Client Id]=B30))/10000000</f>
        <v>1.8</v>
      </c>
      <c r="D30" s="17"/>
      <c r="E30" s="14" t="str" cm="1">
        <f t="array" ref="E30">IFERROR(IF(ROUNDUP((Client_Margin($B30)*Alloted(E$3,E$2,E$5)/Get_Margin(E$3,E$2,E$5,E$1)),0)*Get_Margin(E$3,E$2,E$5,E$1)&gt;((Client_Margin($B30)*Alloted(E$3,E$2,E$5)/Get_Margin(E$3,E$2,E$5,E$1))*Get_Margin(E$3,E$2,E$5,E$1))*$C$3,ROUNDDOWN((Client_Margin($B30)*Alloted(E$3,E$2,E$5)/Get_Margin(E$3,E$2,E$5,E$1)),0),ROUNDUP((Client_Margin($B30)*Alloted(E$3,E$2,E$5)/Get_Margin(E$3,E$2,E$5,E$1)),0)),"-")</f>
        <v>-</v>
      </c>
      <c r="F30" s="14" t="str" cm="1">
        <f t="array" ref="F30">IFERROR(IF(ROUNDUP((Client_Margin($B30)*Alloted(F$3,F$2,F$5)/Get_Margin(F$3,F$2,F$5,F$1)),0)*Get_Margin(F$3,F$2,F$5,F$1)&gt;((Client_Margin($B30)*Alloted(F$3,F$2,F$5)/Get_Margin(F$3,F$2,F$5,F$1))*Get_Margin(F$3,F$2,F$5,F$1))*$C$3,ROUNDDOWN((Client_Margin($B30)*Alloted(F$3,F$2,F$5)/Get_Margin(F$3,F$2,F$5,F$1)),0),ROUNDUP((Client_Margin($B30)*Alloted(F$3,F$2,F$5)/Get_Margin(F$3,F$2,F$5,F$1)),0)),"-")</f>
        <v>-</v>
      </c>
      <c r="G30" s="14" cm="1">
        <f t="array" ref="G30">IFERROR(IF(ROUNDUP((Client_Margin($B30)*Alloted(G$3,G$2,G$5)/Get_Margin(G$3,G$2,G$5,G$1)),0)*Get_Margin(G$3,G$2,G$5,G$1)&gt;((Client_Margin($B30)*Alloted(G$3,G$2,G$5)/Get_Margin(G$3,G$2,G$5,G$1))*Get_Margin(G$3,G$2,G$5,G$1))*$C$3,ROUNDDOWN((Client_Margin($B30)*Alloted(G$3,G$2,G$5)/Get_Margin(G$3,G$2,G$5,G$1)),0),ROUNDUP((Client_Margin($B30)*Alloted(G$3,G$2,G$5)/Get_Margin(G$3,G$2,G$5,G$1)),0)),"-")</f>
        <v>2</v>
      </c>
      <c r="H30" s="14" cm="1">
        <f t="array" ref="H30">IFERROR(IF(ROUNDUP((Client_Margin($B30)*Alloted(H$3,H$2,H$5)/Get_Margin(H$3,H$2,H$5,H$1)),0)*Get_Margin(H$3,H$2,H$5,H$1)&gt;((Client_Margin($B30)*Alloted(H$3,H$2,H$5)/Get_Margin(H$3,H$2,H$5,H$1))*Get_Margin(H$3,H$2,H$5,H$1))*$C$3,ROUNDDOWN((Client_Margin($B30)*Alloted(H$3,H$2,H$5)/Get_Margin(H$3,H$2,H$5,H$1)),0),ROUNDUP((Client_Margin($B30)*Alloted(H$3,H$2,H$5)/Get_Margin(H$3,H$2,H$5,H$1)),0)),"-")</f>
        <v>1</v>
      </c>
      <c r="I30" s="14" cm="1">
        <f t="array" ref="I30">IFERROR(IF(ROUNDUP((Client_Margin($B30)*Alloted(I$3,I$2,I$5)/Get_Margin(I$3,I$2,I$5,I$1)),0)*Get_Margin(I$3,I$2,I$5,I$1)&gt;((Client_Margin($B30)*Alloted(I$3,I$2,I$5)/Get_Margin(I$3,I$2,I$5,I$1))*Get_Margin(I$3,I$2,I$5,I$1))*$C$3,ROUNDDOWN((Client_Margin($B30)*Alloted(I$3,I$2,I$5)/Get_Margin(I$3,I$2,I$5,I$1)),0),ROUNDUP((Client_Margin($B30)*Alloted(I$3,I$2,I$5)/Get_Margin(I$3,I$2,I$5,I$1)),0)),"-")</f>
        <v>1</v>
      </c>
      <c r="J30" s="14" cm="1">
        <f t="array" ref="J30">IFERROR(IF(ROUNDUP((Client_Margin($B30)*Alloted(J$3,J$2,J$5)/Get_Margin(J$3,J$2,J$5,J$1)),0)*Get_Margin(J$3,J$2,J$5,J$1)&gt;((Client_Margin($B30)*Alloted(J$3,J$2,J$5)/Get_Margin(J$3,J$2,J$5,J$1))*Get_Margin(J$3,J$2,J$5,J$1))*$C$3,ROUNDDOWN((Client_Margin($B30)*Alloted(J$3,J$2,J$5)/Get_Margin(J$3,J$2,J$5,J$1)),0),ROUNDUP((Client_Margin($B30)*Alloted(J$3,J$2,J$5)/Get_Margin(J$3,J$2,J$5,J$1)),0)),"-")</f>
        <v>0</v>
      </c>
      <c r="K30" s="14" cm="1">
        <f t="array" ref="K30">IFERROR(IF(ROUNDUP((Client_Margin($B30)*Alloted(K$3,K$2,K$5)/Get_Margin(K$3,K$2,K$5,K$1)),0)*Get_Margin(K$3,K$2,K$5,K$1)&gt;((Client_Margin($B30)*Alloted(K$3,K$2,K$5)/Get_Margin(K$3,K$2,K$5,K$1))*Get_Margin(K$3,K$2,K$5,K$1))*$C$3,ROUNDDOWN((Client_Margin($B30)*Alloted(K$3,K$2,K$5)/Get_Margin(K$3,K$2,K$5,K$1)),0),ROUNDUP((Client_Margin($B30)*Alloted(K$3,K$2,K$5)/Get_Margin(K$3,K$2,K$5,K$1)),0)),"-")</f>
        <v>0</v>
      </c>
      <c r="L30" s="43">
        <v>0</v>
      </c>
      <c r="M30" s="14" cm="1">
        <f t="array" ref="M30">IFERROR(IF(ROUNDUP((Client_Margin($B30)*Alloted(M$3,M$2,M$5)/Get_Margin(M$3,M$2,M$5,M$1)),0)*Get_Margin(M$3,M$2,M$5,M$1)&gt;((Client_Margin($B30)*Alloted(M$3,M$2,M$5)/Get_Margin(M$3,M$2,M$5,M$1))*Get_Margin(M$3,M$2,M$5,M$1))*$C$3,ROUNDDOWN((Client_Margin($B30)*Alloted(M$3,M$2,M$5)/Get_Margin(M$3,M$2,M$5,M$1)),0),ROUNDUP((Client_Margin($B30)*Alloted(M$3,M$2,M$5)/Get_Margin(M$3,M$2,M$5,M$1)),0)),"-")</f>
        <v>3</v>
      </c>
      <c r="N30" s="14" cm="1">
        <f t="array" ref="N30">IFERROR(IF(ROUNDUP((Client_Margin($B30)*Alloted(N$3,N$2,N$5)/Get_Margin(N$3,N$2,N$5,N$1)),0)*Get_Margin(N$3,N$2,N$5,N$1)&gt;((Client_Margin($B30)*Alloted(N$3,N$2,N$5)/Get_Margin(N$3,N$2,N$5,N$1))*Get_Margin(N$3,N$2,N$5,N$1))*$C$3,ROUNDDOWN((Client_Margin($B30)*Alloted(N$3,N$2,N$5)/Get_Margin(N$3,N$2,N$5,N$1)),0),ROUNDUP((Client_Margin($B30)*Alloted(N$3,N$2,N$5)/Get_Margin(N$3,N$2,N$5,N$1)),0)),"-")</f>
        <v>3</v>
      </c>
    </row>
    <row r="31" spans="1:14" x14ac:dyDescent="0.25">
      <c r="A31">
        <f t="shared" si="3"/>
        <v>0</v>
      </c>
      <c r="B31" s="14"/>
      <c r="C31" s="14"/>
      <c r="D31" s="15">
        <f>SUM(E31:N31)</f>
        <v>0.38355555555555554</v>
      </c>
      <c r="E31" s="15" t="str" cm="1">
        <f t="array" ref="E31">IFERROR((_xlfn._xlws.FILTER(INDEX(Margin[],0,MATCH(E$1&amp;"_"&amp;E$3,Margin[#Headers],0)),(Margin[Index]=E$2)*(Margin[Strategy]=E$5))*E30)/Client_Margin($B30),"-")</f>
        <v>-</v>
      </c>
      <c r="F31" s="15" t="str" cm="1">
        <f t="array" ref="F31">IFERROR((_xlfn._xlws.FILTER(INDEX(Margin[],0,MATCH(F$1&amp;"_"&amp;F$3,Margin[#Headers],0)),(Margin[Index]=F$2)*(Margin[Strategy]=F$5))*F30)/Client_Margin($B30),"-")</f>
        <v>-</v>
      </c>
      <c r="G31" s="15" cm="1">
        <f t="array" ref="G31">IFERROR((_xlfn._xlws.FILTER(INDEX(Margin[],0,MATCH(G$1&amp;"_"&amp;G$3,Margin[#Headers],0)),(Margin[Index]=G$2)*(Margin[Strategy]=G$5))*G30)/Client_Margin($B30),"-")</f>
        <v>7.7333333333333337E-2</v>
      </c>
      <c r="H31" s="15" cm="1">
        <f t="array" ref="H31">IFERROR((_xlfn._xlws.FILTER(INDEX(Margin[],0,MATCH(H$1&amp;"_"&amp;H$3,Margin[#Headers],0)),(Margin[Index]=H$2)*(Margin[Strategy]=H$5))*H30)/Client_Margin($B30),"-")</f>
        <v>0.104</v>
      </c>
      <c r="I31" s="15" cm="1">
        <f t="array" ref="I31">IFERROR((_xlfn._xlws.FILTER(INDEX(Margin[],0,MATCH(I$1&amp;"_"&amp;I$3,Margin[#Headers],0)),(Margin[Index]=I$2)*(Margin[Strategy]=I$5))*I30)/Client_Margin($B30),"-")</f>
        <v>8.8888888888888892E-2</v>
      </c>
      <c r="J31" s="15" cm="1">
        <f t="array" ref="J31">IFERROR((_xlfn._xlws.FILTER(INDEX(Margin[],0,MATCH(J$1&amp;"_"&amp;J$3,Margin[#Headers],0)),(Margin[Index]=J$2)*(Margin[Strategy]=J$5))*J30)/Client_Margin($B30),"-")</f>
        <v>0</v>
      </c>
      <c r="K31" s="15" cm="1">
        <f t="array" ref="K31">IFERROR((_xlfn._xlws.FILTER(INDEX(Margin[],0,MATCH(K$1&amp;"_"&amp;K$3,Margin[#Headers],0)),(Margin[Index]=K$2)*(Margin[Strategy]=K$5))*K30)/Client_Margin($B30),"-")</f>
        <v>0</v>
      </c>
      <c r="L31" s="15" cm="1">
        <f t="array" ref="L31">IFERROR((_xlfn._xlws.FILTER(INDEX(Margin[],0,MATCH(L$1&amp;"_"&amp;L$3,Margin[#Headers],0)),(Margin[Index]=L$2)*(Margin[Strategy]=L$5))*L30)/Client_Margin($B30),"-")</f>
        <v>0</v>
      </c>
      <c r="M31" s="15" cm="1">
        <f t="array" ref="M31">IFERROR((_xlfn._xlws.FILTER(INDEX(Margin[],0,MATCH(M$1&amp;"_"&amp;M$3,Margin[#Headers],0)),(Margin[Index]=M$2)*(Margin[Strategy]=M$5))*M30)/Client_Margin($B30),"-")</f>
        <v>5.6666666666666664E-2</v>
      </c>
      <c r="N31" s="15" cm="1">
        <f t="array" ref="N31">IFERROR((_xlfn._xlws.FILTER(INDEX(Margin[],0,MATCH(N$1&amp;"_"&amp;N$3,Margin[#Headers],0)),(Margin[Index]=N$2)*(Margin[Strategy]=N$5))*N30)/Client_Margin($B30),"-")</f>
        <v>5.6666666666666664E-2</v>
      </c>
    </row>
    <row r="32" spans="1:14" x14ac:dyDescent="0.25">
      <c r="A32">
        <f t="shared" si="3"/>
        <v>1</v>
      </c>
      <c r="B32" s="14" t="s">
        <v>112</v>
      </c>
      <c r="C32" s="14" cm="1">
        <f t="array" ref="C32">(_xlfn._xlws.FILTER(Fund[Margin],Fund[Client Id]=B32))/10000000</f>
        <v>1.6</v>
      </c>
      <c r="D32" s="17"/>
      <c r="E32" s="14" t="str" cm="1">
        <f t="array" ref="E32">IFERROR(IF(ROUNDUP((Client_Margin($B32)*Alloted(E$3,E$2,E$5)/Get_Margin(E$3,E$2,E$5,E$1)),0)*Get_Margin(E$3,E$2,E$5,E$1)&gt;((Client_Margin($B32)*Alloted(E$3,E$2,E$5)/Get_Margin(E$3,E$2,E$5,E$1))*Get_Margin(E$3,E$2,E$5,E$1))*$C$3,ROUNDDOWN((Client_Margin($B32)*Alloted(E$3,E$2,E$5)/Get_Margin(E$3,E$2,E$5,E$1)),0),ROUNDUP((Client_Margin($B32)*Alloted(E$3,E$2,E$5)/Get_Margin(E$3,E$2,E$5,E$1)),0)),"-")</f>
        <v>-</v>
      </c>
      <c r="F32" s="14" t="str" cm="1">
        <f t="array" ref="F32">IFERROR(IF(ROUNDUP((Client_Margin($B32)*Alloted(F$3,F$2,F$5)/Get_Margin(F$3,F$2,F$5,F$1)),0)*Get_Margin(F$3,F$2,F$5,F$1)&gt;((Client_Margin($B32)*Alloted(F$3,F$2,F$5)/Get_Margin(F$3,F$2,F$5,F$1))*Get_Margin(F$3,F$2,F$5,F$1))*$C$3,ROUNDDOWN((Client_Margin($B32)*Alloted(F$3,F$2,F$5)/Get_Margin(F$3,F$2,F$5,F$1)),0),ROUNDUP((Client_Margin($B32)*Alloted(F$3,F$2,F$5)/Get_Margin(F$3,F$2,F$5,F$1)),0)),"-")</f>
        <v>-</v>
      </c>
      <c r="G32" s="14" cm="1">
        <f t="array" ref="G32">IFERROR(IF(ROUNDUP((Client_Margin($B32)*Alloted(G$3,G$2,G$5)/Get_Margin(G$3,G$2,G$5,G$1)),0)*Get_Margin(G$3,G$2,G$5,G$1)&gt;((Client_Margin($B32)*Alloted(G$3,G$2,G$5)/Get_Margin(G$3,G$2,G$5,G$1))*Get_Margin(G$3,G$2,G$5,G$1))*$C$3,ROUNDDOWN((Client_Margin($B32)*Alloted(G$3,G$2,G$5)/Get_Margin(G$3,G$2,G$5,G$1)),0),ROUNDUP((Client_Margin($B32)*Alloted(G$3,G$2,G$5)/Get_Margin(G$3,G$2,G$5,G$1)),0)),"-")</f>
        <v>2</v>
      </c>
      <c r="H32" s="43">
        <v>1</v>
      </c>
      <c r="I32" s="14" cm="1">
        <f t="array" ref="I32">IFERROR(IF(ROUNDUP((Client_Margin($B32)*Alloted(I$3,I$2,I$5)/Get_Margin(I$3,I$2,I$5,I$1)),0)*Get_Margin(I$3,I$2,I$5,I$1)&gt;((Client_Margin($B32)*Alloted(I$3,I$2,I$5)/Get_Margin(I$3,I$2,I$5,I$1))*Get_Margin(I$3,I$2,I$5,I$1))*$C$3,ROUNDDOWN((Client_Margin($B32)*Alloted(I$3,I$2,I$5)/Get_Margin(I$3,I$2,I$5,I$1)),0),ROUNDUP((Client_Margin($B32)*Alloted(I$3,I$2,I$5)/Get_Margin(I$3,I$2,I$5,I$1)),0)),"-")</f>
        <v>1</v>
      </c>
      <c r="J32" s="14" cm="1">
        <f t="array" ref="J32">IFERROR(IF(ROUNDUP((Client_Margin($B32)*Alloted(J$3,J$2,J$5)/Get_Margin(J$3,J$2,J$5,J$1)),0)*Get_Margin(J$3,J$2,J$5,J$1)&gt;((Client_Margin($B32)*Alloted(J$3,J$2,J$5)/Get_Margin(J$3,J$2,J$5,J$1))*Get_Margin(J$3,J$2,J$5,J$1))*$C$3,ROUNDDOWN((Client_Margin($B32)*Alloted(J$3,J$2,J$5)/Get_Margin(J$3,J$2,J$5,J$1)),0),ROUNDUP((Client_Margin($B32)*Alloted(J$3,J$2,J$5)/Get_Margin(J$3,J$2,J$5,J$1)),0)),"-")</f>
        <v>0</v>
      </c>
      <c r="K32" s="14" cm="1">
        <f t="array" ref="K32">IFERROR(IF(ROUNDUP((Client_Margin($B32)*Alloted(K$3,K$2,K$5)/Get_Margin(K$3,K$2,K$5,K$1)),0)*Get_Margin(K$3,K$2,K$5,K$1)&gt;((Client_Margin($B32)*Alloted(K$3,K$2,K$5)/Get_Margin(K$3,K$2,K$5,K$1))*Get_Margin(K$3,K$2,K$5,K$1))*$C$3,ROUNDDOWN((Client_Margin($B32)*Alloted(K$3,K$2,K$5)/Get_Margin(K$3,K$2,K$5,K$1)),0),ROUNDUP((Client_Margin($B32)*Alloted(K$3,K$2,K$5)/Get_Margin(K$3,K$2,K$5,K$1)),0)),"-")</f>
        <v>0</v>
      </c>
      <c r="L32" s="43">
        <v>0</v>
      </c>
      <c r="M32" s="14" cm="1">
        <f t="array" ref="M32">IFERROR(IF(ROUNDUP((Client_Margin($B32)*Alloted(M$3,M$2,M$5)/Get_Margin(M$3,M$2,M$5,M$1)),0)*Get_Margin(M$3,M$2,M$5,M$1)&gt;((Client_Margin($B32)*Alloted(M$3,M$2,M$5)/Get_Margin(M$3,M$2,M$5,M$1))*Get_Margin(M$3,M$2,M$5,M$1))*$C$3,ROUNDDOWN((Client_Margin($B32)*Alloted(M$3,M$2,M$5)/Get_Margin(M$3,M$2,M$5,M$1)),0),ROUNDUP((Client_Margin($B32)*Alloted(M$3,M$2,M$5)/Get_Margin(M$3,M$2,M$5,M$1)),0)),"-")</f>
        <v>2</v>
      </c>
      <c r="N32" s="14" cm="1">
        <f t="array" ref="N32">IFERROR(IF(ROUNDUP((Client_Margin($B32)*Alloted(N$3,N$2,N$5)/Get_Margin(N$3,N$2,N$5,N$1)),0)*Get_Margin(N$3,N$2,N$5,N$1)&gt;((Client_Margin($B32)*Alloted(N$3,N$2,N$5)/Get_Margin(N$3,N$2,N$5,N$1))*Get_Margin(N$3,N$2,N$5,N$1))*$C$3,ROUNDDOWN((Client_Margin($B32)*Alloted(N$3,N$2,N$5)/Get_Margin(N$3,N$2,N$5,N$1)),0),ROUNDUP((Client_Margin($B32)*Alloted(N$3,N$2,N$5)/Get_Margin(N$3,N$2,N$5,N$1)),0)),"-")</f>
        <v>2</v>
      </c>
    </row>
    <row r="33" spans="1:14" x14ac:dyDescent="0.25">
      <c r="A33">
        <f t="shared" si="3"/>
        <v>0</v>
      </c>
      <c r="B33" s="14"/>
      <c r="C33" s="14"/>
      <c r="D33" s="15">
        <f>SUM(E33:N33)</f>
        <v>0.38900000000000001</v>
      </c>
      <c r="E33" s="15" t="str" cm="1">
        <f t="array" ref="E33">IFERROR((_xlfn._xlws.FILTER(INDEX(Margin[],0,MATCH(E$1&amp;"_"&amp;E$3,Margin[#Headers],0)),(Margin[Index]=E$2)*(Margin[Strategy]=E$5))*E32)/Client_Margin($B32),"-")</f>
        <v>-</v>
      </c>
      <c r="F33" s="15" t="str" cm="1">
        <f t="array" ref="F33">IFERROR((_xlfn._xlws.FILTER(INDEX(Margin[],0,MATCH(F$1&amp;"_"&amp;F$3,Margin[#Headers],0)),(Margin[Index]=F$2)*(Margin[Strategy]=F$5))*F32)/Client_Margin($B32),"-")</f>
        <v>-</v>
      </c>
      <c r="G33" s="15" cm="1">
        <f t="array" ref="G33">IFERROR((_xlfn._xlws.FILTER(INDEX(Margin[],0,MATCH(G$1&amp;"_"&amp;G$3,Margin[#Headers],0)),(Margin[Index]=G$2)*(Margin[Strategy]=G$5))*G32)/Client_Margin($B32),"-")</f>
        <v>8.6999999999999994E-2</v>
      </c>
      <c r="H33" s="15" cm="1">
        <f t="array" ref="H33">IFERROR((_xlfn._xlws.FILTER(INDEX(Margin[],0,MATCH(H$1&amp;"_"&amp;H$3,Margin[#Headers],0)),(Margin[Index]=H$2)*(Margin[Strategy]=H$5))*H32)/Client_Margin($B32),"-")</f>
        <v>0.11700000000000001</v>
      </c>
      <c r="I33" s="15" cm="1">
        <f t="array" ref="I33">IFERROR((_xlfn._xlws.FILTER(INDEX(Margin[],0,MATCH(I$1&amp;"_"&amp;I$3,Margin[#Headers],0)),(Margin[Index]=I$2)*(Margin[Strategy]=I$5))*I32)/Client_Margin($B32),"-")</f>
        <v>0.1</v>
      </c>
      <c r="J33" s="15" cm="1">
        <f t="array" ref="J33">IFERROR((_xlfn._xlws.FILTER(INDEX(Margin[],0,MATCH(J$1&amp;"_"&amp;J$3,Margin[#Headers],0)),(Margin[Index]=J$2)*(Margin[Strategy]=J$5))*J32)/Client_Margin($B32),"-")</f>
        <v>0</v>
      </c>
      <c r="K33" s="15" cm="1">
        <f t="array" ref="K33">IFERROR((_xlfn._xlws.FILTER(INDEX(Margin[],0,MATCH(K$1&amp;"_"&amp;K$3,Margin[#Headers],0)),(Margin[Index]=K$2)*(Margin[Strategy]=K$5))*K32)/Client_Margin($B32),"-")</f>
        <v>0</v>
      </c>
      <c r="L33" s="15" cm="1">
        <f t="array" ref="L33">IFERROR((_xlfn._xlws.FILTER(INDEX(Margin[],0,MATCH(L$1&amp;"_"&amp;L$3,Margin[#Headers],0)),(Margin[Index]=L$2)*(Margin[Strategy]=L$5))*L32)/Client_Margin($B32),"-")</f>
        <v>0</v>
      </c>
      <c r="M33" s="15" cm="1">
        <f t="array" ref="M33">IFERROR((_xlfn._xlws.FILTER(INDEX(Margin[],0,MATCH(M$1&amp;"_"&amp;M$3,Margin[#Headers],0)),(Margin[Index]=M$2)*(Margin[Strategy]=M$5))*M32)/Client_Margin($B32),"-")</f>
        <v>4.2500000000000003E-2</v>
      </c>
      <c r="N33" s="15" cm="1">
        <f t="array" ref="N33">IFERROR((_xlfn._xlws.FILTER(INDEX(Margin[],0,MATCH(N$1&amp;"_"&amp;N$3,Margin[#Headers],0)),(Margin[Index]=N$2)*(Margin[Strategy]=N$5))*N32)/Client_Margin($B32),"-")</f>
        <v>4.2500000000000003E-2</v>
      </c>
    </row>
    <row r="34" spans="1:14" x14ac:dyDescent="0.25">
      <c r="A34">
        <f t="shared" si="3"/>
        <v>1</v>
      </c>
      <c r="B34" s="14" t="s">
        <v>38</v>
      </c>
      <c r="C34" s="14" cm="1">
        <f t="array" ref="C34">(_xlfn._xlws.FILTER(Fund[Margin],Fund[Client Id]=B34))/10000000</f>
        <v>1.5</v>
      </c>
      <c r="D34" s="17"/>
      <c r="E34" s="14" t="str" cm="1">
        <f t="array" ref="E34">IFERROR(IF(ROUNDUP((Client_Margin($B34)*Alloted(E$3,E$2,E$5)/Get_Margin(E$3,E$2,E$5,E$1)),0)*Get_Margin(E$3,E$2,E$5,E$1)&gt;((Client_Margin($B34)*Alloted(E$3,E$2,E$5)/Get_Margin(E$3,E$2,E$5,E$1))*Get_Margin(E$3,E$2,E$5,E$1))*$C$3,ROUNDDOWN((Client_Margin($B34)*Alloted(E$3,E$2,E$5)/Get_Margin(E$3,E$2,E$5,E$1)),0),ROUNDUP((Client_Margin($B34)*Alloted(E$3,E$2,E$5)/Get_Margin(E$3,E$2,E$5,E$1)),0)),"-")</f>
        <v>-</v>
      </c>
      <c r="F34" s="14" t="str" cm="1">
        <f t="array" ref="F34">IFERROR(IF(ROUNDUP((Client_Margin($B34)*Alloted(F$3,F$2,F$5)/Get_Margin(F$3,F$2,F$5,F$1)),0)*Get_Margin(F$3,F$2,F$5,F$1)&gt;((Client_Margin($B34)*Alloted(F$3,F$2,F$5)/Get_Margin(F$3,F$2,F$5,F$1))*Get_Margin(F$3,F$2,F$5,F$1))*$C$3,ROUNDDOWN((Client_Margin($B34)*Alloted(F$3,F$2,F$5)/Get_Margin(F$3,F$2,F$5,F$1)),0),ROUNDUP((Client_Margin($B34)*Alloted(F$3,F$2,F$5)/Get_Margin(F$3,F$2,F$5,F$1)),0)),"-")</f>
        <v>-</v>
      </c>
      <c r="G34" s="14" cm="1">
        <f t="array" ref="G34">IFERROR(IF(ROUNDUP((Client_Margin($B34)*Alloted(G$3,G$2,G$5)/Get_Margin(G$3,G$2,G$5,G$1)),0)*Get_Margin(G$3,G$2,G$5,G$1)&gt;((Client_Margin($B34)*Alloted(G$3,G$2,G$5)/Get_Margin(G$3,G$2,G$5,G$1))*Get_Margin(G$3,G$2,G$5,G$1))*$C$3,ROUNDDOWN((Client_Margin($B34)*Alloted(G$3,G$2,G$5)/Get_Margin(G$3,G$2,G$5,G$1)),0),ROUNDUP((Client_Margin($B34)*Alloted(G$3,G$2,G$5)/Get_Margin(G$3,G$2,G$5,G$1)),0)),"-")</f>
        <v>2</v>
      </c>
      <c r="H34" s="43">
        <v>1</v>
      </c>
      <c r="I34" s="14" cm="1">
        <f t="array" ref="I34">IFERROR(IF(ROUNDUP((Client_Margin($B34)*Alloted(I$3,I$2,I$5)/Get_Margin(I$3,I$2,I$5,I$1)),0)*Get_Margin(I$3,I$2,I$5,I$1)&gt;((Client_Margin($B34)*Alloted(I$3,I$2,I$5)/Get_Margin(I$3,I$2,I$5,I$1))*Get_Margin(I$3,I$2,I$5,I$1))*$C$3,ROUNDDOWN((Client_Margin($B34)*Alloted(I$3,I$2,I$5)/Get_Margin(I$3,I$2,I$5,I$1)),0),ROUNDUP((Client_Margin($B34)*Alloted(I$3,I$2,I$5)/Get_Margin(I$3,I$2,I$5,I$1)),0)),"-")</f>
        <v>1</v>
      </c>
      <c r="J34" s="14" cm="1">
        <f t="array" ref="J34">IFERROR(IF(ROUNDUP((Client_Margin($B34)*Alloted(J$3,J$2,J$5)/Get_Margin(J$3,J$2,J$5,J$1)),0)*Get_Margin(J$3,J$2,J$5,J$1)&gt;((Client_Margin($B34)*Alloted(J$3,J$2,J$5)/Get_Margin(J$3,J$2,J$5,J$1))*Get_Margin(J$3,J$2,J$5,J$1))*$C$3,ROUNDDOWN((Client_Margin($B34)*Alloted(J$3,J$2,J$5)/Get_Margin(J$3,J$2,J$5,J$1)),0),ROUNDUP((Client_Margin($B34)*Alloted(J$3,J$2,J$5)/Get_Margin(J$3,J$2,J$5,J$1)),0)),"-")</f>
        <v>0</v>
      </c>
      <c r="K34" s="14" cm="1">
        <f t="array" ref="K34">IFERROR(IF(ROUNDUP((Client_Margin($B34)*Alloted(K$3,K$2,K$5)/Get_Margin(K$3,K$2,K$5,K$1)),0)*Get_Margin(K$3,K$2,K$5,K$1)&gt;((Client_Margin($B34)*Alloted(K$3,K$2,K$5)/Get_Margin(K$3,K$2,K$5,K$1))*Get_Margin(K$3,K$2,K$5,K$1))*$C$3,ROUNDDOWN((Client_Margin($B34)*Alloted(K$3,K$2,K$5)/Get_Margin(K$3,K$2,K$5,K$1)),0),ROUNDUP((Client_Margin($B34)*Alloted(K$3,K$2,K$5)/Get_Margin(K$3,K$2,K$5,K$1)),0)),"-")</f>
        <v>0</v>
      </c>
      <c r="L34" s="43">
        <v>0</v>
      </c>
      <c r="M34" s="14" cm="1">
        <f t="array" ref="M34">IFERROR(IF(ROUNDUP((Client_Margin($B34)*Alloted(M$3,M$2,M$5)/Get_Margin(M$3,M$2,M$5,M$1)),0)*Get_Margin(M$3,M$2,M$5,M$1)&gt;((Client_Margin($B34)*Alloted(M$3,M$2,M$5)/Get_Margin(M$3,M$2,M$5,M$1))*Get_Margin(M$3,M$2,M$5,M$1))*$C$3,ROUNDDOWN((Client_Margin($B34)*Alloted(M$3,M$2,M$5)/Get_Margin(M$3,M$2,M$5,M$1)),0),ROUNDUP((Client_Margin($B34)*Alloted(M$3,M$2,M$5)/Get_Margin(M$3,M$2,M$5,M$1)),0)),"-")</f>
        <v>2</v>
      </c>
      <c r="N34" s="14" cm="1">
        <f t="array" ref="N34">IFERROR(IF(ROUNDUP((Client_Margin($B34)*Alloted(N$3,N$2,N$5)/Get_Margin(N$3,N$2,N$5,N$1)),0)*Get_Margin(N$3,N$2,N$5,N$1)&gt;((Client_Margin($B34)*Alloted(N$3,N$2,N$5)/Get_Margin(N$3,N$2,N$5,N$1))*Get_Margin(N$3,N$2,N$5,N$1))*$C$3,ROUNDDOWN((Client_Margin($B34)*Alloted(N$3,N$2,N$5)/Get_Margin(N$3,N$2,N$5,N$1)),0),ROUNDUP((Client_Margin($B34)*Alloted(N$3,N$2,N$5)/Get_Margin(N$3,N$2,N$5,N$1)),0)),"-")</f>
        <v>2</v>
      </c>
    </row>
    <row r="35" spans="1:14" x14ac:dyDescent="0.25">
      <c r="A35">
        <f t="shared" si="3"/>
        <v>0</v>
      </c>
      <c r="B35" s="14"/>
      <c r="C35" s="14"/>
      <c r="D35" s="15">
        <f>SUM(E35:N35)</f>
        <v>0.41493333333333332</v>
      </c>
      <c r="E35" s="15" t="str" cm="1">
        <f t="array" ref="E35">IFERROR((_xlfn._xlws.FILTER(INDEX(Margin[],0,MATCH(E$1&amp;"_"&amp;E$3,Margin[#Headers],0)),(Margin[Index]=E$2)*(Margin[Strategy]=E$5))*E34)/Client_Margin($B34),"-")</f>
        <v>-</v>
      </c>
      <c r="F35" s="15" t="str" cm="1">
        <f t="array" ref="F35">IFERROR((_xlfn._xlws.FILTER(INDEX(Margin[],0,MATCH(F$1&amp;"_"&amp;F$3,Margin[#Headers],0)),(Margin[Index]=F$2)*(Margin[Strategy]=F$5))*F34)/Client_Margin($B34),"-")</f>
        <v>-</v>
      </c>
      <c r="G35" s="15" cm="1">
        <f t="array" ref="G35">IFERROR((_xlfn._xlws.FILTER(INDEX(Margin[],0,MATCH(G$1&amp;"_"&amp;G$3,Margin[#Headers],0)),(Margin[Index]=G$2)*(Margin[Strategy]=G$5))*G34)/Client_Margin($B34),"-")</f>
        <v>9.2799999999999994E-2</v>
      </c>
      <c r="H35" s="15" cm="1">
        <f t="array" ref="H35">IFERROR((_xlfn._xlws.FILTER(INDEX(Margin[],0,MATCH(H$1&amp;"_"&amp;H$3,Margin[#Headers],0)),(Margin[Index]=H$2)*(Margin[Strategy]=H$5))*H34)/Client_Margin($B34),"-")</f>
        <v>0.12479999999999999</v>
      </c>
      <c r="I35" s="15" cm="1">
        <f t="array" ref="I35">IFERROR((_xlfn._xlws.FILTER(INDEX(Margin[],0,MATCH(I$1&amp;"_"&amp;I$3,Margin[#Headers],0)),(Margin[Index]=I$2)*(Margin[Strategy]=I$5))*I34)/Client_Margin($B34),"-")</f>
        <v>0.10666666666666667</v>
      </c>
      <c r="J35" s="15" cm="1">
        <f t="array" ref="J35">IFERROR((_xlfn._xlws.FILTER(INDEX(Margin[],0,MATCH(J$1&amp;"_"&amp;J$3,Margin[#Headers],0)),(Margin[Index]=J$2)*(Margin[Strategy]=J$5))*J34)/Client_Margin($B34),"-")</f>
        <v>0</v>
      </c>
      <c r="K35" s="15" cm="1">
        <f t="array" ref="K35">IFERROR((_xlfn._xlws.FILTER(INDEX(Margin[],0,MATCH(K$1&amp;"_"&amp;K$3,Margin[#Headers],0)),(Margin[Index]=K$2)*(Margin[Strategy]=K$5))*K34)/Client_Margin($B34),"-")</f>
        <v>0</v>
      </c>
      <c r="L35" s="15" cm="1">
        <f t="array" ref="L35">IFERROR((_xlfn._xlws.FILTER(INDEX(Margin[],0,MATCH(L$1&amp;"_"&amp;L$3,Margin[#Headers],0)),(Margin[Index]=L$2)*(Margin[Strategy]=L$5))*L34)/Client_Margin($B34),"-")</f>
        <v>0</v>
      </c>
      <c r="M35" s="15" cm="1">
        <f t="array" ref="M35">IFERROR((_xlfn._xlws.FILTER(INDEX(Margin[],0,MATCH(M$1&amp;"_"&amp;M$3,Margin[#Headers],0)),(Margin[Index]=M$2)*(Margin[Strategy]=M$5))*M34)/Client_Margin($B34),"-")</f>
        <v>4.5333333333333337E-2</v>
      </c>
      <c r="N35" s="15" cm="1">
        <f t="array" ref="N35">IFERROR((_xlfn._xlws.FILTER(INDEX(Margin[],0,MATCH(N$1&amp;"_"&amp;N$3,Margin[#Headers],0)),(Margin[Index]=N$2)*(Margin[Strategy]=N$5))*N34)/Client_Margin($B34),"-")</f>
        <v>4.5333333333333337E-2</v>
      </c>
    </row>
    <row r="36" spans="1:14" x14ac:dyDescent="0.25">
      <c r="A36">
        <f t="shared" si="3"/>
        <v>1</v>
      </c>
      <c r="B36" s="14" t="s">
        <v>40</v>
      </c>
      <c r="C36" s="14" cm="1">
        <f t="array" ref="C36">(_xlfn._xlws.FILTER(Fund[Margin],Fund[Client Id]=B36))/10000000</f>
        <v>1.3</v>
      </c>
      <c r="D36" s="17"/>
      <c r="E36" s="14" t="str" cm="1">
        <f t="array" ref="E36">IFERROR(IF(ROUNDUP((Client_Margin($B36)*Alloted(E$3,E$2,E$5)/Get_Margin(E$3,E$2,E$5,E$1)),0)*Get_Margin(E$3,E$2,E$5,E$1)&gt;((Client_Margin($B36)*Alloted(E$3,E$2,E$5)/Get_Margin(E$3,E$2,E$5,E$1))*Get_Margin(E$3,E$2,E$5,E$1))*$C$3,ROUNDDOWN((Client_Margin($B36)*Alloted(E$3,E$2,E$5)/Get_Margin(E$3,E$2,E$5,E$1)),0),ROUNDUP((Client_Margin($B36)*Alloted(E$3,E$2,E$5)/Get_Margin(E$3,E$2,E$5,E$1)),0)),"-")</f>
        <v>-</v>
      </c>
      <c r="F36" s="14" t="str" cm="1">
        <f t="array" ref="F36">IFERROR(IF(ROUNDUP((Client_Margin($B36)*Alloted(F$3,F$2,F$5)/Get_Margin(F$3,F$2,F$5,F$1)),0)*Get_Margin(F$3,F$2,F$5,F$1)&gt;((Client_Margin($B36)*Alloted(F$3,F$2,F$5)/Get_Margin(F$3,F$2,F$5,F$1))*Get_Margin(F$3,F$2,F$5,F$1))*$C$3,ROUNDDOWN((Client_Margin($B36)*Alloted(F$3,F$2,F$5)/Get_Margin(F$3,F$2,F$5,F$1)),0),ROUNDUP((Client_Margin($B36)*Alloted(F$3,F$2,F$5)/Get_Margin(F$3,F$2,F$5,F$1)),0)),"-")</f>
        <v>-</v>
      </c>
      <c r="G36" s="14" cm="1">
        <f t="array" ref="G36">IFERROR(IF(ROUNDUP((Client_Margin($B36)*Alloted(G$3,G$2,G$5)/Get_Margin(G$3,G$2,G$5,G$1)),0)*Get_Margin(G$3,G$2,G$5,G$1)&gt;((Client_Margin($B36)*Alloted(G$3,G$2,G$5)/Get_Margin(G$3,G$2,G$5,G$1))*Get_Margin(G$3,G$2,G$5,G$1))*$C$3,ROUNDDOWN((Client_Margin($B36)*Alloted(G$3,G$2,G$5)/Get_Margin(G$3,G$2,G$5,G$1)),0),ROUNDUP((Client_Margin($B36)*Alloted(G$3,G$2,G$5)/Get_Margin(G$3,G$2,G$5,G$1)),0)),"-")</f>
        <v>2</v>
      </c>
      <c r="H36" s="43">
        <v>1</v>
      </c>
      <c r="I36" s="43">
        <v>1</v>
      </c>
      <c r="J36" s="14" cm="1">
        <f t="array" ref="J36">IFERROR(IF(ROUNDUP((Client_Margin($B36)*Alloted(J$3,J$2,J$5)/Get_Margin(J$3,J$2,J$5,J$1)),0)*Get_Margin(J$3,J$2,J$5,J$1)&gt;((Client_Margin($B36)*Alloted(J$3,J$2,J$5)/Get_Margin(J$3,J$2,J$5,J$1))*Get_Margin(J$3,J$2,J$5,J$1))*$C$3,ROUNDDOWN((Client_Margin($B36)*Alloted(J$3,J$2,J$5)/Get_Margin(J$3,J$2,J$5,J$1)),0),ROUNDUP((Client_Margin($B36)*Alloted(J$3,J$2,J$5)/Get_Margin(J$3,J$2,J$5,J$1)),0)),"-")</f>
        <v>0</v>
      </c>
      <c r="K36" s="14" cm="1">
        <f t="array" ref="K36">IFERROR(IF(ROUNDUP((Client_Margin($B36)*Alloted(K$3,K$2,K$5)/Get_Margin(K$3,K$2,K$5,K$1)),0)*Get_Margin(K$3,K$2,K$5,K$1)&gt;((Client_Margin($B36)*Alloted(K$3,K$2,K$5)/Get_Margin(K$3,K$2,K$5,K$1))*Get_Margin(K$3,K$2,K$5,K$1))*$C$3,ROUNDDOWN((Client_Margin($B36)*Alloted(K$3,K$2,K$5)/Get_Margin(K$3,K$2,K$5,K$1)),0),ROUNDUP((Client_Margin($B36)*Alloted(K$3,K$2,K$5)/Get_Margin(K$3,K$2,K$5,K$1)),0)),"-")</f>
        <v>0</v>
      </c>
      <c r="L36" s="43">
        <v>0</v>
      </c>
      <c r="M36" s="14" cm="1">
        <f t="array" ref="M36">IFERROR(IF(ROUNDUP((Client_Margin($B36)*Alloted(M$3,M$2,M$5)/Get_Margin(M$3,M$2,M$5,M$1)),0)*Get_Margin(M$3,M$2,M$5,M$1)&gt;((Client_Margin($B36)*Alloted(M$3,M$2,M$5)/Get_Margin(M$3,M$2,M$5,M$1))*Get_Margin(M$3,M$2,M$5,M$1))*$C$3,ROUNDDOWN((Client_Margin($B36)*Alloted(M$3,M$2,M$5)/Get_Margin(M$3,M$2,M$5,M$1)),0),ROUNDUP((Client_Margin($B36)*Alloted(M$3,M$2,M$5)/Get_Margin(M$3,M$2,M$5,M$1)),0)),"-")</f>
        <v>2</v>
      </c>
      <c r="N36" s="14" cm="1">
        <f t="array" ref="N36">IFERROR(IF(ROUNDUP((Client_Margin($B36)*Alloted(N$3,N$2,N$5)/Get_Margin(N$3,N$2,N$5,N$1)),0)*Get_Margin(N$3,N$2,N$5,N$1)&gt;((Client_Margin($B36)*Alloted(N$3,N$2,N$5)/Get_Margin(N$3,N$2,N$5,N$1))*Get_Margin(N$3,N$2,N$5,N$1))*$C$3,ROUNDDOWN((Client_Margin($B36)*Alloted(N$3,N$2,N$5)/Get_Margin(N$3,N$2,N$5,N$1)),0),ROUNDUP((Client_Margin($B36)*Alloted(N$3,N$2,N$5)/Get_Margin(N$3,N$2,N$5,N$1)),0)),"-")</f>
        <v>2</v>
      </c>
    </row>
    <row r="37" spans="1:14" x14ac:dyDescent="0.25">
      <c r="A37">
        <f t="shared" si="3"/>
        <v>0</v>
      </c>
      <c r="B37" s="14"/>
      <c r="C37" s="14"/>
      <c r="D37" s="15">
        <f>SUM(E37:N37)</f>
        <v>0.47876923076923072</v>
      </c>
      <c r="E37" s="15" t="str" cm="1">
        <f t="array" ref="E37">IFERROR((_xlfn._xlws.FILTER(INDEX(Margin[],0,MATCH(E$1&amp;"_"&amp;E$3,Margin[#Headers],0)),(Margin[Index]=E$2)*(Margin[Strategy]=E$5))*E36)/Client_Margin($B36),"-")</f>
        <v>-</v>
      </c>
      <c r="F37" s="15" t="str" cm="1">
        <f t="array" ref="F37">IFERROR((_xlfn._xlws.FILTER(INDEX(Margin[],0,MATCH(F$1&amp;"_"&amp;F$3,Margin[#Headers],0)),(Margin[Index]=F$2)*(Margin[Strategy]=F$5))*F36)/Client_Margin($B36),"-")</f>
        <v>-</v>
      </c>
      <c r="G37" s="15" cm="1">
        <f t="array" ref="G37">IFERROR((_xlfn._xlws.FILTER(INDEX(Margin[],0,MATCH(G$1&amp;"_"&amp;G$3,Margin[#Headers],0)),(Margin[Index]=G$2)*(Margin[Strategy]=G$5))*G36)/Client_Margin($B36),"-")</f>
        <v>0.10707692307692308</v>
      </c>
      <c r="H37" s="15" cm="1">
        <f t="array" ref="H37">IFERROR((_xlfn._xlws.FILTER(INDEX(Margin[],0,MATCH(H$1&amp;"_"&amp;H$3,Margin[#Headers],0)),(Margin[Index]=H$2)*(Margin[Strategy]=H$5))*H36)/Client_Margin($B36),"-")</f>
        <v>0.14399999999999999</v>
      </c>
      <c r="I37" s="15" cm="1">
        <f t="array" ref="I37">IFERROR((_xlfn._xlws.FILTER(INDEX(Margin[],0,MATCH(I$1&amp;"_"&amp;I$3,Margin[#Headers],0)),(Margin[Index]=I$2)*(Margin[Strategy]=I$5))*I36)/Client_Margin($B36),"-")</f>
        <v>0.12307692307692308</v>
      </c>
      <c r="J37" s="15" cm="1">
        <f t="array" ref="J37">IFERROR((_xlfn._xlws.FILTER(INDEX(Margin[],0,MATCH(J$1&amp;"_"&amp;J$3,Margin[#Headers],0)),(Margin[Index]=J$2)*(Margin[Strategy]=J$5))*J36)/Client_Margin($B36),"-")</f>
        <v>0</v>
      </c>
      <c r="K37" s="15" cm="1">
        <f t="array" ref="K37">IFERROR((_xlfn._xlws.FILTER(INDEX(Margin[],0,MATCH(K$1&amp;"_"&amp;K$3,Margin[#Headers],0)),(Margin[Index]=K$2)*(Margin[Strategy]=K$5))*K36)/Client_Margin($B36),"-")</f>
        <v>0</v>
      </c>
      <c r="L37" s="15" cm="1">
        <f t="array" ref="L37">IFERROR((_xlfn._xlws.FILTER(INDEX(Margin[],0,MATCH(L$1&amp;"_"&amp;L$3,Margin[#Headers],0)),(Margin[Index]=L$2)*(Margin[Strategy]=L$5))*L36)/Client_Margin($B36),"-")</f>
        <v>0</v>
      </c>
      <c r="M37" s="15" cm="1">
        <f t="array" ref="M37">IFERROR((_xlfn._xlws.FILTER(INDEX(Margin[],0,MATCH(M$1&amp;"_"&amp;M$3,Margin[#Headers],0)),(Margin[Index]=M$2)*(Margin[Strategy]=M$5))*M36)/Client_Margin($B36),"-")</f>
        <v>5.2307692307692305E-2</v>
      </c>
      <c r="N37" s="15" cm="1">
        <f t="array" ref="N37">IFERROR((_xlfn._xlws.FILTER(INDEX(Margin[],0,MATCH(N$1&amp;"_"&amp;N$3,Margin[#Headers],0)),(Margin[Index]=N$2)*(Margin[Strategy]=N$5))*N36)/Client_Margin($B36),"-")</f>
        <v>5.2307692307692305E-2</v>
      </c>
    </row>
  </sheetData>
  <autoFilter ref="A5:N38" xr:uid="{FB2A7FDE-B9DB-4D72-966A-43E82A79E3BC}"/>
  <conditionalFormatting sqref="D7:N7">
    <cfRule type="expression" dxfId="94" priority="16">
      <formula>D7&gt;D$4</formula>
    </cfRule>
  </conditionalFormatting>
  <conditionalFormatting sqref="D9:N9">
    <cfRule type="expression" dxfId="93" priority="15">
      <formula>D9&gt;D$4</formula>
    </cfRule>
  </conditionalFormatting>
  <conditionalFormatting sqref="D11:N11">
    <cfRule type="expression" dxfId="92" priority="14">
      <formula>D11&gt;D$4</formula>
    </cfRule>
  </conditionalFormatting>
  <conditionalFormatting sqref="D13:N13">
    <cfRule type="expression" dxfId="91" priority="13">
      <formula>D13&gt;D$4</formula>
    </cfRule>
  </conditionalFormatting>
  <conditionalFormatting sqref="D15:N15">
    <cfRule type="expression" dxfId="90" priority="12">
      <formula>D15&gt;D$4</formula>
    </cfRule>
  </conditionalFormatting>
  <conditionalFormatting sqref="D17:N17">
    <cfRule type="expression" dxfId="89" priority="11">
      <formula>D17&gt;D$4</formula>
    </cfRule>
  </conditionalFormatting>
  <conditionalFormatting sqref="D19:N19">
    <cfRule type="expression" dxfId="88" priority="10">
      <formula>D19&gt;D$4</formula>
    </cfRule>
  </conditionalFormatting>
  <conditionalFormatting sqref="D21:N21">
    <cfRule type="expression" dxfId="87" priority="9">
      <formula>D21&gt;D$4</formula>
    </cfRule>
  </conditionalFormatting>
  <conditionalFormatting sqref="D23:N23">
    <cfRule type="expression" dxfId="86" priority="8">
      <formula>D23&gt;D$4</formula>
    </cfRule>
  </conditionalFormatting>
  <conditionalFormatting sqref="D25:N25">
    <cfRule type="expression" dxfId="85" priority="7">
      <formula>D25&gt;D$4</formula>
    </cfRule>
  </conditionalFormatting>
  <conditionalFormatting sqref="D27:N27">
    <cfRule type="expression" dxfId="84" priority="6">
      <formula>D27&gt;D$4</formula>
    </cfRule>
  </conditionalFormatting>
  <conditionalFormatting sqref="D29:N29">
    <cfRule type="expression" dxfId="83" priority="5">
      <formula>D29&gt;D$4</formula>
    </cfRule>
  </conditionalFormatting>
  <conditionalFormatting sqref="D31:N31">
    <cfRule type="expression" dxfId="82" priority="4">
      <formula>D31&gt;D$4</formula>
    </cfRule>
  </conditionalFormatting>
  <conditionalFormatting sqref="D33:N33">
    <cfRule type="expression" dxfId="81" priority="3">
      <formula>D33&gt;D$4</formula>
    </cfRule>
  </conditionalFormatting>
  <conditionalFormatting sqref="D35:N35">
    <cfRule type="expression" dxfId="80" priority="2">
      <formula>D35&gt;D$4</formula>
    </cfRule>
  </conditionalFormatting>
  <conditionalFormatting sqref="D37:N37">
    <cfRule type="expression" dxfId="79" priority="1">
      <formula>D37&gt;D$4</formula>
    </cfRule>
  </conditionalFormatting>
  <dataValidations disablePrompts="1" count="2">
    <dataValidation type="list" allowBlank="1" showInputMessage="1" showErrorMessage="1" sqref="E3:N3" xr:uid="{7D311FE2-DE9F-442C-94FB-4F3BBA1C8672}">
      <formula1>"W.O.H,W.H"</formula1>
    </dataValidation>
    <dataValidation type="list" allowBlank="1" showInputMessage="1" showErrorMessage="1" sqref="E1:N1" xr:uid="{1CCAE57C-83BA-4F42-85A1-C25E8E670A96}">
      <formula1>"Expiry,N.Expiry"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604D1-78FC-4726-95C3-1EFEC021F94F}">
  <sheetPr codeName="Sheet10" filterMode="1"/>
  <dimension ref="A1:V38"/>
  <sheetViews>
    <sheetView zoomScale="90" zoomScaleNormal="90" workbookViewId="0">
      <selection activeCell="C16" sqref="C16"/>
    </sheetView>
  </sheetViews>
  <sheetFormatPr defaultRowHeight="15" x14ac:dyDescent="0.25"/>
  <cols>
    <col min="1" max="1" width="2" bestFit="1" customWidth="1"/>
    <col min="2" max="2" width="13.5703125" style="4" bestFit="1" customWidth="1"/>
    <col min="3" max="3" width="10" style="4" bestFit="1" customWidth="1"/>
    <col min="4" max="4" width="8.7109375" bestFit="1" customWidth="1"/>
    <col min="5" max="5" width="8.140625" bestFit="1" customWidth="1"/>
    <col min="6" max="6" width="7.5703125" bestFit="1" customWidth="1"/>
    <col min="7" max="9" width="16.85546875" bestFit="1" customWidth="1"/>
    <col min="10" max="10" width="11.42578125" bestFit="1" customWidth="1"/>
    <col min="11" max="11" width="8" bestFit="1" customWidth="1"/>
    <col min="12" max="12" width="13" bestFit="1" customWidth="1"/>
    <col min="13" max="13" width="12.85546875" bestFit="1" customWidth="1"/>
    <col min="14" max="14" width="13.7109375" bestFit="1" customWidth="1"/>
    <col min="15" max="15" width="15.28515625" bestFit="1" customWidth="1"/>
    <col min="16" max="16" width="15.140625" bestFit="1" customWidth="1"/>
    <col min="18" max="18" width="15.28515625" bestFit="1" customWidth="1"/>
  </cols>
  <sheetData>
    <row r="1" spans="1:22" x14ac:dyDescent="0.25">
      <c r="E1" s="4" t="s">
        <v>104</v>
      </c>
      <c r="F1" s="4" t="s">
        <v>104</v>
      </c>
      <c r="G1" s="4" t="s">
        <v>105</v>
      </c>
      <c r="H1" s="4" t="s">
        <v>105</v>
      </c>
      <c r="I1" s="4" t="s">
        <v>105</v>
      </c>
      <c r="J1" s="4" t="s">
        <v>104</v>
      </c>
      <c r="K1" s="4" t="s">
        <v>104</v>
      </c>
      <c r="L1" s="4" t="s">
        <v>105</v>
      </c>
      <c r="M1" s="4" t="s">
        <v>105</v>
      </c>
      <c r="N1" s="4" t="s">
        <v>105</v>
      </c>
      <c r="O1" s="4" t="s">
        <v>105</v>
      </c>
      <c r="P1" s="4" t="s">
        <v>105</v>
      </c>
    </row>
    <row r="2" spans="1:22" x14ac:dyDescent="0.25">
      <c r="B2"/>
      <c r="C2"/>
      <c r="E2" s="4" t="s">
        <v>14</v>
      </c>
      <c r="F2" s="4" t="s">
        <v>15</v>
      </c>
      <c r="G2" s="4" t="s">
        <v>15</v>
      </c>
      <c r="H2" s="4" t="s">
        <v>81</v>
      </c>
      <c r="I2" s="4" t="s">
        <v>14</v>
      </c>
      <c r="J2" s="4" t="s">
        <v>15</v>
      </c>
      <c r="K2" s="4" t="s">
        <v>15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</row>
    <row r="3" spans="1:22" x14ac:dyDescent="0.25">
      <c r="B3"/>
      <c r="C3">
        <v>1.1499999999999999</v>
      </c>
      <c r="E3" s="4" t="s">
        <v>103</v>
      </c>
      <c r="F3" s="4" t="s">
        <v>103</v>
      </c>
      <c r="G3" s="4" t="s">
        <v>103</v>
      </c>
      <c r="H3" s="4" t="s">
        <v>102</v>
      </c>
      <c r="I3" s="4" t="s">
        <v>103</v>
      </c>
      <c r="J3" s="4" t="s">
        <v>103</v>
      </c>
      <c r="K3" s="4" t="s">
        <v>103</v>
      </c>
      <c r="L3" s="4" t="s">
        <v>103</v>
      </c>
      <c r="M3" s="4" t="s">
        <v>103</v>
      </c>
      <c r="N3" s="4" t="s">
        <v>103</v>
      </c>
      <c r="O3" s="4" t="s">
        <v>102</v>
      </c>
      <c r="P3" s="4" t="s">
        <v>102</v>
      </c>
      <c r="U3" s="4"/>
      <c r="V3" s="4"/>
    </row>
    <row r="4" spans="1:22" x14ac:dyDescent="0.25">
      <c r="D4" s="38">
        <f>SUM(E4:P4)</f>
        <v>0.95000000000000018</v>
      </c>
      <c r="E4" s="39" cm="1">
        <f t="array" ref="E4">IF('Thu (SNX)'!E3="W.H",_xlfn._xlws.FILTER(Margin[Strategy allotment % with hedge],(Margin[Strategy]='Thu (SNX)'!E$5)*(Margin[Index]='Thu (SNX)'!E$2)),_xlfn._xlws.FILTER(Margin[Strategy allotment % without hedge],(Margin[Strategy]='Thu (SNX)'!E$5)*(Margin[Index]='Thu (SNX)'!E$2)))</f>
        <v>0</v>
      </c>
      <c r="F4" s="39" cm="1">
        <f t="array" ref="F4">IF('Thu (SNX)'!F3="W.H",_xlfn._xlws.FILTER(Margin[Strategy allotment % with hedge],(Margin[Strategy]='Thu (SNX)'!F$5)*(Margin[Index]='Thu (SNX)'!F$2)),_xlfn._xlws.FILTER(Margin[Strategy allotment % without hedge],(Margin[Strategy]='Thu (SNX)'!F$5)*(Margin[Index]='Thu (SNX)'!F$2)))</f>
        <v>0</v>
      </c>
      <c r="G4" s="39" cm="1">
        <f t="array" ref="G4">IF('Thu (SNX)'!G3="W.H",_xlfn._xlws.FILTER(Margin[Strategy allotment % with hedge],(Margin[Strategy]='Thu (SNX)'!G$5)*(Margin[Index]='Thu (SNX)'!G$2)),_xlfn._xlws.FILTER(Margin[Strategy allotment % without hedge],(Margin[Strategy]='Thu (SNX)'!G$5)*(Margin[Index]='Thu (SNX)'!G$2)))</f>
        <v>0.1</v>
      </c>
      <c r="H4" s="39" cm="1">
        <f t="array" ref="H4">IF('Thu (SNX)'!H3="W.H",_xlfn._xlws.FILTER(Margin[Strategy allotment % with hedge],(Margin[Strategy]='Thu (SNX)'!H$5)*(Margin[Index]='Thu (SNX)'!H$2)),_xlfn._xlws.FILTER(Margin[Strategy allotment % without hedge],(Margin[Strategy]='Thu (SNX)'!H$5)*(Margin[Index]='Thu (SNX)'!H$2)))</f>
        <v>0.1</v>
      </c>
      <c r="I4" s="39" cm="1">
        <f t="array" ref="I4">IF('Thu (SNX)'!I3="W.H",_xlfn._xlws.FILTER(Margin[Strategy allotment % with hedge],(Margin[Strategy]='Thu (SNX)'!I$5)*(Margin[Index]='Thu (SNX)'!I$2)),_xlfn._xlws.FILTER(Margin[Strategy allotment % without hedge],(Margin[Strategy]='Thu (SNX)'!I$5)*(Margin[Index]='Thu (SNX)'!I$2)))</f>
        <v>0.1</v>
      </c>
      <c r="J4" s="39" cm="1">
        <f t="array" ref="J4">IF('Thu (SNX)'!J3="W.H",_xlfn._xlws.FILTER(Margin[Strategy allotment % with hedge],(Margin[Strategy]='Thu (SNX)'!J$5)*(Margin[Index]='Thu (SNX)'!J$2)),_xlfn._xlws.FILTER(Margin[Strategy allotment % without hedge],(Margin[Strategy]='Thu (SNX)'!J$5)*(Margin[Index]='Thu (SNX)'!J$2)))</f>
        <v>0.1</v>
      </c>
      <c r="K4" s="39">
        <v>0.4</v>
      </c>
      <c r="L4" s="39" cm="1">
        <f t="array" ref="L4">IF('Thu (SNX)'!L3="W.H",_xlfn._xlws.FILTER(Margin[Strategy allotment % with hedge],(Margin[Strategy]='Thu (SNX)'!L$5)*(Margin[Index]='Thu (SNX)'!L$2)),_xlfn._xlws.FILTER(Margin[Strategy allotment % without hedge],(Margin[Strategy]='Thu (SNX)'!L$5)*(Margin[Index]='Thu (SNX)'!L$2)))</f>
        <v>0</v>
      </c>
      <c r="M4" s="39" cm="1">
        <f t="array" ref="M4">IF('Thu (SNX)'!M3="W.H",_xlfn._xlws.FILTER(Margin[Strategy allotment % with hedge],(Margin[Strategy]='Thu (SNX)'!M$5)*(Margin[Index]='Thu (SNX)'!M$2)),_xlfn._xlws.FILTER(Margin[Strategy allotment % without hedge],(Margin[Strategy]='Thu (SNX)'!M$5)*(Margin[Index]='Thu (SNX)'!M$2)))</f>
        <v>0</v>
      </c>
      <c r="N4" s="39" cm="1">
        <f t="array" ref="N4">IF('Thu (SNX)'!N3="W.H",_xlfn._xlws.FILTER(Margin[Strategy allotment % with hedge],(Margin[Strategy]='Thu (SNX)'!N$5)*(Margin[Index]='Thu (SNX)'!N$2)),_xlfn._xlws.FILTER(Margin[Strategy allotment % without hedge],(Margin[Strategy]='Thu (SNX)'!N$5)*(Margin[Index]='Thu (SNX)'!N$2)))</f>
        <v>0.05</v>
      </c>
      <c r="O4" s="39" cm="1">
        <f t="array" ref="O4">IF('Thu (SNX)'!O3="W.H",_xlfn._xlws.FILTER(Margin[Strategy allotment % with hedge],(Margin[Strategy]='Thu (SNX)'!O$5)*(Margin[Index]='Thu (SNX)'!O$2)),_xlfn._xlws.FILTER(Margin[Strategy allotment % without hedge],(Margin[Strategy]='Thu (SNX)'!O$5)*(Margin[Index]='Thu (SNX)'!O$2)))</f>
        <v>0.05</v>
      </c>
      <c r="P4" s="39" cm="1">
        <f t="array" ref="P4">IF('Thu (SNX)'!P3="W.H",_xlfn._xlws.FILTER(Margin[Strategy allotment % with hedge],(Margin[Strategy]='Thu (SNX)'!P$5)*(Margin[Index]='Thu (SNX)'!P$2)),_xlfn._xlws.FILTER(Margin[Strategy allotment % without hedge],(Margin[Strategy]='Thu (SNX)'!P$5)*(Margin[Index]='Thu (SNX)'!P$2)))</f>
        <v>0.05</v>
      </c>
    </row>
    <row r="5" spans="1:22" x14ac:dyDescent="0.25">
      <c r="B5" s="16" t="s">
        <v>50</v>
      </c>
      <c r="C5" s="16" t="s">
        <v>51</v>
      </c>
      <c r="D5" s="16" t="s">
        <v>52</v>
      </c>
      <c r="E5" s="16" t="s">
        <v>67</v>
      </c>
      <c r="F5" s="16" t="s">
        <v>66</v>
      </c>
      <c r="G5" s="16" t="s">
        <v>69</v>
      </c>
      <c r="H5" s="16" t="s">
        <v>69</v>
      </c>
      <c r="I5" s="16" t="s">
        <v>69</v>
      </c>
      <c r="J5" s="16" t="s">
        <v>202</v>
      </c>
      <c r="K5" s="16" t="s">
        <v>1</v>
      </c>
      <c r="L5" s="16" t="s">
        <v>2</v>
      </c>
      <c r="M5" s="16" t="s">
        <v>3</v>
      </c>
      <c r="N5" s="16" t="s">
        <v>4</v>
      </c>
      <c r="O5" s="16" t="s">
        <v>5</v>
      </c>
      <c r="P5" s="16" t="s">
        <v>6</v>
      </c>
    </row>
    <row r="6" spans="1:22" x14ac:dyDescent="0.25">
      <c r="A6">
        <f>IF(B6="",0,1)</f>
        <v>1</v>
      </c>
      <c r="B6" s="14" t="s">
        <v>20</v>
      </c>
      <c r="C6" s="14" cm="1">
        <f t="array" ref="C6">(_xlfn._xlws.FILTER(Fund[Margin],Fund[Client Id]=B6))/10000000</f>
        <v>7.5</v>
      </c>
      <c r="D6" s="14"/>
      <c r="E6" s="14" t="str" cm="1">
        <f t="array" ref="E6">IFERROR(IF(ROUNDUP((Client_Margin($B6)*Alloted(E$3,E$2,E$5)/Get_Margin(E$3,E$2,E$5,E$1)),0)*Get_Margin(E$3,E$2,E$5,E$1)&gt;((Client_Margin($B6)*Alloted(E$3,E$2,E$5)/Get_Margin(E$3,E$2,E$5,E$1))*Get_Margin(E$3,E$2,E$5,E$1))*$C$3,ROUNDDOWN((Client_Margin($B6)*Alloted(E$3,E$2,E$5)/Get_Margin(E$3,E$2,E$5,E$1)),0),ROUNDUP((Client_Margin($B6)*Alloted(E$3,E$2,E$5)/Get_Margin(E$3,E$2,E$5,E$1)),0)),"-")</f>
        <v>-</v>
      </c>
      <c r="F6" s="14" t="str" cm="1">
        <f t="array" ref="F6">IFERROR(IF(ROUNDUP((Client_Margin($B6)*Alloted(F$3,F$2,F$5)/Get_Margin(F$3,F$2,F$5,F$1)),0)*Get_Margin(F$3,F$2,F$5,F$1)&gt;((Client_Margin($B6)*Alloted(F$3,F$2,F$5)/Get_Margin(F$3,F$2,F$5,F$1))*Get_Margin(F$3,F$2,F$5,F$1))*$C$3,ROUNDDOWN((Client_Margin($B6)*Alloted(F$3,F$2,F$5)/Get_Margin(F$3,F$2,F$5,F$1)),0),ROUNDUP((Client_Margin($B6)*Alloted(F$3,F$2,F$5)/Get_Margin(F$3,F$2,F$5,F$1)),0)),"-")</f>
        <v>-</v>
      </c>
      <c r="G6" s="14" cm="1">
        <f t="array" ref="G6">IFERROR(IF(ROUNDUP((Client_Margin($B6)*Alloted(G$3,G$2,G$5)/Get_Margin(G$3,G$2,G$5,G$1)),0)*Get_Margin(G$3,G$2,G$5,G$1)&gt;((Client_Margin($B6)*Alloted(G$3,G$2,G$5)/Get_Margin(G$3,G$2,G$5,G$1))*Get_Margin(G$3,G$2,G$5,G$1))*$C$3,ROUNDDOWN((Client_Margin($B6)*Alloted(G$3,G$2,G$5)/Get_Margin(G$3,G$2,G$5,G$1)),0),ROUNDUP((Client_Margin($B6)*Alloted(G$3,G$2,G$5)/Get_Margin(G$3,G$2,G$5,G$1)),0)),"-")</f>
        <v>11</v>
      </c>
      <c r="H6" s="14" cm="1">
        <f t="array" ref="H6">IFERROR(IF(ROUNDUP((Client_Margin($B6)*Alloted(H$3,H$2,H$5)/Get_Margin(H$3,H$2,H$5,H$1)),0)*Get_Margin(H$3,H$2,H$5,H$1)&gt;((Client_Margin($B6)*Alloted(H$3,H$2,H$5)/Get_Margin(H$3,H$2,H$5,H$1))*Get_Margin(H$3,H$2,H$5,H$1))*$C$3,ROUNDDOWN((Client_Margin($B6)*Alloted(H$3,H$2,H$5)/Get_Margin(H$3,H$2,H$5,H$1)),0),ROUNDUP((Client_Margin($B6)*Alloted(H$3,H$2,H$5)/Get_Margin(H$3,H$2,H$5,H$1)),0)),"-")</f>
        <v>4</v>
      </c>
      <c r="I6" s="14" cm="1">
        <f t="array" ref="I6">IFERROR(IF(ROUNDUP((Client_Margin($B6)*Alloted(I$3,I$2,I$5)/Get_Margin(I$3,I$2,I$5,I$1)),0)*Get_Margin(I$3,I$2,I$5,I$1)&gt;((Client_Margin($B6)*Alloted(I$3,I$2,I$5)/Get_Margin(I$3,I$2,I$5,I$1))*Get_Margin(I$3,I$2,I$5,I$1))*$C$3,ROUNDDOWN((Client_Margin($B6)*Alloted(I$3,I$2,I$5)/Get_Margin(I$3,I$2,I$5,I$1)),0),ROUNDUP((Client_Margin($B6)*Alloted(I$3,I$2,I$5)/Get_Margin(I$3,I$2,I$5,I$1)),0)),"-")</f>
        <v>5</v>
      </c>
      <c r="J6" s="14" cm="1">
        <f t="array" ref="J6">IFERROR(IF(ROUNDUP((Client_Margin($B6)*Alloted(J$3,J$2,J$5)/Get_Margin(J$3,J$2,J$5,J$1)),0)*Get_Margin(J$3,J$2,J$5,J$1)&gt;((Client_Margin($B6)*Alloted(J$3,J$2,J$5)/Get_Margin(J$3,J$2,J$5,J$1))*Get_Margin(J$3,J$2,J$5,J$1))*$C$3,ROUNDDOWN((Client_Margin($B6)*Alloted(J$3,J$2,J$5)/Get_Margin(J$3,J$2,J$5,J$1)),0),ROUNDUP((Client_Margin($B6)*Alloted(J$3,J$2,J$5)/Get_Margin(J$3,J$2,J$5,J$1)),0)),"-")</f>
        <v>14</v>
      </c>
      <c r="K6" s="14" cm="1">
        <f t="array" ref="K6">IFERROR(IF(ROUNDUP((Client_Margin($B6)*Alloted(K$3,K$2,K$5)/Get_Margin(K$3,K$2,K$5,K$1)),0)*Get_Margin(K$3,K$2,K$5,K$1)&gt;((Client_Margin($B6)*Alloted(K$3,K$2,K$5)/Get_Margin(K$3,K$2,K$5,K$1))*Get_Margin(K$3,K$2,K$5,K$1))*$C$3,ROUNDDOWN((Client_Margin($B6)*Alloted(K$3,K$2,K$5)/Get_Margin(K$3,K$2,K$5,K$1)),0),ROUNDUP((Client_Margin($B6)*Alloted(K$3,K$2,K$5)/Get_Margin(K$3,K$2,K$5,K$1)),0)),"-")</f>
        <v>55</v>
      </c>
      <c r="L6" s="14" cm="1">
        <f t="array" ref="L6">IFERROR(IF(ROUNDUP((Client_Margin($B6)*Alloted(L$3,L$2,L$5)/Get_Margin(L$3,L$2,L$5,L$1)),0)*Get_Margin(L$3,L$2,L$5,L$1)&gt;((Client_Margin($B6)*Alloted(L$3,L$2,L$5)/Get_Margin(L$3,L$2,L$5,L$1))*Get_Margin(L$3,L$2,L$5,L$1))*$C$3,ROUNDDOWN((Client_Margin($B6)*Alloted(L$3,L$2,L$5)/Get_Margin(L$3,L$2,L$5,L$1)),0),ROUNDUP((Client_Margin($B6)*Alloted(L$3,L$2,L$5)/Get_Margin(L$3,L$2,L$5,L$1)),0)),"-")</f>
        <v>0</v>
      </c>
      <c r="M6" s="14" cm="1">
        <f t="array" ref="M6">IFERROR(IF(ROUNDUP((Client_Margin($B6)*Alloted(M$3,M$2,M$5)/Get_Margin(M$3,M$2,M$5,M$1)),0)*Get_Margin(M$3,M$2,M$5,M$1)&gt;((Client_Margin($B6)*Alloted(M$3,M$2,M$5)/Get_Margin(M$3,M$2,M$5,M$1))*Get_Margin(M$3,M$2,M$5,M$1))*$C$3,ROUNDDOWN((Client_Margin($B6)*Alloted(M$3,M$2,M$5)/Get_Margin(M$3,M$2,M$5,M$1)),0),ROUNDUP((Client_Margin($B6)*Alloted(M$3,M$2,M$5)/Get_Margin(M$3,M$2,M$5,M$1)),0)),"-")</f>
        <v>0</v>
      </c>
      <c r="N6" s="14" cm="1">
        <f t="array" ref="N6">IFERROR(IF(ROUNDUP((Client_Margin($B6)*Alloted(N$3,N$2,N$5)/Get_Margin(N$3,N$2,N$5,N$1)),0)*Get_Margin(N$3,N$2,N$5,N$1)&gt;((Client_Margin($B6)*Alloted(N$3,N$2,N$5)/Get_Margin(N$3,N$2,N$5,N$1))*Get_Margin(N$3,N$2,N$5,N$1))*$C$3,ROUNDDOWN((Client_Margin($B6)*Alloted(N$3,N$2,N$5)/Get_Margin(N$3,N$2,N$5,N$1)),0),ROUNDUP((Client_Margin($B6)*Alloted(N$3,N$2,N$5)/Get_Margin(N$3,N$2,N$5,N$1)),0)),"-")</f>
        <v>11</v>
      </c>
      <c r="O6" s="14" cm="1">
        <f t="array" ref="O6">IFERROR(IF(ROUNDUP((Client_Margin($B6)*Alloted(O$3,O$2,O$5)/Get_Margin(O$3,O$2,O$5,O$1)),0)*Get_Margin(O$3,O$2,O$5,O$1)&gt;((Client_Margin($B6)*Alloted(O$3,O$2,O$5)/Get_Margin(O$3,O$2,O$5,O$1))*Get_Margin(O$3,O$2,O$5,O$1))*$C$3,ROUNDDOWN((Client_Margin($B6)*Alloted(O$3,O$2,O$5)/Get_Margin(O$3,O$2,O$5,O$1)),0),ROUNDUP((Client_Margin($B6)*Alloted(O$3,O$2,O$5)/Get_Margin(O$3,O$2,O$5,O$1)),0)),"-")</f>
        <v>12</v>
      </c>
      <c r="P6" s="14" cm="1">
        <f t="array" ref="P6">IFERROR(IF(ROUNDUP((Client_Margin($B6)*Alloted(P$3,P$2,P$5)/Get_Margin(P$3,P$2,P$5,P$1)),0)*Get_Margin(P$3,P$2,P$5,P$1)&gt;((Client_Margin($B6)*Alloted(P$3,P$2,P$5)/Get_Margin(P$3,P$2,P$5,P$1))*Get_Margin(P$3,P$2,P$5,P$1))*$C$3,ROUNDDOWN((Client_Margin($B6)*Alloted(P$3,P$2,P$5)/Get_Margin(P$3,P$2,P$5,P$1)),0),ROUNDUP((Client_Margin($B6)*Alloted(P$3,P$2,P$5)/Get_Margin(P$3,P$2,P$5,P$1)),0)),"-")</f>
        <v>12</v>
      </c>
    </row>
    <row r="7" spans="1:22" hidden="1" x14ac:dyDescent="0.25">
      <c r="A7">
        <f t="shared" ref="A7:A11" si="0">IF(B7="",0,1)</f>
        <v>0</v>
      </c>
      <c r="B7" s="14"/>
      <c r="C7" s="14"/>
      <c r="D7" s="15">
        <f>SUM(E7:P7)</f>
        <v>0.97932000000000008</v>
      </c>
      <c r="E7" s="15" t="str" cm="1">
        <f t="array" ref="E7">IFERROR((_xlfn._xlws.FILTER(INDEX(Margin[],0,MATCH(E$1&amp;"_"&amp;E$3,Margin[#Headers],0)),(Margin[Index]=E$2)*(Margin[Strategy]=E$5))*E6)/Client_Margin($B6),"-")</f>
        <v>-</v>
      </c>
      <c r="F7" s="15" t="str" cm="1">
        <f t="array" ref="F7">IFERROR((_xlfn._xlws.FILTER(INDEX(Margin[],0,MATCH(F$1&amp;"_"&amp;F$3,Margin[#Headers],0)),(Margin[Index]=F$2)*(Margin[Strategy]=F$5))*F6)/Client_Margin($B6),"-")</f>
        <v>-</v>
      </c>
      <c r="G7" s="15" cm="1">
        <f t="array" ref="G7">IFERROR((_xlfn._xlws.FILTER(INDEX(Margin[],0,MATCH(G$1&amp;"_"&amp;G$3,Margin[#Headers],0)),(Margin[Index]=G$2)*(Margin[Strategy]=G$5))*G6)/Client_Margin($B6),"-")</f>
        <v>0.10208</v>
      </c>
      <c r="H7" s="15" cm="1">
        <f t="array" ref="H7">IFERROR((_xlfn._xlws.FILTER(INDEX(Margin[],0,MATCH(H$1&amp;"_"&amp;H$3,Margin[#Headers],0)),(Margin[Index]=H$2)*(Margin[Strategy]=H$5))*H6)/Client_Margin($B6),"-")</f>
        <v>9.9839999999999998E-2</v>
      </c>
      <c r="I7" s="15" cm="1">
        <f t="array" ref="I7">IFERROR((_xlfn._xlws.FILTER(INDEX(Margin[],0,MATCH(I$1&amp;"_"&amp;I$3,Margin[#Headers],0)),(Margin[Index]=I$2)*(Margin[Strategy]=I$5))*I6)/Client_Margin($B6),"-")</f>
        <v>0.10666666666666667</v>
      </c>
      <c r="J7" s="15" cm="1">
        <f t="array" ref="J7">IFERROR((_xlfn._xlws.FILTER(INDEX(Margin[],0,MATCH(J$1&amp;"_"&amp;J$3,Margin[#Headers],0)),(Margin[Index]=J$2)*(Margin[Strategy]=J$5))*J6)/Client_Margin($B6),"-")</f>
        <v>0.1036</v>
      </c>
      <c r="K7" s="15" cm="1">
        <f t="array" ref="K7">IFERROR((_xlfn._xlws.FILTER(INDEX(Margin[],0,MATCH(K$1&amp;"_"&amp;K$3,Margin[#Headers],0)),(Margin[Index]=K$2)*(Margin[Strategy]=K$5))*K6)/Client_Margin($B6),"-")</f>
        <v>0.40699999999999997</v>
      </c>
      <c r="L7" s="15" cm="1">
        <f t="array" ref="L7">IFERROR((_xlfn._xlws.FILTER(INDEX(Margin[],0,MATCH(L$1&amp;"_"&amp;L$3,Margin[#Headers],0)),(Margin[Index]=L$2)*(Margin[Strategy]=L$5))*L6)/Client_Margin($B6),"-")</f>
        <v>0</v>
      </c>
      <c r="M7" s="15" cm="1">
        <f t="array" ref="M7">IFERROR((_xlfn._xlws.FILTER(INDEX(Margin[],0,MATCH(M$1&amp;"_"&amp;M$3,Margin[#Headers],0)),(Margin[Index]=M$2)*(Margin[Strategy]=M$5))*M6)/Client_Margin($B6),"-")</f>
        <v>0</v>
      </c>
      <c r="N7" s="15" cm="1">
        <f t="array" ref="N7">IFERROR((_xlfn._xlws.FILTER(INDEX(Margin[],0,MATCH(N$1&amp;"_"&amp;N$3,Margin[#Headers],0)),(Margin[Index]=N$2)*(Margin[Strategy]=N$5))*N6)/Client_Margin($B6),"-")</f>
        <v>5.1333333333333335E-2</v>
      </c>
      <c r="O7" s="15" cm="1">
        <f t="array" ref="O7">IFERROR((_xlfn._xlws.FILTER(INDEX(Margin[],0,MATCH(O$1&amp;"_"&amp;O$3,Margin[#Headers],0)),(Margin[Index]=O$2)*(Margin[Strategy]=O$5))*O6)/Client_Margin($B6),"-")</f>
        <v>5.4399999999999997E-2</v>
      </c>
      <c r="P7" s="15" cm="1">
        <f t="array" ref="P7">IFERROR((_xlfn._xlws.FILTER(INDEX(Margin[],0,MATCH(P$1&amp;"_"&amp;P$3,Margin[#Headers],0)),(Margin[Index]=P$2)*(Margin[Strategy]=P$5))*P6)/Client_Margin($B6),"-")</f>
        <v>5.4399999999999997E-2</v>
      </c>
    </row>
    <row r="8" spans="1:22" x14ac:dyDescent="0.25">
      <c r="A8">
        <f t="shared" si="0"/>
        <v>1</v>
      </c>
      <c r="B8" s="14" t="s">
        <v>46</v>
      </c>
      <c r="C8" s="14" cm="1">
        <f t="array" ref="C8">(_xlfn._xlws.FILTER(Fund[Margin],Fund[Client Id]=B8))/10000000</f>
        <v>6.8</v>
      </c>
      <c r="D8" s="17"/>
      <c r="E8" s="14" t="str" cm="1">
        <f t="array" ref="E8">IFERROR(IF(ROUNDUP((Client_Margin($B8)*Alloted(E$3,E$2,E$5)/Get_Margin(E$3,E$2,E$5,E$1)),0)*Get_Margin(E$3,E$2,E$5,E$1)&gt;((Client_Margin($B8)*Alloted(E$3,E$2,E$5)/Get_Margin(E$3,E$2,E$5,E$1))*Get_Margin(E$3,E$2,E$5,E$1))*$C$3,ROUNDDOWN((Client_Margin($B8)*Alloted(E$3,E$2,E$5)/Get_Margin(E$3,E$2,E$5,E$1)),0),ROUNDUP((Client_Margin($B8)*Alloted(E$3,E$2,E$5)/Get_Margin(E$3,E$2,E$5,E$1)),0)),"-")</f>
        <v>-</v>
      </c>
      <c r="F8" s="14" t="str" cm="1">
        <f t="array" ref="F8">IFERROR(IF(ROUNDUP((Client_Margin($B8)*Alloted(F$3,F$2,F$5)/Get_Margin(F$3,F$2,F$5,F$1)),0)*Get_Margin(F$3,F$2,F$5,F$1)&gt;((Client_Margin($B8)*Alloted(F$3,F$2,F$5)/Get_Margin(F$3,F$2,F$5,F$1))*Get_Margin(F$3,F$2,F$5,F$1))*$C$3,ROUNDDOWN((Client_Margin($B8)*Alloted(F$3,F$2,F$5)/Get_Margin(F$3,F$2,F$5,F$1)),0),ROUNDUP((Client_Margin($B8)*Alloted(F$3,F$2,F$5)/Get_Margin(F$3,F$2,F$5,F$1)),0)),"-")</f>
        <v>-</v>
      </c>
      <c r="G8" s="14" cm="1">
        <f t="array" ref="G8">IFERROR(IF(ROUNDUP((Client_Margin($B8)*Alloted(G$3,G$2,G$5)/Get_Margin(G$3,G$2,G$5,G$1)),0)*Get_Margin(G$3,G$2,G$5,G$1)&gt;((Client_Margin($B8)*Alloted(G$3,G$2,G$5)/Get_Margin(G$3,G$2,G$5,G$1))*Get_Margin(G$3,G$2,G$5,G$1))*$C$3,ROUNDDOWN((Client_Margin($B8)*Alloted(G$3,G$2,G$5)/Get_Margin(G$3,G$2,G$5,G$1)),0),ROUNDUP((Client_Margin($B8)*Alloted(G$3,G$2,G$5)/Get_Margin(G$3,G$2,G$5,G$1)),0)),"-")</f>
        <v>10</v>
      </c>
      <c r="H8" s="14" cm="1">
        <f t="array" ref="H8">IFERROR(IF(ROUNDUP((Client_Margin($B8)*Alloted(H$3,H$2,H$5)/Get_Margin(H$3,H$2,H$5,H$1)),0)*Get_Margin(H$3,H$2,H$5,H$1)&gt;((Client_Margin($B8)*Alloted(H$3,H$2,H$5)/Get_Margin(H$3,H$2,H$5,H$1))*Get_Margin(H$3,H$2,H$5,H$1))*$C$3,ROUNDDOWN((Client_Margin($B8)*Alloted(H$3,H$2,H$5)/Get_Margin(H$3,H$2,H$5,H$1)),0),ROUNDUP((Client_Margin($B8)*Alloted(H$3,H$2,H$5)/Get_Margin(H$3,H$2,H$5,H$1)),0)),"-")</f>
        <v>4</v>
      </c>
      <c r="I8" s="14" cm="1">
        <f t="array" ref="I8">IFERROR(IF(ROUNDUP((Client_Margin($B8)*Alloted(I$3,I$2,I$5)/Get_Margin(I$3,I$2,I$5,I$1)),0)*Get_Margin(I$3,I$2,I$5,I$1)&gt;((Client_Margin($B8)*Alloted(I$3,I$2,I$5)/Get_Margin(I$3,I$2,I$5,I$1))*Get_Margin(I$3,I$2,I$5,I$1))*$C$3,ROUNDDOWN((Client_Margin($B8)*Alloted(I$3,I$2,I$5)/Get_Margin(I$3,I$2,I$5,I$1)),0),ROUNDUP((Client_Margin($B8)*Alloted(I$3,I$2,I$5)/Get_Margin(I$3,I$2,I$5,I$1)),0)),"-")</f>
        <v>4</v>
      </c>
      <c r="J8" s="14" cm="1">
        <f t="array" ref="J8">IFERROR(IF(ROUNDUP((Client_Margin($B8)*Alloted(J$3,J$2,J$5)/Get_Margin(J$3,J$2,J$5,J$1)),0)*Get_Margin(J$3,J$2,J$5,J$1)&gt;((Client_Margin($B8)*Alloted(J$3,J$2,J$5)/Get_Margin(J$3,J$2,J$5,J$1))*Get_Margin(J$3,J$2,J$5,J$1))*$C$3,ROUNDDOWN((Client_Margin($B8)*Alloted(J$3,J$2,J$5)/Get_Margin(J$3,J$2,J$5,J$1)),0),ROUNDUP((Client_Margin($B8)*Alloted(J$3,J$2,J$5)/Get_Margin(J$3,J$2,J$5,J$1)),0)),"-")</f>
        <v>13</v>
      </c>
      <c r="K8" s="14" cm="1">
        <f t="array" ref="K8">IFERROR(IF(ROUNDUP((Client_Margin($B8)*Alloted(K$3,K$2,K$5)/Get_Margin(K$3,K$2,K$5,K$1)),0)*Get_Margin(K$3,K$2,K$5,K$1)&gt;((Client_Margin($B8)*Alloted(K$3,K$2,K$5)/Get_Margin(K$3,K$2,K$5,K$1))*Get_Margin(K$3,K$2,K$5,K$1))*$C$3,ROUNDDOWN((Client_Margin($B8)*Alloted(K$3,K$2,K$5)/Get_Margin(K$3,K$2,K$5,K$1)),0),ROUNDUP((Client_Margin($B8)*Alloted(K$3,K$2,K$5)/Get_Margin(K$3,K$2,K$5,K$1)),0)),"-")</f>
        <v>50</v>
      </c>
      <c r="L8" s="14" cm="1">
        <f t="array" ref="L8">IFERROR(IF(ROUNDUP((Client_Margin($B8)*Alloted(L$3,L$2,L$5)/Get_Margin(L$3,L$2,L$5,L$1)),0)*Get_Margin(L$3,L$2,L$5,L$1)&gt;((Client_Margin($B8)*Alloted(L$3,L$2,L$5)/Get_Margin(L$3,L$2,L$5,L$1))*Get_Margin(L$3,L$2,L$5,L$1))*$C$3,ROUNDDOWN((Client_Margin($B8)*Alloted(L$3,L$2,L$5)/Get_Margin(L$3,L$2,L$5,L$1)),0),ROUNDUP((Client_Margin($B8)*Alloted(L$3,L$2,L$5)/Get_Margin(L$3,L$2,L$5,L$1)),0)),"-")</f>
        <v>0</v>
      </c>
      <c r="M8" s="14" cm="1">
        <f t="array" ref="M8">IFERROR(IF(ROUNDUP((Client_Margin($B8)*Alloted(M$3,M$2,M$5)/Get_Margin(M$3,M$2,M$5,M$1)),0)*Get_Margin(M$3,M$2,M$5,M$1)&gt;((Client_Margin($B8)*Alloted(M$3,M$2,M$5)/Get_Margin(M$3,M$2,M$5,M$1))*Get_Margin(M$3,M$2,M$5,M$1))*$C$3,ROUNDDOWN((Client_Margin($B8)*Alloted(M$3,M$2,M$5)/Get_Margin(M$3,M$2,M$5,M$1)),0),ROUNDUP((Client_Margin($B8)*Alloted(M$3,M$2,M$5)/Get_Margin(M$3,M$2,M$5,M$1)),0)),"-")</f>
        <v>0</v>
      </c>
      <c r="N8" s="14" cm="1">
        <f t="array" ref="N8">IFERROR(IF(ROUNDUP((Client_Margin($B8)*Alloted(N$3,N$2,N$5)/Get_Margin(N$3,N$2,N$5,N$1)),0)*Get_Margin(N$3,N$2,N$5,N$1)&gt;((Client_Margin($B8)*Alloted(N$3,N$2,N$5)/Get_Margin(N$3,N$2,N$5,N$1))*Get_Margin(N$3,N$2,N$5,N$1))*$C$3,ROUNDDOWN((Client_Margin($B8)*Alloted(N$3,N$2,N$5)/Get_Margin(N$3,N$2,N$5,N$1)),0),ROUNDUP((Client_Margin($B8)*Alloted(N$3,N$2,N$5)/Get_Margin(N$3,N$2,N$5,N$1)),0)),"-")</f>
        <v>10</v>
      </c>
      <c r="O8" s="14" cm="1">
        <f t="array" ref="O8">IFERROR(IF(ROUNDUP((Client_Margin($B8)*Alloted(O$3,O$2,O$5)/Get_Margin(O$3,O$2,O$5,O$1)),0)*Get_Margin(O$3,O$2,O$5,O$1)&gt;((Client_Margin($B8)*Alloted(O$3,O$2,O$5)/Get_Margin(O$3,O$2,O$5,O$1))*Get_Margin(O$3,O$2,O$5,O$1))*$C$3,ROUNDDOWN((Client_Margin($B8)*Alloted(O$3,O$2,O$5)/Get_Margin(O$3,O$2,O$5,O$1)),0),ROUNDUP((Client_Margin($B8)*Alloted(O$3,O$2,O$5)/Get_Margin(O$3,O$2,O$5,O$1)),0)),"-")</f>
        <v>10</v>
      </c>
      <c r="P8" s="14" cm="1">
        <f t="array" ref="P8">IFERROR(IF(ROUNDUP((Client_Margin($B8)*Alloted(P$3,P$2,P$5)/Get_Margin(P$3,P$2,P$5,P$1)),0)*Get_Margin(P$3,P$2,P$5,P$1)&gt;((Client_Margin($B8)*Alloted(P$3,P$2,P$5)/Get_Margin(P$3,P$2,P$5,P$1))*Get_Margin(P$3,P$2,P$5,P$1))*$C$3,ROUNDDOWN((Client_Margin($B8)*Alloted(P$3,P$2,P$5)/Get_Margin(P$3,P$2,P$5,P$1)),0),ROUNDUP((Client_Margin($B8)*Alloted(P$3,P$2,P$5)/Get_Margin(P$3,P$2,P$5,P$1)),0)),"-")</f>
        <v>10</v>
      </c>
    </row>
    <row r="9" spans="1:22" hidden="1" x14ac:dyDescent="0.25">
      <c r="A9">
        <f t="shared" si="0"/>
        <v>0</v>
      </c>
      <c r="B9" s="14"/>
      <c r="C9" s="14"/>
      <c r="D9" s="15">
        <f>SUM(E9:P9)</f>
        <v>0.97225000000000017</v>
      </c>
      <c r="E9" s="15" t="str" cm="1">
        <f t="array" ref="E9">IFERROR((_xlfn._xlws.FILTER(INDEX(Margin[],0,MATCH(E$1&amp;"_"&amp;E$3,Margin[#Headers],0)),(Margin[Index]=E$2)*(Margin[Strategy]=E$5))*E8)/Client_Margin($B8),"-")</f>
        <v>-</v>
      </c>
      <c r="F9" s="15" t="str" cm="1">
        <f t="array" ref="F9">IFERROR((_xlfn._xlws.FILTER(INDEX(Margin[],0,MATCH(F$1&amp;"_"&amp;F$3,Margin[#Headers],0)),(Margin[Index]=F$2)*(Margin[Strategy]=F$5))*F8)/Client_Margin($B8),"-")</f>
        <v>-</v>
      </c>
      <c r="G9" s="15" cm="1">
        <f t="array" ref="G9">IFERROR((_xlfn._xlws.FILTER(INDEX(Margin[],0,MATCH(G$1&amp;"_"&amp;G$3,Margin[#Headers],0)),(Margin[Index]=G$2)*(Margin[Strategy]=G$5))*G8)/Client_Margin($B8),"-")</f>
        <v>0.10235294117647059</v>
      </c>
      <c r="H9" s="15" cm="1">
        <f t="array" ref="H9">IFERROR((_xlfn._xlws.FILTER(INDEX(Margin[],0,MATCH(H$1&amp;"_"&amp;H$3,Margin[#Headers],0)),(Margin[Index]=H$2)*(Margin[Strategy]=H$5))*H8)/Client_Margin($B8),"-")</f>
        <v>0.11011764705882353</v>
      </c>
      <c r="I9" s="15" cm="1">
        <f t="array" ref="I9">IFERROR((_xlfn._xlws.FILTER(INDEX(Margin[],0,MATCH(I$1&amp;"_"&amp;I$3,Margin[#Headers],0)),(Margin[Index]=I$2)*(Margin[Strategy]=I$5))*I8)/Client_Margin($B8),"-")</f>
        <v>9.4117647058823528E-2</v>
      </c>
      <c r="J9" s="15" cm="1">
        <f t="array" ref="J9">IFERROR((_xlfn._xlws.FILTER(INDEX(Margin[],0,MATCH(J$1&amp;"_"&amp;J$3,Margin[#Headers],0)),(Margin[Index]=J$2)*(Margin[Strategy]=J$5))*J8)/Client_Margin($B8),"-")</f>
        <v>0.10610294117647059</v>
      </c>
      <c r="K9" s="15" cm="1">
        <f t="array" ref="K9">IFERROR((_xlfn._xlws.FILTER(INDEX(Margin[],0,MATCH(K$1&amp;"_"&amp;K$3,Margin[#Headers],0)),(Margin[Index]=K$2)*(Margin[Strategy]=K$5))*K8)/Client_Margin($B8),"-")</f>
        <v>0.40808823529411764</v>
      </c>
      <c r="L9" s="15" cm="1">
        <f t="array" ref="L9">IFERROR((_xlfn._xlws.FILTER(INDEX(Margin[],0,MATCH(L$1&amp;"_"&amp;L$3,Margin[#Headers],0)),(Margin[Index]=L$2)*(Margin[Strategy]=L$5))*L8)/Client_Margin($B8),"-")</f>
        <v>0</v>
      </c>
      <c r="M9" s="15" cm="1">
        <f t="array" ref="M9">IFERROR((_xlfn._xlws.FILTER(INDEX(Margin[],0,MATCH(M$1&amp;"_"&amp;M$3,Margin[#Headers],0)),(Margin[Index]=M$2)*(Margin[Strategy]=M$5))*M8)/Client_Margin($B8),"-")</f>
        <v>0</v>
      </c>
      <c r="N9" s="15" cm="1">
        <f t="array" ref="N9">IFERROR((_xlfn._xlws.FILTER(INDEX(Margin[],0,MATCH(N$1&amp;"_"&amp;N$3,Margin[#Headers],0)),(Margin[Index]=N$2)*(Margin[Strategy]=N$5))*N8)/Client_Margin($B8),"-")</f>
        <v>5.1470588235294115E-2</v>
      </c>
      <c r="O9" s="15" cm="1">
        <f t="array" ref="O9">IFERROR((_xlfn._xlws.FILTER(INDEX(Margin[],0,MATCH(O$1&amp;"_"&amp;O$3,Margin[#Headers],0)),(Margin[Index]=O$2)*(Margin[Strategy]=O$5))*O8)/Client_Margin($B8),"-")</f>
        <v>0.05</v>
      </c>
      <c r="P9" s="15" cm="1">
        <f t="array" ref="P9">IFERROR((_xlfn._xlws.FILTER(INDEX(Margin[],0,MATCH(P$1&amp;"_"&amp;P$3,Margin[#Headers],0)),(Margin[Index]=P$2)*(Margin[Strategy]=P$5))*P8)/Client_Margin($B8),"-")</f>
        <v>0.05</v>
      </c>
    </row>
    <row r="10" spans="1:22" x14ac:dyDescent="0.25">
      <c r="A10">
        <f t="shared" si="0"/>
        <v>1</v>
      </c>
      <c r="B10" s="14" t="s">
        <v>30</v>
      </c>
      <c r="C10" s="14" cm="1">
        <f t="array" ref="C10">(_xlfn._xlws.FILTER(Fund[Margin],Fund[Client Id]=B10))/10000000</f>
        <v>6</v>
      </c>
      <c r="D10" s="17"/>
      <c r="E10" s="14" t="str" cm="1">
        <f t="array" ref="E10">IFERROR(IF(ROUNDUP((Client_Margin($B10)*Alloted(E$3,E$2,E$5)/Get_Margin(E$3,E$2,E$5,E$1)),0)*Get_Margin(E$3,E$2,E$5,E$1)&gt;((Client_Margin($B10)*Alloted(E$3,E$2,E$5)/Get_Margin(E$3,E$2,E$5,E$1))*Get_Margin(E$3,E$2,E$5,E$1))*$C$3,ROUNDDOWN((Client_Margin($B10)*Alloted(E$3,E$2,E$5)/Get_Margin(E$3,E$2,E$5,E$1)),0),ROUNDUP((Client_Margin($B10)*Alloted(E$3,E$2,E$5)/Get_Margin(E$3,E$2,E$5,E$1)),0)),"-")</f>
        <v>-</v>
      </c>
      <c r="F10" s="14" t="str" cm="1">
        <f t="array" ref="F10">IFERROR(IF(ROUNDUP((Client_Margin($B10)*Alloted(F$3,F$2,F$5)/Get_Margin(F$3,F$2,F$5,F$1)),0)*Get_Margin(F$3,F$2,F$5,F$1)&gt;((Client_Margin($B10)*Alloted(F$3,F$2,F$5)/Get_Margin(F$3,F$2,F$5,F$1))*Get_Margin(F$3,F$2,F$5,F$1))*$C$3,ROUNDDOWN((Client_Margin($B10)*Alloted(F$3,F$2,F$5)/Get_Margin(F$3,F$2,F$5,F$1)),0),ROUNDUP((Client_Margin($B10)*Alloted(F$3,F$2,F$5)/Get_Margin(F$3,F$2,F$5,F$1)),0)),"-")</f>
        <v>-</v>
      </c>
      <c r="G10" s="14" cm="1">
        <f t="array" ref="G10">IFERROR(IF(ROUNDUP((Client_Margin($B10)*Alloted(G$3,G$2,G$5)/Get_Margin(G$3,G$2,G$5,G$1)),0)*Get_Margin(G$3,G$2,G$5,G$1)&gt;((Client_Margin($B10)*Alloted(G$3,G$2,G$5)/Get_Margin(G$3,G$2,G$5,G$1))*Get_Margin(G$3,G$2,G$5,G$1))*$C$3,ROUNDDOWN((Client_Margin($B10)*Alloted(G$3,G$2,G$5)/Get_Margin(G$3,G$2,G$5,G$1)),0),ROUNDUP((Client_Margin($B10)*Alloted(G$3,G$2,G$5)/Get_Margin(G$3,G$2,G$5,G$1)),0)),"-")</f>
        <v>9</v>
      </c>
      <c r="H10" s="14" cm="1">
        <f t="array" ref="H10">IFERROR(IF(ROUNDUP((Client_Margin($B10)*Alloted(H$3,H$2,H$5)/Get_Margin(H$3,H$2,H$5,H$1)),0)*Get_Margin(H$3,H$2,H$5,H$1)&gt;((Client_Margin($B10)*Alloted(H$3,H$2,H$5)/Get_Margin(H$3,H$2,H$5,H$1))*Get_Margin(H$3,H$2,H$5,H$1))*$C$3,ROUNDDOWN((Client_Margin($B10)*Alloted(H$3,H$2,H$5)/Get_Margin(H$3,H$2,H$5,H$1)),0),ROUNDUP((Client_Margin($B10)*Alloted(H$3,H$2,H$5)/Get_Margin(H$3,H$2,H$5,H$1)),0)),"-")</f>
        <v>3</v>
      </c>
      <c r="I10" s="14" cm="1">
        <f t="array" ref="I10">IFERROR(IF(ROUNDUP((Client_Margin($B10)*Alloted(I$3,I$2,I$5)/Get_Margin(I$3,I$2,I$5,I$1)),0)*Get_Margin(I$3,I$2,I$5,I$1)&gt;((Client_Margin($B10)*Alloted(I$3,I$2,I$5)/Get_Margin(I$3,I$2,I$5,I$1))*Get_Margin(I$3,I$2,I$5,I$1))*$C$3,ROUNDDOWN((Client_Margin($B10)*Alloted(I$3,I$2,I$5)/Get_Margin(I$3,I$2,I$5,I$1)),0),ROUNDUP((Client_Margin($B10)*Alloted(I$3,I$2,I$5)/Get_Margin(I$3,I$2,I$5,I$1)),0)),"-")</f>
        <v>4</v>
      </c>
      <c r="J10" s="14" cm="1">
        <f t="array" ref="J10">IFERROR(IF(ROUNDUP((Client_Margin($B10)*Alloted(J$3,J$2,J$5)/Get_Margin(J$3,J$2,J$5,J$1)),0)*Get_Margin(J$3,J$2,J$5,J$1)&gt;((Client_Margin($B10)*Alloted(J$3,J$2,J$5)/Get_Margin(J$3,J$2,J$5,J$1))*Get_Margin(J$3,J$2,J$5,J$1))*$C$3,ROUNDDOWN((Client_Margin($B10)*Alloted(J$3,J$2,J$5)/Get_Margin(J$3,J$2,J$5,J$1)),0),ROUNDUP((Client_Margin($B10)*Alloted(J$3,J$2,J$5)/Get_Margin(J$3,J$2,J$5,J$1)),0)),"-")</f>
        <v>11</v>
      </c>
      <c r="K10" s="14" cm="1">
        <f t="array" ref="K10">IFERROR(IF(ROUNDUP((Client_Margin($B10)*Alloted(K$3,K$2,K$5)/Get_Margin(K$3,K$2,K$5,K$1)),0)*Get_Margin(K$3,K$2,K$5,K$1)&gt;((Client_Margin($B10)*Alloted(K$3,K$2,K$5)/Get_Margin(K$3,K$2,K$5,K$1))*Get_Margin(K$3,K$2,K$5,K$1))*$C$3,ROUNDDOWN((Client_Margin($B10)*Alloted(K$3,K$2,K$5)/Get_Margin(K$3,K$2,K$5,K$1)),0),ROUNDUP((Client_Margin($B10)*Alloted(K$3,K$2,K$5)/Get_Margin(K$3,K$2,K$5,K$1)),0)),"-")</f>
        <v>44</v>
      </c>
      <c r="L10" s="14" cm="1">
        <f t="array" ref="L10">IFERROR(IF(ROUNDUP((Client_Margin($B10)*Alloted(L$3,L$2,L$5)/Get_Margin(L$3,L$2,L$5,L$1)),0)*Get_Margin(L$3,L$2,L$5,L$1)&gt;((Client_Margin($B10)*Alloted(L$3,L$2,L$5)/Get_Margin(L$3,L$2,L$5,L$1))*Get_Margin(L$3,L$2,L$5,L$1))*$C$3,ROUNDDOWN((Client_Margin($B10)*Alloted(L$3,L$2,L$5)/Get_Margin(L$3,L$2,L$5,L$1)),0),ROUNDUP((Client_Margin($B10)*Alloted(L$3,L$2,L$5)/Get_Margin(L$3,L$2,L$5,L$1)),0)),"-")</f>
        <v>0</v>
      </c>
      <c r="M10" s="14" cm="1">
        <f t="array" ref="M10">IFERROR(IF(ROUNDUP((Client_Margin($B10)*Alloted(M$3,M$2,M$5)/Get_Margin(M$3,M$2,M$5,M$1)),0)*Get_Margin(M$3,M$2,M$5,M$1)&gt;((Client_Margin($B10)*Alloted(M$3,M$2,M$5)/Get_Margin(M$3,M$2,M$5,M$1))*Get_Margin(M$3,M$2,M$5,M$1))*$C$3,ROUNDDOWN((Client_Margin($B10)*Alloted(M$3,M$2,M$5)/Get_Margin(M$3,M$2,M$5,M$1)),0),ROUNDUP((Client_Margin($B10)*Alloted(M$3,M$2,M$5)/Get_Margin(M$3,M$2,M$5,M$1)),0)),"-")</f>
        <v>0</v>
      </c>
      <c r="N10" s="14" cm="1">
        <f t="array" ref="N10">IFERROR(IF(ROUNDUP((Client_Margin($B10)*Alloted(N$3,N$2,N$5)/Get_Margin(N$3,N$2,N$5,N$1)),0)*Get_Margin(N$3,N$2,N$5,N$1)&gt;((Client_Margin($B10)*Alloted(N$3,N$2,N$5)/Get_Margin(N$3,N$2,N$5,N$1))*Get_Margin(N$3,N$2,N$5,N$1))*$C$3,ROUNDDOWN((Client_Margin($B10)*Alloted(N$3,N$2,N$5)/Get_Margin(N$3,N$2,N$5,N$1)),0),ROUNDUP((Client_Margin($B10)*Alloted(N$3,N$2,N$5)/Get_Margin(N$3,N$2,N$5,N$1)),0)),"-")</f>
        <v>9</v>
      </c>
      <c r="O10" s="14" cm="1">
        <f t="array" ref="O10">IFERROR(IF(ROUNDUP((Client_Margin($B10)*Alloted(O$3,O$2,O$5)/Get_Margin(O$3,O$2,O$5,O$1)),0)*Get_Margin(O$3,O$2,O$5,O$1)&gt;((Client_Margin($B10)*Alloted(O$3,O$2,O$5)/Get_Margin(O$3,O$2,O$5,O$1))*Get_Margin(O$3,O$2,O$5,O$1))*$C$3,ROUNDDOWN((Client_Margin($B10)*Alloted(O$3,O$2,O$5)/Get_Margin(O$3,O$2,O$5,O$1)),0),ROUNDUP((Client_Margin($B10)*Alloted(O$3,O$2,O$5)/Get_Margin(O$3,O$2,O$5,O$1)),0)),"-")</f>
        <v>9</v>
      </c>
      <c r="P10" s="14" cm="1">
        <f t="array" ref="P10">IFERROR(IF(ROUNDUP((Client_Margin($B10)*Alloted(P$3,P$2,P$5)/Get_Margin(P$3,P$2,P$5,P$1)),0)*Get_Margin(P$3,P$2,P$5,P$1)&gt;((Client_Margin($B10)*Alloted(P$3,P$2,P$5)/Get_Margin(P$3,P$2,P$5,P$1))*Get_Margin(P$3,P$2,P$5,P$1))*$C$3,ROUNDDOWN((Client_Margin($B10)*Alloted(P$3,P$2,P$5)/Get_Margin(P$3,P$2,P$5,P$1)),0),ROUNDUP((Client_Margin($B10)*Alloted(P$3,P$2,P$5)/Get_Margin(P$3,P$2,P$5,P$1)),0)),"-")</f>
        <v>9</v>
      </c>
    </row>
    <row r="11" spans="1:22" hidden="1" x14ac:dyDescent="0.25">
      <c r="A11">
        <f t="shared" si="0"/>
        <v>0</v>
      </c>
      <c r="B11" s="14"/>
      <c r="C11" s="14"/>
      <c r="D11" s="15">
        <f>SUM(E11:P11)</f>
        <v>0.96791666666666676</v>
      </c>
      <c r="E11" s="15" t="str" cm="1">
        <f t="array" ref="E11">IFERROR((_xlfn._xlws.FILTER(INDEX(Margin[],0,MATCH(E$1&amp;"_"&amp;E$3,Margin[#Headers],0)),(Margin[Index]=E$2)*(Margin[Strategy]=E$5))*E10)/Client_Margin($B10),"-")</f>
        <v>-</v>
      </c>
      <c r="F11" s="15" t="str" cm="1">
        <f t="array" ref="F11">IFERROR((_xlfn._xlws.FILTER(INDEX(Margin[],0,MATCH(F$1&amp;"_"&amp;F$3,Margin[#Headers],0)),(Margin[Index]=F$2)*(Margin[Strategy]=F$5))*F10)/Client_Margin($B10),"-")</f>
        <v>-</v>
      </c>
      <c r="G11" s="15" cm="1">
        <f t="array" ref="G11">IFERROR((_xlfn._xlws.FILTER(INDEX(Margin[],0,MATCH(G$1&amp;"_"&amp;G$3,Margin[#Headers],0)),(Margin[Index]=G$2)*(Margin[Strategy]=G$5))*G10)/Client_Margin($B10),"-")</f>
        <v>0.10440000000000001</v>
      </c>
      <c r="H11" s="15" cm="1">
        <f t="array" ref="H11">IFERROR((_xlfn._xlws.FILTER(INDEX(Margin[],0,MATCH(H$1&amp;"_"&amp;H$3,Margin[#Headers],0)),(Margin[Index]=H$2)*(Margin[Strategy]=H$5))*H10)/Client_Margin($B10),"-")</f>
        <v>9.3600000000000003E-2</v>
      </c>
      <c r="I11" s="15" cm="1">
        <f t="array" ref="I11">IFERROR((_xlfn._xlws.FILTER(INDEX(Margin[],0,MATCH(I$1&amp;"_"&amp;I$3,Margin[#Headers],0)),(Margin[Index]=I$2)*(Margin[Strategy]=I$5))*I10)/Client_Margin($B10),"-")</f>
        <v>0.10666666666666667</v>
      </c>
      <c r="J11" s="15" cm="1">
        <f t="array" ref="J11">IFERROR((_xlfn._xlws.FILTER(INDEX(Margin[],0,MATCH(J$1&amp;"_"&amp;J$3,Margin[#Headers],0)),(Margin[Index]=J$2)*(Margin[Strategy]=J$5))*J10)/Client_Margin($B10),"-")</f>
        <v>0.10174999999999999</v>
      </c>
      <c r="K11" s="15" cm="1">
        <f t="array" ref="K11">IFERROR((_xlfn._xlws.FILTER(INDEX(Margin[],0,MATCH(K$1&amp;"_"&amp;K$3,Margin[#Headers],0)),(Margin[Index]=K$2)*(Margin[Strategy]=K$5))*K10)/Client_Margin($B10),"-")</f>
        <v>0.40699999999999997</v>
      </c>
      <c r="L11" s="15" cm="1">
        <f t="array" ref="L11">IFERROR((_xlfn._xlws.FILTER(INDEX(Margin[],0,MATCH(L$1&amp;"_"&amp;L$3,Margin[#Headers],0)),(Margin[Index]=L$2)*(Margin[Strategy]=L$5))*L10)/Client_Margin($B10),"-")</f>
        <v>0</v>
      </c>
      <c r="M11" s="15" cm="1">
        <f t="array" ref="M11">IFERROR((_xlfn._xlws.FILTER(INDEX(Margin[],0,MATCH(M$1&amp;"_"&amp;M$3,Margin[#Headers],0)),(Margin[Index]=M$2)*(Margin[Strategy]=M$5))*M10)/Client_Margin($B10),"-")</f>
        <v>0</v>
      </c>
      <c r="N11" s="15" cm="1">
        <f t="array" ref="N11">IFERROR((_xlfn._xlws.FILTER(INDEX(Margin[],0,MATCH(N$1&amp;"_"&amp;N$3,Margin[#Headers],0)),(Margin[Index]=N$2)*(Margin[Strategy]=N$5))*N10)/Client_Margin($B10),"-")</f>
        <v>5.2499999999999998E-2</v>
      </c>
      <c r="O11" s="15" cm="1">
        <f t="array" ref="O11">IFERROR((_xlfn._xlws.FILTER(INDEX(Margin[],0,MATCH(O$1&amp;"_"&amp;O$3,Margin[#Headers],0)),(Margin[Index]=O$2)*(Margin[Strategy]=O$5))*O10)/Client_Margin($B10),"-")</f>
        <v>5.0999999999999997E-2</v>
      </c>
      <c r="P11" s="15" cm="1">
        <f t="array" ref="P11">IFERROR((_xlfn._xlws.FILTER(INDEX(Margin[],0,MATCH(P$1&amp;"_"&amp;P$3,Margin[#Headers],0)),(Margin[Index]=P$2)*(Margin[Strategy]=P$5))*P10)/Client_Margin($B10),"-")</f>
        <v>5.0999999999999997E-2</v>
      </c>
    </row>
    <row r="12" spans="1:22" x14ac:dyDescent="0.25">
      <c r="A12">
        <f>IF(B12="",0,1)</f>
        <v>1</v>
      </c>
      <c r="B12" s="14" t="s">
        <v>111</v>
      </c>
      <c r="C12" s="14" cm="1">
        <f t="array" ref="C12">(_xlfn._xlws.FILTER(Fund[Margin],Fund[Client Id]=B12))/10000000</f>
        <v>5.9</v>
      </c>
      <c r="D12" s="17"/>
      <c r="E12" s="14" t="str" cm="1">
        <f t="array" ref="E12">IFERROR(IF(ROUNDUP((Client_Margin($B12)*Alloted(E$3,E$2,E$5)/Get_Margin(E$3,E$2,E$5,E$1)),0)*Get_Margin(E$3,E$2,E$5,E$1)&gt;((Client_Margin($B12)*Alloted(E$3,E$2,E$5)/Get_Margin(E$3,E$2,E$5,E$1))*Get_Margin(E$3,E$2,E$5,E$1))*$C$3,ROUNDDOWN((Client_Margin($B12)*Alloted(E$3,E$2,E$5)/Get_Margin(E$3,E$2,E$5,E$1)),0),ROUNDUP((Client_Margin($B12)*Alloted(E$3,E$2,E$5)/Get_Margin(E$3,E$2,E$5,E$1)),0)),"-")</f>
        <v>-</v>
      </c>
      <c r="F12" s="14" t="str" cm="1">
        <f t="array" ref="F12">IFERROR(IF(ROUNDUP((Client_Margin($B12)*Alloted(F$3,F$2,F$5)/Get_Margin(F$3,F$2,F$5,F$1)),0)*Get_Margin(F$3,F$2,F$5,F$1)&gt;((Client_Margin($B12)*Alloted(F$3,F$2,F$5)/Get_Margin(F$3,F$2,F$5,F$1))*Get_Margin(F$3,F$2,F$5,F$1))*$C$3,ROUNDDOWN((Client_Margin($B12)*Alloted(F$3,F$2,F$5)/Get_Margin(F$3,F$2,F$5,F$1)),0),ROUNDUP((Client_Margin($B12)*Alloted(F$3,F$2,F$5)/Get_Margin(F$3,F$2,F$5,F$1)),0)),"-")</f>
        <v>-</v>
      </c>
      <c r="G12" s="14" cm="1">
        <f t="array" ref="G12">IFERROR(IF(ROUNDUP((Client_Margin($B12)*Alloted(G$3,G$2,G$5)/Get_Margin(G$3,G$2,G$5,G$1)),0)*Get_Margin(G$3,G$2,G$5,G$1)&gt;((Client_Margin($B12)*Alloted(G$3,G$2,G$5)/Get_Margin(G$3,G$2,G$5,G$1))*Get_Margin(G$3,G$2,G$5,G$1))*$C$3,ROUNDDOWN((Client_Margin($B12)*Alloted(G$3,G$2,G$5)/Get_Margin(G$3,G$2,G$5,G$1)),0),ROUNDUP((Client_Margin($B12)*Alloted(G$3,G$2,G$5)/Get_Margin(G$3,G$2,G$5,G$1)),0)),"-")</f>
        <v>9</v>
      </c>
      <c r="H12" s="14" cm="1">
        <f t="array" ref="H12">IFERROR(IF(ROUNDUP((Client_Margin($B12)*Alloted(H$3,H$2,H$5)/Get_Margin(H$3,H$2,H$5,H$1)),0)*Get_Margin(H$3,H$2,H$5,H$1)&gt;((Client_Margin($B12)*Alloted(H$3,H$2,H$5)/Get_Margin(H$3,H$2,H$5,H$1))*Get_Margin(H$3,H$2,H$5,H$1))*$C$3,ROUNDDOWN((Client_Margin($B12)*Alloted(H$3,H$2,H$5)/Get_Margin(H$3,H$2,H$5,H$1)),0),ROUNDUP((Client_Margin($B12)*Alloted(H$3,H$2,H$5)/Get_Margin(H$3,H$2,H$5,H$1)),0)),"-")</f>
        <v>3</v>
      </c>
      <c r="I12" s="14" cm="1">
        <f t="array" ref="I12">IFERROR(IF(ROUNDUP((Client_Margin($B12)*Alloted(I$3,I$2,I$5)/Get_Margin(I$3,I$2,I$5,I$1)),0)*Get_Margin(I$3,I$2,I$5,I$1)&gt;((Client_Margin($B12)*Alloted(I$3,I$2,I$5)/Get_Margin(I$3,I$2,I$5,I$1))*Get_Margin(I$3,I$2,I$5,I$1))*$C$3,ROUNDDOWN((Client_Margin($B12)*Alloted(I$3,I$2,I$5)/Get_Margin(I$3,I$2,I$5,I$1)),0),ROUNDUP((Client_Margin($B12)*Alloted(I$3,I$2,I$5)/Get_Margin(I$3,I$2,I$5,I$1)),0)),"-")</f>
        <v>4</v>
      </c>
      <c r="J12" s="14" cm="1">
        <f t="array" ref="J12">IFERROR(IF(ROUNDUP((Client_Margin($B12)*Alloted(J$3,J$2,J$5)/Get_Margin(J$3,J$2,J$5,J$1)),0)*Get_Margin(J$3,J$2,J$5,J$1)&gt;((Client_Margin($B12)*Alloted(J$3,J$2,J$5)/Get_Margin(J$3,J$2,J$5,J$1))*Get_Margin(J$3,J$2,J$5,J$1))*$C$3,ROUNDDOWN((Client_Margin($B12)*Alloted(J$3,J$2,J$5)/Get_Margin(J$3,J$2,J$5,J$1)),0),ROUNDUP((Client_Margin($B12)*Alloted(J$3,J$2,J$5)/Get_Margin(J$3,J$2,J$5,J$1)),0)),"-")</f>
        <v>11</v>
      </c>
      <c r="K12" s="14" cm="1">
        <f t="array" ref="K12">IFERROR(IF(ROUNDUP((Client_Margin($B12)*Alloted(K$3,K$2,K$5)/Get_Margin(K$3,K$2,K$5,K$1)),0)*Get_Margin(K$3,K$2,K$5,K$1)&gt;((Client_Margin($B12)*Alloted(K$3,K$2,K$5)/Get_Margin(K$3,K$2,K$5,K$1))*Get_Margin(K$3,K$2,K$5,K$1))*$C$3,ROUNDDOWN((Client_Margin($B12)*Alloted(K$3,K$2,K$5)/Get_Margin(K$3,K$2,K$5,K$1)),0),ROUNDUP((Client_Margin($B12)*Alloted(K$3,K$2,K$5)/Get_Margin(K$3,K$2,K$5,K$1)),0)),"-")</f>
        <v>43</v>
      </c>
      <c r="L12" s="14" cm="1">
        <f t="array" ref="L12">IFERROR(IF(ROUNDUP((Client_Margin($B12)*Alloted(L$3,L$2,L$5)/Get_Margin(L$3,L$2,L$5,L$1)),0)*Get_Margin(L$3,L$2,L$5,L$1)&gt;((Client_Margin($B12)*Alloted(L$3,L$2,L$5)/Get_Margin(L$3,L$2,L$5,L$1))*Get_Margin(L$3,L$2,L$5,L$1))*$C$3,ROUNDDOWN((Client_Margin($B12)*Alloted(L$3,L$2,L$5)/Get_Margin(L$3,L$2,L$5,L$1)),0),ROUNDUP((Client_Margin($B12)*Alloted(L$3,L$2,L$5)/Get_Margin(L$3,L$2,L$5,L$1)),0)),"-")</f>
        <v>0</v>
      </c>
      <c r="M12" s="14" cm="1">
        <f t="array" ref="M12">IFERROR(IF(ROUNDUP((Client_Margin($B12)*Alloted(M$3,M$2,M$5)/Get_Margin(M$3,M$2,M$5,M$1)),0)*Get_Margin(M$3,M$2,M$5,M$1)&gt;((Client_Margin($B12)*Alloted(M$3,M$2,M$5)/Get_Margin(M$3,M$2,M$5,M$1))*Get_Margin(M$3,M$2,M$5,M$1))*$C$3,ROUNDDOWN((Client_Margin($B12)*Alloted(M$3,M$2,M$5)/Get_Margin(M$3,M$2,M$5,M$1)),0),ROUNDUP((Client_Margin($B12)*Alloted(M$3,M$2,M$5)/Get_Margin(M$3,M$2,M$5,M$1)),0)),"-")</f>
        <v>0</v>
      </c>
      <c r="N12" s="14" cm="1">
        <f t="array" ref="N12">IFERROR(IF(ROUNDUP((Client_Margin($B12)*Alloted(N$3,N$2,N$5)/Get_Margin(N$3,N$2,N$5,N$1)),0)*Get_Margin(N$3,N$2,N$5,N$1)&gt;((Client_Margin($B12)*Alloted(N$3,N$2,N$5)/Get_Margin(N$3,N$2,N$5,N$1))*Get_Margin(N$3,N$2,N$5,N$1))*$C$3,ROUNDDOWN((Client_Margin($B12)*Alloted(N$3,N$2,N$5)/Get_Margin(N$3,N$2,N$5,N$1)),0),ROUNDUP((Client_Margin($B12)*Alloted(N$3,N$2,N$5)/Get_Margin(N$3,N$2,N$5,N$1)),0)),"-")</f>
        <v>9</v>
      </c>
      <c r="O12" s="14" cm="1">
        <f t="array" ref="O12">IFERROR(IF(ROUNDUP((Client_Margin($B12)*Alloted(O$3,O$2,O$5)/Get_Margin(O$3,O$2,O$5,O$1)),0)*Get_Margin(O$3,O$2,O$5,O$1)&gt;((Client_Margin($B12)*Alloted(O$3,O$2,O$5)/Get_Margin(O$3,O$2,O$5,O$1))*Get_Margin(O$3,O$2,O$5,O$1))*$C$3,ROUNDDOWN((Client_Margin($B12)*Alloted(O$3,O$2,O$5)/Get_Margin(O$3,O$2,O$5,O$1)),0),ROUNDUP((Client_Margin($B12)*Alloted(O$3,O$2,O$5)/Get_Margin(O$3,O$2,O$5,O$1)),0)),"-")</f>
        <v>9</v>
      </c>
      <c r="P12" s="14" cm="1">
        <f t="array" ref="P12">IFERROR(IF(ROUNDUP((Client_Margin($B12)*Alloted(P$3,P$2,P$5)/Get_Margin(P$3,P$2,P$5,P$1)),0)*Get_Margin(P$3,P$2,P$5,P$1)&gt;((Client_Margin($B12)*Alloted(P$3,P$2,P$5)/Get_Margin(P$3,P$2,P$5,P$1))*Get_Margin(P$3,P$2,P$5,P$1))*$C$3,ROUNDDOWN((Client_Margin($B12)*Alloted(P$3,P$2,P$5)/Get_Margin(P$3,P$2,P$5,P$1)),0),ROUNDUP((Client_Margin($B12)*Alloted(P$3,P$2,P$5)/Get_Margin(P$3,P$2,P$5,P$1)),0)),"-")</f>
        <v>9</v>
      </c>
    </row>
    <row r="13" spans="1:22" hidden="1" x14ac:dyDescent="0.25">
      <c r="A13">
        <f>IF(B13="",0,1)</f>
        <v>0</v>
      </c>
      <c r="B13" s="14"/>
      <c r="C13" s="14"/>
      <c r="D13" s="15">
        <f>SUM(E13:P13)</f>
        <v>0.97491525423728809</v>
      </c>
      <c r="E13" s="15" t="str" cm="1">
        <f t="array" ref="E13">IFERROR((_xlfn._xlws.FILTER(INDEX(Margin[],0,MATCH(E$1&amp;"_"&amp;E$3,Margin[#Headers],0)),(Margin[Index]=E$2)*(Margin[Strategy]=E$5))*E12)/Client_Margin($B12),"-")</f>
        <v>-</v>
      </c>
      <c r="F13" s="15" t="str" cm="1">
        <f t="array" ref="F13">IFERROR((_xlfn._xlws.FILTER(INDEX(Margin[],0,MATCH(F$1&amp;"_"&amp;F$3,Margin[#Headers],0)),(Margin[Index]=F$2)*(Margin[Strategy]=F$5))*F12)/Client_Margin($B12),"-")</f>
        <v>-</v>
      </c>
      <c r="G13" s="15" cm="1">
        <f t="array" ref="G13">IFERROR((_xlfn._xlws.FILTER(INDEX(Margin[],0,MATCH(G$1&amp;"_"&amp;G$3,Margin[#Headers],0)),(Margin[Index]=G$2)*(Margin[Strategy]=G$5))*G12)/Client_Margin($B12),"-")</f>
        <v>0.10616949152542372</v>
      </c>
      <c r="H13" s="15" cm="1">
        <f t="array" ref="H13">IFERROR((_xlfn._xlws.FILTER(INDEX(Margin[],0,MATCH(H$1&amp;"_"&amp;H$3,Margin[#Headers],0)),(Margin[Index]=H$2)*(Margin[Strategy]=H$5))*H12)/Client_Margin($B12),"-")</f>
        <v>9.5186440677966097E-2</v>
      </c>
      <c r="I13" s="15" cm="1">
        <f t="array" ref="I13">IFERROR((_xlfn._xlws.FILTER(INDEX(Margin[],0,MATCH(I$1&amp;"_"&amp;I$3,Margin[#Headers],0)),(Margin[Index]=I$2)*(Margin[Strategy]=I$5))*I12)/Client_Margin($B12),"-")</f>
        <v>0.10847457627118644</v>
      </c>
      <c r="J13" s="15" cm="1">
        <f t="array" ref="J13">IFERROR((_xlfn._xlws.FILTER(INDEX(Margin[],0,MATCH(J$1&amp;"_"&amp;J$3,Margin[#Headers],0)),(Margin[Index]=J$2)*(Margin[Strategy]=J$5))*J12)/Client_Margin($B12),"-")</f>
        <v>0.10347457627118645</v>
      </c>
      <c r="K13" s="15" cm="1">
        <f t="array" ref="K13">IFERROR((_xlfn._xlws.FILTER(INDEX(Margin[],0,MATCH(K$1&amp;"_"&amp;K$3,Margin[#Headers],0)),(Margin[Index]=K$2)*(Margin[Strategy]=K$5))*K12)/Client_Margin($B12),"-")</f>
        <v>0.40449152542372879</v>
      </c>
      <c r="L13" s="15" cm="1">
        <f t="array" ref="L13">IFERROR((_xlfn._xlws.FILTER(INDEX(Margin[],0,MATCH(L$1&amp;"_"&amp;L$3,Margin[#Headers],0)),(Margin[Index]=L$2)*(Margin[Strategy]=L$5))*L12)/Client_Margin($B12),"-")</f>
        <v>0</v>
      </c>
      <c r="M13" s="15" cm="1">
        <f t="array" ref="M13">IFERROR((_xlfn._xlws.FILTER(INDEX(Margin[],0,MATCH(M$1&amp;"_"&amp;M$3,Margin[#Headers],0)),(Margin[Index]=M$2)*(Margin[Strategy]=M$5))*M12)/Client_Margin($B12),"-")</f>
        <v>0</v>
      </c>
      <c r="N13" s="15" cm="1">
        <f t="array" ref="N13">IFERROR((_xlfn._xlws.FILTER(INDEX(Margin[],0,MATCH(N$1&amp;"_"&amp;N$3,Margin[#Headers],0)),(Margin[Index]=N$2)*(Margin[Strategy]=N$5))*N12)/Client_Margin($B12),"-")</f>
        <v>5.3389830508474574E-2</v>
      </c>
      <c r="O13" s="15" cm="1">
        <f t="array" ref="O13">IFERROR((_xlfn._xlws.FILTER(INDEX(Margin[],0,MATCH(O$1&amp;"_"&amp;O$3,Margin[#Headers],0)),(Margin[Index]=O$2)*(Margin[Strategy]=O$5))*O12)/Client_Margin($B12),"-")</f>
        <v>5.1864406779661018E-2</v>
      </c>
      <c r="P13" s="15" cm="1">
        <f t="array" ref="P13">IFERROR((_xlfn._xlws.FILTER(INDEX(Margin[],0,MATCH(P$1&amp;"_"&amp;P$3,Margin[#Headers],0)),(Margin[Index]=P$2)*(Margin[Strategy]=P$5))*P12)/Client_Margin($B12),"-")</f>
        <v>5.1864406779661018E-2</v>
      </c>
    </row>
    <row r="14" spans="1:22" x14ac:dyDescent="0.25">
      <c r="A14">
        <f t="shared" ref="A14:A23" si="1">IF(B14="",0,1)</f>
        <v>1</v>
      </c>
      <c r="B14" s="14" t="s">
        <v>22</v>
      </c>
      <c r="C14" s="14" cm="1">
        <f t="array" ref="C14">(_xlfn._xlws.FILTER(Fund[Margin],Fund[Client Id]=B14))/10000000</f>
        <v>5.0999999999999996</v>
      </c>
      <c r="D14" s="17"/>
      <c r="E14" s="14" t="str" cm="1">
        <f t="array" ref="E14">IFERROR(IF(ROUNDUP((Client_Margin($B14)*Alloted(E$3,E$2,E$5)/Get_Margin(E$3,E$2,E$5,E$1)),0)*Get_Margin(E$3,E$2,E$5,E$1)&gt;((Client_Margin($B14)*Alloted(E$3,E$2,E$5)/Get_Margin(E$3,E$2,E$5,E$1))*Get_Margin(E$3,E$2,E$5,E$1))*$C$3,ROUNDDOWN((Client_Margin($B14)*Alloted(E$3,E$2,E$5)/Get_Margin(E$3,E$2,E$5,E$1)),0),ROUNDUP((Client_Margin($B14)*Alloted(E$3,E$2,E$5)/Get_Margin(E$3,E$2,E$5,E$1)),0)),"-")</f>
        <v>-</v>
      </c>
      <c r="F14" s="14" t="str" cm="1">
        <f t="array" ref="F14">IFERROR(IF(ROUNDUP((Client_Margin($B14)*Alloted(F$3,F$2,F$5)/Get_Margin(F$3,F$2,F$5,F$1)),0)*Get_Margin(F$3,F$2,F$5,F$1)&gt;((Client_Margin($B14)*Alloted(F$3,F$2,F$5)/Get_Margin(F$3,F$2,F$5,F$1))*Get_Margin(F$3,F$2,F$5,F$1))*$C$3,ROUNDDOWN((Client_Margin($B14)*Alloted(F$3,F$2,F$5)/Get_Margin(F$3,F$2,F$5,F$1)),0),ROUNDUP((Client_Margin($B14)*Alloted(F$3,F$2,F$5)/Get_Margin(F$3,F$2,F$5,F$1)),0)),"-")</f>
        <v>-</v>
      </c>
      <c r="G14" s="14" cm="1">
        <f t="array" ref="G14">IFERROR(IF(ROUNDUP((Client_Margin($B14)*Alloted(G$3,G$2,G$5)/Get_Margin(G$3,G$2,G$5,G$1)),0)*Get_Margin(G$3,G$2,G$5,G$1)&gt;((Client_Margin($B14)*Alloted(G$3,G$2,G$5)/Get_Margin(G$3,G$2,G$5,G$1))*Get_Margin(G$3,G$2,G$5,G$1))*$C$3,ROUNDDOWN((Client_Margin($B14)*Alloted(G$3,G$2,G$5)/Get_Margin(G$3,G$2,G$5,G$1)),0),ROUNDUP((Client_Margin($B14)*Alloted(G$3,G$2,G$5)/Get_Margin(G$3,G$2,G$5,G$1)),0)),"-")</f>
        <v>8</v>
      </c>
      <c r="H14" s="14" cm="1">
        <f t="array" ref="H14">IFERROR(IF(ROUNDUP((Client_Margin($B14)*Alloted(H$3,H$2,H$5)/Get_Margin(H$3,H$2,H$5,H$1)),0)*Get_Margin(H$3,H$2,H$5,H$1)&gt;((Client_Margin($B14)*Alloted(H$3,H$2,H$5)/Get_Margin(H$3,H$2,H$5,H$1))*Get_Margin(H$3,H$2,H$5,H$1))*$C$3,ROUNDDOWN((Client_Margin($B14)*Alloted(H$3,H$2,H$5)/Get_Margin(H$3,H$2,H$5,H$1)),0),ROUNDUP((Client_Margin($B14)*Alloted(H$3,H$2,H$5)/Get_Margin(H$3,H$2,H$5,H$1)),0)),"-")</f>
        <v>3</v>
      </c>
      <c r="I14" s="14" cm="1">
        <f t="array" ref="I14">IFERROR(IF(ROUNDUP((Client_Margin($B14)*Alloted(I$3,I$2,I$5)/Get_Margin(I$3,I$2,I$5,I$1)),0)*Get_Margin(I$3,I$2,I$5,I$1)&gt;((Client_Margin($B14)*Alloted(I$3,I$2,I$5)/Get_Margin(I$3,I$2,I$5,I$1))*Get_Margin(I$3,I$2,I$5,I$1))*$C$3,ROUNDDOWN((Client_Margin($B14)*Alloted(I$3,I$2,I$5)/Get_Margin(I$3,I$2,I$5,I$1)),0),ROUNDUP((Client_Margin($B14)*Alloted(I$3,I$2,I$5)/Get_Margin(I$3,I$2,I$5,I$1)),0)),"-")</f>
        <v>3</v>
      </c>
      <c r="J14" s="14" cm="1">
        <f t="array" ref="J14">IFERROR(IF(ROUNDUP((Client_Margin($B14)*Alloted(J$3,J$2,J$5)/Get_Margin(J$3,J$2,J$5,J$1)),0)*Get_Margin(J$3,J$2,J$5,J$1)&gt;((Client_Margin($B14)*Alloted(J$3,J$2,J$5)/Get_Margin(J$3,J$2,J$5,J$1))*Get_Margin(J$3,J$2,J$5,J$1))*$C$3,ROUNDDOWN((Client_Margin($B14)*Alloted(J$3,J$2,J$5)/Get_Margin(J$3,J$2,J$5,J$1)),0),ROUNDUP((Client_Margin($B14)*Alloted(J$3,J$2,J$5)/Get_Margin(J$3,J$2,J$5,J$1)),0)),"-")</f>
        <v>10</v>
      </c>
      <c r="K14" s="14" cm="1">
        <f t="array" ref="K14">IFERROR(IF(ROUNDUP((Client_Margin($B14)*Alloted(K$3,K$2,K$5)/Get_Margin(K$3,K$2,K$5,K$1)),0)*Get_Margin(K$3,K$2,K$5,K$1)&gt;((Client_Margin($B14)*Alloted(K$3,K$2,K$5)/Get_Margin(K$3,K$2,K$5,K$1))*Get_Margin(K$3,K$2,K$5,K$1))*$C$3,ROUNDDOWN((Client_Margin($B14)*Alloted(K$3,K$2,K$5)/Get_Margin(K$3,K$2,K$5,K$1)),0),ROUNDUP((Client_Margin($B14)*Alloted(K$3,K$2,K$5)/Get_Margin(K$3,K$2,K$5,K$1)),0)),"-")</f>
        <v>37</v>
      </c>
      <c r="L14" s="14" cm="1">
        <f t="array" ref="L14">IFERROR(IF(ROUNDUP((Client_Margin($B14)*Alloted(L$3,L$2,L$5)/Get_Margin(L$3,L$2,L$5,L$1)),0)*Get_Margin(L$3,L$2,L$5,L$1)&gt;((Client_Margin($B14)*Alloted(L$3,L$2,L$5)/Get_Margin(L$3,L$2,L$5,L$1))*Get_Margin(L$3,L$2,L$5,L$1))*$C$3,ROUNDDOWN((Client_Margin($B14)*Alloted(L$3,L$2,L$5)/Get_Margin(L$3,L$2,L$5,L$1)),0),ROUNDUP((Client_Margin($B14)*Alloted(L$3,L$2,L$5)/Get_Margin(L$3,L$2,L$5,L$1)),0)),"-")</f>
        <v>0</v>
      </c>
      <c r="M14" s="14" cm="1">
        <f t="array" ref="M14">IFERROR(IF(ROUNDUP((Client_Margin($B14)*Alloted(M$3,M$2,M$5)/Get_Margin(M$3,M$2,M$5,M$1)),0)*Get_Margin(M$3,M$2,M$5,M$1)&gt;((Client_Margin($B14)*Alloted(M$3,M$2,M$5)/Get_Margin(M$3,M$2,M$5,M$1))*Get_Margin(M$3,M$2,M$5,M$1))*$C$3,ROUNDDOWN((Client_Margin($B14)*Alloted(M$3,M$2,M$5)/Get_Margin(M$3,M$2,M$5,M$1)),0),ROUNDUP((Client_Margin($B14)*Alloted(M$3,M$2,M$5)/Get_Margin(M$3,M$2,M$5,M$1)),0)),"-")</f>
        <v>0</v>
      </c>
      <c r="N14" s="14" cm="1">
        <f t="array" ref="N14">IFERROR(IF(ROUNDUP((Client_Margin($B14)*Alloted(N$3,N$2,N$5)/Get_Margin(N$3,N$2,N$5,N$1)),0)*Get_Margin(N$3,N$2,N$5,N$1)&gt;((Client_Margin($B14)*Alloted(N$3,N$2,N$5)/Get_Margin(N$3,N$2,N$5,N$1))*Get_Margin(N$3,N$2,N$5,N$1))*$C$3,ROUNDDOWN((Client_Margin($B14)*Alloted(N$3,N$2,N$5)/Get_Margin(N$3,N$2,N$5,N$1)),0),ROUNDUP((Client_Margin($B14)*Alloted(N$3,N$2,N$5)/Get_Margin(N$3,N$2,N$5,N$1)),0)),"-")</f>
        <v>8</v>
      </c>
      <c r="O14" s="14" cm="1">
        <f t="array" ref="O14">IFERROR(IF(ROUNDUP((Client_Margin($B14)*Alloted(O$3,O$2,O$5)/Get_Margin(O$3,O$2,O$5,O$1)),0)*Get_Margin(O$3,O$2,O$5,O$1)&gt;((Client_Margin($B14)*Alloted(O$3,O$2,O$5)/Get_Margin(O$3,O$2,O$5,O$1))*Get_Margin(O$3,O$2,O$5,O$1))*$C$3,ROUNDDOWN((Client_Margin($B14)*Alloted(O$3,O$2,O$5)/Get_Margin(O$3,O$2,O$5,O$1)),0),ROUNDUP((Client_Margin($B14)*Alloted(O$3,O$2,O$5)/Get_Margin(O$3,O$2,O$5,O$1)),0)),"-")</f>
        <v>8</v>
      </c>
      <c r="P14" s="14" cm="1">
        <f t="array" ref="P14">IFERROR(IF(ROUNDUP((Client_Margin($B14)*Alloted(P$3,P$2,P$5)/Get_Margin(P$3,P$2,P$5,P$1)),0)*Get_Margin(P$3,P$2,P$5,P$1)&gt;((Client_Margin($B14)*Alloted(P$3,P$2,P$5)/Get_Margin(P$3,P$2,P$5,P$1))*Get_Margin(P$3,P$2,P$5,P$1))*$C$3,ROUNDDOWN((Client_Margin($B14)*Alloted(P$3,P$2,P$5)/Get_Margin(P$3,P$2,P$5,P$1)),0),ROUNDUP((Client_Margin($B14)*Alloted(P$3,P$2,P$5)/Get_Margin(P$3,P$2,P$5,P$1)),0)),"-")</f>
        <v>8</v>
      </c>
    </row>
    <row r="15" spans="1:22" hidden="1" x14ac:dyDescent="0.25">
      <c r="A15">
        <f t="shared" si="1"/>
        <v>0</v>
      </c>
      <c r="B15" s="14"/>
      <c r="C15" s="14"/>
      <c r="D15" s="15">
        <f>SUM(E15:P15)</f>
        <v>0.98645098039215684</v>
      </c>
      <c r="E15" s="15" t="str" cm="1">
        <f t="array" ref="E15">IFERROR((_xlfn._xlws.FILTER(INDEX(Margin[],0,MATCH(E$1&amp;"_"&amp;E$3,Margin[#Headers],0)),(Margin[Index]=E$2)*(Margin[Strategy]=E$5))*E14)/Client_Margin($B14),"-")</f>
        <v>-</v>
      </c>
      <c r="F15" s="15" t="str" cm="1">
        <f t="array" ref="F15">IFERROR((_xlfn._xlws.FILTER(INDEX(Margin[],0,MATCH(F$1&amp;"_"&amp;F$3,Margin[#Headers],0)),(Margin[Index]=F$2)*(Margin[Strategy]=F$5))*F14)/Client_Margin($B14),"-")</f>
        <v>-</v>
      </c>
      <c r="G15" s="15" cm="1">
        <f t="array" ref="G15">IFERROR((_xlfn._xlws.FILTER(INDEX(Margin[],0,MATCH(G$1&amp;"_"&amp;G$3,Margin[#Headers],0)),(Margin[Index]=G$2)*(Margin[Strategy]=G$5))*G14)/Client_Margin($B14),"-")</f>
        <v>0.10917647058823529</v>
      </c>
      <c r="H15" s="15" cm="1">
        <f t="array" ref="H15">IFERROR((_xlfn._xlws.FILTER(INDEX(Margin[],0,MATCH(H$1&amp;"_"&amp;H$3,Margin[#Headers],0)),(Margin[Index]=H$2)*(Margin[Strategy]=H$5))*H14)/Client_Margin($B14),"-")</f>
        <v>0.11011764705882353</v>
      </c>
      <c r="I15" s="15" cm="1">
        <f t="array" ref="I15">IFERROR((_xlfn._xlws.FILTER(INDEX(Margin[],0,MATCH(I$1&amp;"_"&amp;I$3,Margin[#Headers],0)),(Margin[Index]=I$2)*(Margin[Strategy]=I$5))*I14)/Client_Margin($B14),"-")</f>
        <v>9.4117647058823528E-2</v>
      </c>
      <c r="J15" s="15" cm="1">
        <f t="array" ref="J15">IFERROR((_xlfn._xlws.FILTER(INDEX(Margin[],0,MATCH(J$1&amp;"_"&amp;J$3,Margin[#Headers],0)),(Margin[Index]=J$2)*(Margin[Strategy]=J$5))*J14)/Client_Margin($B14),"-")</f>
        <v>0.10882352941176471</v>
      </c>
      <c r="K15" s="15" cm="1">
        <f t="array" ref="K15">IFERROR((_xlfn._xlws.FILTER(INDEX(Margin[],0,MATCH(K$1&amp;"_"&amp;K$3,Margin[#Headers],0)),(Margin[Index]=K$2)*(Margin[Strategy]=K$5))*K14)/Client_Margin($B14),"-")</f>
        <v>0.40264705882352941</v>
      </c>
      <c r="L15" s="15" cm="1">
        <f t="array" ref="L15">IFERROR((_xlfn._xlws.FILTER(INDEX(Margin[],0,MATCH(L$1&amp;"_"&amp;L$3,Margin[#Headers],0)),(Margin[Index]=L$2)*(Margin[Strategy]=L$5))*L14)/Client_Margin($B14),"-")</f>
        <v>0</v>
      </c>
      <c r="M15" s="15" cm="1">
        <f t="array" ref="M15">IFERROR((_xlfn._xlws.FILTER(INDEX(Margin[],0,MATCH(M$1&amp;"_"&amp;M$3,Margin[#Headers],0)),(Margin[Index]=M$2)*(Margin[Strategy]=M$5))*M14)/Client_Margin($B14),"-")</f>
        <v>0</v>
      </c>
      <c r="N15" s="15" cm="1">
        <f t="array" ref="N15">IFERROR((_xlfn._xlws.FILTER(INDEX(Margin[],0,MATCH(N$1&amp;"_"&amp;N$3,Margin[#Headers],0)),(Margin[Index]=N$2)*(Margin[Strategy]=N$5))*N14)/Client_Margin($B14),"-")</f>
        <v>5.4901960784313725E-2</v>
      </c>
      <c r="O15" s="15" cm="1">
        <f t="array" ref="O15">IFERROR((_xlfn._xlws.FILTER(INDEX(Margin[],0,MATCH(O$1&amp;"_"&amp;O$3,Margin[#Headers],0)),(Margin[Index]=O$2)*(Margin[Strategy]=O$5))*O14)/Client_Margin($B14),"-")</f>
        <v>5.3333333333333337E-2</v>
      </c>
      <c r="P15" s="15" cm="1">
        <f t="array" ref="P15">IFERROR((_xlfn._xlws.FILTER(INDEX(Margin[],0,MATCH(P$1&amp;"_"&amp;P$3,Margin[#Headers],0)),(Margin[Index]=P$2)*(Margin[Strategy]=P$5))*P14)/Client_Margin($B14),"-")</f>
        <v>5.3333333333333337E-2</v>
      </c>
    </row>
    <row r="16" spans="1:22" x14ac:dyDescent="0.25">
      <c r="A16">
        <f t="shared" si="1"/>
        <v>1</v>
      </c>
      <c r="B16" s="14" t="s">
        <v>34</v>
      </c>
      <c r="C16" s="14" cm="1">
        <f t="array" ref="C16">(_xlfn._xlws.FILTER(Fund[Margin],Fund[Client Id]=B16))/10000000</f>
        <v>3.5</v>
      </c>
      <c r="D16" s="17"/>
      <c r="E16" s="14" t="str" cm="1">
        <f t="array" ref="E16">IFERROR(IF(ROUNDUP((Client_Margin($B16)*Alloted(E$3,E$2,E$5)/Get_Margin(E$3,E$2,E$5,E$1)),0)*Get_Margin(E$3,E$2,E$5,E$1)&gt;((Client_Margin($B16)*Alloted(E$3,E$2,E$5)/Get_Margin(E$3,E$2,E$5,E$1))*Get_Margin(E$3,E$2,E$5,E$1))*$C$3,ROUNDDOWN((Client_Margin($B16)*Alloted(E$3,E$2,E$5)/Get_Margin(E$3,E$2,E$5,E$1)),0),ROUNDUP((Client_Margin($B16)*Alloted(E$3,E$2,E$5)/Get_Margin(E$3,E$2,E$5,E$1)),0)),"-")</f>
        <v>-</v>
      </c>
      <c r="F16" s="14" t="str" cm="1">
        <f t="array" ref="F16">IFERROR(IF(ROUNDUP((Client_Margin($B16)*Alloted(F$3,F$2,F$5)/Get_Margin(F$3,F$2,F$5,F$1)),0)*Get_Margin(F$3,F$2,F$5,F$1)&gt;((Client_Margin($B16)*Alloted(F$3,F$2,F$5)/Get_Margin(F$3,F$2,F$5,F$1))*Get_Margin(F$3,F$2,F$5,F$1))*$C$3,ROUNDDOWN((Client_Margin($B16)*Alloted(F$3,F$2,F$5)/Get_Margin(F$3,F$2,F$5,F$1)),0),ROUNDUP((Client_Margin($B16)*Alloted(F$3,F$2,F$5)/Get_Margin(F$3,F$2,F$5,F$1)),0)),"-")</f>
        <v>-</v>
      </c>
      <c r="G16" s="14" cm="1">
        <f t="array" ref="G16">IFERROR(IF(ROUNDUP((Client_Margin($B16)*Alloted(G$3,G$2,G$5)/Get_Margin(G$3,G$2,G$5,G$1)),0)*Get_Margin(G$3,G$2,G$5,G$1)&gt;((Client_Margin($B16)*Alloted(G$3,G$2,G$5)/Get_Margin(G$3,G$2,G$5,G$1))*Get_Margin(G$3,G$2,G$5,G$1))*$C$3,ROUNDDOWN((Client_Margin($B16)*Alloted(G$3,G$2,G$5)/Get_Margin(G$3,G$2,G$5,G$1)),0),ROUNDUP((Client_Margin($B16)*Alloted(G$3,G$2,G$5)/Get_Margin(G$3,G$2,G$5,G$1)),0)),"-")</f>
        <v>5</v>
      </c>
      <c r="H16" s="14" cm="1">
        <f t="array" ref="H16">IFERROR(IF(ROUNDUP((Client_Margin($B16)*Alloted(H$3,H$2,H$5)/Get_Margin(H$3,H$2,H$5,H$1)),0)*Get_Margin(H$3,H$2,H$5,H$1)&gt;((Client_Margin($B16)*Alloted(H$3,H$2,H$5)/Get_Margin(H$3,H$2,H$5,H$1))*Get_Margin(H$3,H$2,H$5,H$1))*$C$3,ROUNDDOWN((Client_Margin($B16)*Alloted(H$3,H$2,H$5)/Get_Margin(H$3,H$2,H$5,H$1)),0),ROUNDUP((Client_Margin($B16)*Alloted(H$3,H$2,H$5)/Get_Margin(H$3,H$2,H$5,H$1)),0)),"-")</f>
        <v>2</v>
      </c>
      <c r="I16" s="14" cm="1">
        <f t="array" ref="I16">IFERROR(IF(ROUNDUP((Client_Margin($B16)*Alloted(I$3,I$2,I$5)/Get_Margin(I$3,I$2,I$5,I$1)),0)*Get_Margin(I$3,I$2,I$5,I$1)&gt;((Client_Margin($B16)*Alloted(I$3,I$2,I$5)/Get_Margin(I$3,I$2,I$5,I$1))*Get_Margin(I$3,I$2,I$5,I$1))*$C$3,ROUNDDOWN((Client_Margin($B16)*Alloted(I$3,I$2,I$5)/Get_Margin(I$3,I$2,I$5,I$1)),0),ROUNDUP((Client_Margin($B16)*Alloted(I$3,I$2,I$5)/Get_Margin(I$3,I$2,I$5,I$1)),0)),"-")</f>
        <v>2</v>
      </c>
      <c r="J16" s="14" cm="1">
        <f t="array" ref="J16">IFERROR(IF(ROUNDUP((Client_Margin($B16)*Alloted(J$3,J$2,J$5)/Get_Margin(J$3,J$2,J$5,J$1)),0)*Get_Margin(J$3,J$2,J$5,J$1)&gt;((Client_Margin($B16)*Alloted(J$3,J$2,J$5)/Get_Margin(J$3,J$2,J$5,J$1))*Get_Margin(J$3,J$2,J$5,J$1))*$C$3,ROUNDDOWN((Client_Margin($B16)*Alloted(J$3,J$2,J$5)/Get_Margin(J$3,J$2,J$5,J$1)),0),ROUNDUP((Client_Margin($B16)*Alloted(J$3,J$2,J$5)/Get_Margin(J$3,J$2,J$5,J$1)),0)),"-")</f>
        <v>7</v>
      </c>
      <c r="K16" s="14" cm="1">
        <f t="array" ref="K16">IFERROR(IF(ROUNDUP((Client_Margin($B16)*Alloted(K$3,K$2,K$5)/Get_Margin(K$3,K$2,K$5,K$1)),0)*Get_Margin(K$3,K$2,K$5,K$1)&gt;((Client_Margin($B16)*Alloted(K$3,K$2,K$5)/Get_Margin(K$3,K$2,K$5,K$1))*Get_Margin(K$3,K$2,K$5,K$1))*$C$3,ROUNDDOWN((Client_Margin($B16)*Alloted(K$3,K$2,K$5)/Get_Margin(K$3,K$2,K$5,K$1)),0),ROUNDUP((Client_Margin($B16)*Alloted(K$3,K$2,K$5)/Get_Margin(K$3,K$2,K$5,K$1)),0)),"-")</f>
        <v>26</v>
      </c>
      <c r="L16" s="14" cm="1">
        <f t="array" ref="L16">IFERROR(IF(ROUNDUP((Client_Margin($B16)*Alloted(L$3,L$2,L$5)/Get_Margin(L$3,L$2,L$5,L$1)),0)*Get_Margin(L$3,L$2,L$5,L$1)&gt;((Client_Margin($B16)*Alloted(L$3,L$2,L$5)/Get_Margin(L$3,L$2,L$5,L$1))*Get_Margin(L$3,L$2,L$5,L$1))*$C$3,ROUNDDOWN((Client_Margin($B16)*Alloted(L$3,L$2,L$5)/Get_Margin(L$3,L$2,L$5,L$1)),0),ROUNDUP((Client_Margin($B16)*Alloted(L$3,L$2,L$5)/Get_Margin(L$3,L$2,L$5,L$1)),0)),"-")</f>
        <v>0</v>
      </c>
      <c r="M16" s="14" cm="1">
        <f t="array" ref="M16">IFERROR(IF(ROUNDUP((Client_Margin($B16)*Alloted(M$3,M$2,M$5)/Get_Margin(M$3,M$2,M$5,M$1)),0)*Get_Margin(M$3,M$2,M$5,M$1)&gt;((Client_Margin($B16)*Alloted(M$3,M$2,M$5)/Get_Margin(M$3,M$2,M$5,M$1))*Get_Margin(M$3,M$2,M$5,M$1))*$C$3,ROUNDDOWN((Client_Margin($B16)*Alloted(M$3,M$2,M$5)/Get_Margin(M$3,M$2,M$5,M$1)),0),ROUNDUP((Client_Margin($B16)*Alloted(M$3,M$2,M$5)/Get_Margin(M$3,M$2,M$5,M$1)),0)),"-")</f>
        <v>0</v>
      </c>
      <c r="N16" s="14" cm="1">
        <f t="array" ref="N16">IFERROR(IF(ROUNDUP((Client_Margin($B16)*Alloted(N$3,N$2,N$5)/Get_Margin(N$3,N$2,N$5,N$1)),0)*Get_Margin(N$3,N$2,N$5,N$1)&gt;((Client_Margin($B16)*Alloted(N$3,N$2,N$5)/Get_Margin(N$3,N$2,N$5,N$1))*Get_Margin(N$3,N$2,N$5,N$1))*$C$3,ROUNDDOWN((Client_Margin($B16)*Alloted(N$3,N$2,N$5)/Get_Margin(N$3,N$2,N$5,N$1)),0),ROUNDUP((Client_Margin($B16)*Alloted(N$3,N$2,N$5)/Get_Margin(N$3,N$2,N$5,N$1)),0)),"-")</f>
        <v>5</v>
      </c>
      <c r="O16" s="14" cm="1">
        <f t="array" ref="O16">IFERROR(IF(ROUNDUP((Client_Margin($B16)*Alloted(O$3,O$2,O$5)/Get_Margin(O$3,O$2,O$5,O$1)),0)*Get_Margin(O$3,O$2,O$5,O$1)&gt;((Client_Margin($B16)*Alloted(O$3,O$2,O$5)/Get_Margin(O$3,O$2,O$5,O$1))*Get_Margin(O$3,O$2,O$5,O$1))*$C$3,ROUNDDOWN((Client_Margin($B16)*Alloted(O$3,O$2,O$5)/Get_Margin(O$3,O$2,O$5,O$1)),0),ROUNDUP((Client_Margin($B16)*Alloted(O$3,O$2,O$5)/Get_Margin(O$3,O$2,O$5,O$1)),0)),"-")</f>
        <v>5</v>
      </c>
      <c r="P16" s="14" cm="1">
        <f t="array" ref="P16">IFERROR(IF(ROUNDUP((Client_Margin($B16)*Alloted(P$3,P$2,P$5)/Get_Margin(P$3,P$2,P$5,P$1)),0)*Get_Margin(P$3,P$2,P$5,P$1)&gt;((Client_Margin($B16)*Alloted(P$3,P$2,P$5)/Get_Margin(P$3,P$2,P$5,P$1))*Get_Margin(P$3,P$2,P$5,P$1))*$C$3,ROUNDDOWN((Client_Margin($B16)*Alloted(P$3,P$2,P$5)/Get_Margin(P$3,P$2,P$5,P$1)),0),ROUNDUP((Client_Margin($B16)*Alloted(P$3,P$2,P$5)/Get_Margin(P$3,P$2,P$5,P$1)),0)),"-")</f>
        <v>5</v>
      </c>
    </row>
    <row r="17" spans="1:16" hidden="1" x14ac:dyDescent="0.25">
      <c r="A17">
        <f t="shared" si="1"/>
        <v>0</v>
      </c>
      <c r="B17" s="14"/>
      <c r="C17" s="14"/>
      <c r="D17" s="15">
        <f>SUM(E17:P17)</f>
        <v>0.96825714285714293</v>
      </c>
      <c r="E17" s="15" t="str" cm="1">
        <f t="array" ref="E17">IFERROR((_xlfn._xlws.FILTER(INDEX(Margin[],0,MATCH(E$1&amp;"_"&amp;E$3,Margin[#Headers],0)),(Margin[Index]=E$2)*(Margin[Strategy]=E$5))*E16)/Client_Margin($B16),"-")</f>
        <v>-</v>
      </c>
      <c r="F17" s="15" t="str" cm="1">
        <f t="array" ref="F17">IFERROR((_xlfn._xlws.FILTER(INDEX(Margin[],0,MATCH(F$1&amp;"_"&amp;F$3,Margin[#Headers],0)),(Margin[Index]=F$2)*(Margin[Strategy]=F$5))*F16)/Client_Margin($B16),"-")</f>
        <v>-</v>
      </c>
      <c r="G17" s="15" cm="1">
        <f t="array" ref="G17">IFERROR((_xlfn._xlws.FILTER(INDEX(Margin[],0,MATCH(G$1&amp;"_"&amp;G$3,Margin[#Headers],0)),(Margin[Index]=G$2)*(Margin[Strategy]=G$5))*G16)/Client_Margin($B16),"-")</f>
        <v>9.9428571428571422E-2</v>
      </c>
      <c r="H17" s="15" cm="1">
        <f t="array" ref="H17">IFERROR((_xlfn._xlws.FILTER(INDEX(Margin[],0,MATCH(H$1&amp;"_"&amp;H$3,Margin[#Headers],0)),(Margin[Index]=H$2)*(Margin[Strategy]=H$5))*H16)/Client_Margin($B16),"-")</f>
        <v>0.10697142857142856</v>
      </c>
      <c r="I17" s="15" cm="1">
        <f t="array" ref="I17">IFERROR((_xlfn._xlws.FILTER(INDEX(Margin[],0,MATCH(I$1&amp;"_"&amp;I$3,Margin[#Headers],0)),(Margin[Index]=I$2)*(Margin[Strategy]=I$5))*I16)/Client_Margin($B16),"-")</f>
        <v>9.1428571428571428E-2</v>
      </c>
      <c r="J17" s="15" cm="1">
        <f t="array" ref="J17">IFERROR((_xlfn._xlws.FILTER(INDEX(Margin[],0,MATCH(J$1&amp;"_"&amp;J$3,Margin[#Headers],0)),(Margin[Index]=J$2)*(Margin[Strategy]=J$5))*J16)/Client_Margin($B16),"-")</f>
        <v>0.111</v>
      </c>
      <c r="K17" s="15" cm="1">
        <f t="array" ref="K17">IFERROR((_xlfn._xlws.FILTER(INDEX(Margin[],0,MATCH(K$1&amp;"_"&amp;K$3,Margin[#Headers],0)),(Margin[Index]=K$2)*(Margin[Strategy]=K$5))*K16)/Client_Margin($B16),"-")</f>
        <v>0.41228571428571431</v>
      </c>
      <c r="L17" s="15" cm="1">
        <f t="array" ref="L17">IFERROR((_xlfn._xlws.FILTER(INDEX(Margin[],0,MATCH(L$1&amp;"_"&amp;L$3,Margin[#Headers],0)),(Margin[Index]=L$2)*(Margin[Strategy]=L$5))*L16)/Client_Margin($B16),"-")</f>
        <v>0</v>
      </c>
      <c r="M17" s="15" cm="1">
        <f t="array" ref="M17">IFERROR((_xlfn._xlws.FILTER(INDEX(Margin[],0,MATCH(M$1&amp;"_"&amp;M$3,Margin[#Headers],0)),(Margin[Index]=M$2)*(Margin[Strategy]=M$5))*M16)/Client_Margin($B16),"-")</f>
        <v>0</v>
      </c>
      <c r="N17" s="15" cm="1">
        <f t="array" ref="N17">IFERROR((_xlfn._xlws.FILTER(INDEX(Margin[],0,MATCH(N$1&amp;"_"&amp;N$3,Margin[#Headers],0)),(Margin[Index]=N$2)*(Margin[Strategy]=N$5))*N16)/Client_Margin($B16),"-")</f>
        <v>0.05</v>
      </c>
      <c r="O17" s="15" cm="1">
        <f t="array" ref="O17">IFERROR((_xlfn._xlws.FILTER(INDEX(Margin[],0,MATCH(O$1&amp;"_"&amp;O$3,Margin[#Headers],0)),(Margin[Index]=O$2)*(Margin[Strategy]=O$5))*O16)/Client_Margin($B16),"-")</f>
        <v>4.8571428571428571E-2</v>
      </c>
      <c r="P17" s="15" cm="1">
        <f t="array" ref="P17">IFERROR((_xlfn._xlws.FILTER(INDEX(Margin[],0,MATCH(P$1&amp;"_"&amp;P$3,Margin[#Headers],0)),(Margin[Index]=P$2)*(Margin[Strategy]=P$5))*P16)/Client_Margin($B16),"-")</f>
        <v>4.8571428571428571E-2</v>
      </c>
    </row>
    <row r="18" spans="1:16" x14ac:dyDescent="0.25">
      <c r="A18">
        <f t="shared" si="1"/>
        <v>1</v>
      </c>
      <c r="B18" s="14" t="s">
        <v>28</v>
      </c>
      <c r="C18" s="14" cm="1">
        <f t="array" ref="C18">(_xlfn._xlws.FILTER(Fund[Margin],Fund[Client Id]=B18))/10000000</f>
        <v>2.8</v>
      </c>
      <c r="D18" s="17"/>
      <c r="E18" s="14" t="str" cm="1">
        <f t="array" ref="E18">IFERROR(IF(ROUNDUP((Client_Margin($B18)*Alloted(E$3,E$2,E$5)/Get_Margin(E$3,E$2,E$5,E$1)),0)*Get_Margin(E$3,E$2,E$5,E$1)&gt;((Client_Margin($B18)*Alloted(E$3,E$2,E$5)/Get_Margin(E$3,E$2,E$5,E$1))*Get_Margin(E$3,E$2,E$5,E$1))*$C$3,ROUNDDOWN((Client_Margin($B18)*Alloted(E$3,E$2,E$5)/Get_Margin(E$3,E$2,E$5,E$1)),0),ROUNDUP((Client_Margin($B18)*Alloted(E$3,E$2,E$5)/Get_Margin(E$3,E$2,E$5,E$1)),0)),"-")</f>
        <v>-</v>
      </c>
      <c r="F18" s="14" t="str" cm="1">
        <f t="array" ref="F18">IFERROR(IF(ROUNDUP((Client_Margin($B18)*Alloted(F$3,F$2,F$5)/Get_Margin(F$3,F$2,F$5,F$1)),0)*Get_Margin(F$3,F$2,F$5,F$1)&gt;((Client_Margin($B18)*Alloted(F$3,F$2,F$5)/Get_Margin(F$3,F$2,F$5,F$1))*Get_Margin(F$3,F$2,F$5,F$1))*$C$3,ROUNDDOWN((Client_Margin($B18)*Alloted(F$3,F$2,F$5)/Get_Margin(F$3,F$2,F$5,F$1)),0),ROUNDUP((Client_Margin($B18)*Alloted(F$3,F$2,F$5)/Get_Margin(F$3,F$2,F$5,F$1)),0)),"-")</f>
        <v>-</v>
      </c>
      <c r="G18" s="14" cm="1">
        <f t="array" ref="G18">IFERROR(IF(ROUNDUP((Client_Margin($B18)*Alloted(G$3,G$2,G$5)/Get_Margin(G$3,G$2,G$5,G$1)),0)*Get_Margin(G$3,G$2,G$5,G$1)&gt;((Client_Margin($B18)*Alloted(G$3,G$2,G$5)/Get_Margin(G$3,G$2,G$5,G$1))*Get_Margin(G$3,G$2,G$5,G$1))*$C$3,ROUNDDOWN((Client_Margin($B18)*Alloted(G$3,G$2,G$5)/Get_Margin(G$3,G$2,G$5,G$1)),0),ROUNDUP((Client_Margin($B18)*Alloted(G$3,G$2,G$5)/Get_Margin(G$3,G$2,G$5,G$1)),0)),"-")</f>
        <v>4</v>
      </c>
      <c r="H18" s="14" cm="1">
        <f t="array" ref="H18">IFERROR(IF(ROUNDUP((Client_Margin($B18)*Alloted(H$3,H$2,H$5)/Get_Margin(H$3,H$2,H$5,H$1)),0)*Get_Margin(H$3,H$2,H$5,H$1)&gt;((Client_Margin($B18)*Alloted(H$3,H$2,H$5)/Get_Margin(H$3,H$2,H$5,H$1))*Get_Margin(H$3,H$2,H$5,H$1))*$C$3,ROUNDDOWN((Client_Margin($B18)*Alloted(H$3,H$2,H$5)/Get_Margin(H$3,H$2,H$5,H$1)),0),ROUNDUP((Client_Margin($B18)*Alloted(H$3,H$2,H$5)/Get_Margin(H$3,H$2,H$5,H$1)),0)),"-")</f>
        <v>1</v>
      </c>
      <c r="I18" s="14" cm="1">
        <f t="array" ref="I18">IFERROR(IF(ROUNDUP((Client_Margin($B18)*Alloted(I$3,I$2,I$5)/Get_Margin(I$3,I$2,I$5,I$1)),0)*Get_Margin(I$3,I$2,I$5,I$1)&gt;((Client_Margin($B18)*Alloted(I$3,I$2,I$5)/Get_Margin(I$3,I$2,I$5,I$1))*Get_Margin(I$3,I$2,I$5,I$1))*$C$3,ROUNDDOWN((Client_Margin($B18)*Alloted(I$3,I$2,I$5)/Get_Margin(I$3,I$2,I$5,I$1)),0),ROUNDUP((Client_Margin($B18)*Alloted(I$3,I$2,I$5)/Get_Margin(I$3,I$2,I$5,I$1)),0)),"-")</f>
        <v>2</v>
      </c>
      <c r="J18" s="14" cm="1">
        <f t="array" ref="J18">IFERROR(IF(ROUNDUP((Client_Margin($B18)*Alloted(J$3,J$2,J$5)/Get_Margin(J$3,J$2,J$5,J$1)),0)*Get_Margin(J$3,J$2,J$5,J$1)&gt;((Client_Margin($B18)*Alloted(J$3,J$2,J$5)/Get_Margin(J$3,J$2,J$5,J$1))*Get_Margin(J$3,J$2,J$5,J$1))*$C$3,ROUNDDOWN((Client_Margin($B18)*Alloted(J$3,J$2,J$5)/Get_Margin(J$3,J$2,J$5,J$1)),0),ROUNDUP((Client_Margin($B18)*Alloted(J$3,J$2,J$5)/Get_Margin(J$3,J$2,J$5,J$1)),0)),"-")</f>
        <v>5</v>
      </c>
      <c r="K18" s="14" cm="1">
        <f t="array" ref="K18">IFERROR(IF(ROUNDUP((Client_Margin($B18)*Alloted(K$3,K$2,K$5)/Get_Margin(K$3,K$2,K$5,K$1)),0)*Get_Margin(K$3,K$2,K$5,K$1)&gt;((Client_Margin($B18)*Alloted(K$3,K$2,K$5)/Get_Margin(K$3,K$2,K$5,K$1))*Get_Margin(K$3,K$2,K$5,K$1))*$C$3,ROUNDDOWN((Client_Margin($B18)*Alloted(K$3,K$2,K$5)/Get_Margin(K$3,K$2,K$5,K$1)),0),ROUNDUP((Client_Margin($B18)*Alloted(K$3,K$2,K$5)/Get_Margin(K$3,K$2,K$5,K$1)),0)),"-")</f>
        <v>21</v>
      </c>
      <c r="L18" s="14" cm="1">
        <f t="array" ref="L18">IFERROR(IF(ROUNDUP((Client_Margin($B18)*Alloted(L$3,L$2,L$5)/Get_Margin(L$3,L$2,L$5,L$1)),0)*Get_Margin(L$3,L$2,L$5,L$1)&gt;((Client_Margin($B18)*Alloted(L$3,L$2,L$5)/Get_Margin(L$3,L$2,L$5,L$1))*Get_Margin(L$3,L$2,L$5,L$1))*$C$3,ROUNDDOWN((Client_Margin($B18)*Alloted(L$3,L$2,L$5)/Get_Margin(L$3,L$2,L$5,L$1)),0),ROUNDUP((Client_Margin($B18)*Alloted(L$3,L$2,L$5)/Get_Margin(L$3,L$2,L$5,L$1)),0)),"-")</f>
        <v>0</v>
      </c>
      <c r="M18" s="14" cm="1">
        <f t="array" ref="M18">IFERROR(IF(ROUNDUP((Client_Margin($B18)*Alloted(M$3,M$2,M$5)/Get_Margin(M$3,M$2,M$5,M$1)),0)*Get_Margin(M$3,M$2,M$5,M$1)&gt;((Client_Margin($B18)*Alloted(M$3,M$2,M$5)/Get_Margin(M$3,M$2,M$5,M$1))*Get_Margin(M$3,M$2,M$5,M$1))*$C$3,ROUNDDOWN((Client_Margin($B18)*Alloted(M$3,M$2,M$5)/Get_Margin(M$3,M$2,M$5,M$1)),0),ROUNDUP((Client_Margin($B18)*Alloted(M$3,M$2,M$5)/Get_Margin(M$3,M$2,M$5,M$1)),0)),"-")</f>
        <v>0</v>
      </c>
      <c r="N18" s="14" cm="1">
        <f t="array" ref="N18">IFERROR(IF(ROUNDUP((Client_Margin($B18)*Alloted(N$3,N$2,N$5)/Get_Margin(N$3,N$2,N$5,N$1)),0)*Get_Margin(N$3,N$2,N$5,N$1)&gt;((Client_Margin($B18)*Alloted(N$3,N$2,N$5)/Get_Margin(N$3,N$2,N$5,N$1))*Get_Margin(N$3,N$2,N$5,N$1))*$C$3,ROUNDDOWN((Client_Margin($B18)*Alloted(N$3,N$2,N$5)/Get_Margin(N$3,N$2,N$5,N$1)),0),ROUNDUP((Client_Margin($B18)*Alloted(N$3,N$2,N$5)/Get_Margin(N$3,N$2,N$5,N$1)),0)),"-")</f>
        <v>4</v>
      </c>
      <c r="O18" s="14" cm="1">
        <f t="array" ref="O18">IFERROR(IF(ROUNDUP((Client_Margin($B18)*Alloted(O$3,O$2,O$5)/Get_Margin(O$3,O$2,O$5,O$1)),0)*Get_Margin(O$3,O$2,O$5,O$1)&gt;((Client_Margin($B18)*Alloted(O$3,O$2,O$5)/Get_Margin(O$3,O$2,O$5,O$1))*Get_Margin(O$3,O$2,O$5,O$1))*$C$3,ROUNDDOWN((Client_Margin($B18)*Alloted(O$3,O$2,O$5)/Get_Margin(O$3,O$2,O$5,O$1)),0),ROUNDUP((Client_Margin($B18)*Alloted(O$3,O$2,O$5)/Get_Margin(O$3,O$2,O$5,O$1)),0)),"-")</f>
        <v>4</v>
      </c>
      <c r="P18" s="14" cm="1">
        <f t="array" ref="P18">IFERROR(IF(ROUNDUP((Client_Margin($B18)*Alloted(P$3,P$2,P$5)/Get_Margin(P$3,P$2,P$5,P$1)),0)*Get_Margin(P$3,P$2,P$5,P$1)&gt;((Client_Margin($B18)*Alloted(P$3,P$2,P$5)/Get_Margin(P$3,P$2,P$5,P$1))*Get_Margin(P$3,P$2,P$5,P$1))*$C$3,ROUNDDOWN((Client_Margin($B18)*Alloted(P$3,P$2,P$5)/Get_Margin(P$3,P$2,P$5,P$1)),0),ROUNDUP((Client_Margin($B18)*Alloted(P$3,P$2,P$5)/Get_Margin(P$3,P$2,P$5,P$1)),0)),"-")</f>
        <v>4</v>
      </c>
    </row>
    <row r="19" spans="1:16" hidden="1" x14ac:dyDescent="0.25">
      <c r="A19">
        <f t="shared" si="1"/>
        <v>0</v>
      </c>
      <c r="B19" s="14"/>
      <c r="C19" s="14"/>
      <c r="D19" s="15">
        <f>SUM(E19:P19)</f>
        <v>0.94307142857142856</v>
      </c>
      <c r="E19" s="15" t="str" cm="1">
        <f t="array" ref="E19">IFERROR((_xlfn._xlws.FILTER(INDEX(Margin[],0,MATCH(E$1&amp;"_"&amp;E$3,Margin[#Headers],0)),(Margin[Index]=E$2)*(Margin[Strategy]=E$5))*E18)/Client_Margin($B18),"-")</f>
        <v>-</v>
      </c>
      <c r="F19" s="15" t="str" cm="1">
        <f t="array" ref="F19">IFERROR((_xlfn._xlws.FILTER(INDEX(Margin[],0,MATCH(F$1&amp;"_"&amp;F$3,Margin[#Headers],0)),(Margin[Index]=F$2)*(Margin[Strategy]=F$5))*F18)/Client_Margin($B18),"-")</f>
        <v>-</v>
      </c>
      <c r="G19" s="15" cm="1">
        <f t="array" ref="G19">IFERROR((_xlfn._xlws.FILTER(INDEX(Margin[],0,MATCH(G$1&amp;"_"&amp;G$3,Margin[#Headers],0)),(Margin[Index]=G$2)*(Margin[Strategy]=G$5))*G18)/Client_Margin($B18),"-")</f>
        <v>9.9428571428571422E-2</v>
      </c>
      <c r="H19" s="15" cm="1">
        <f t="array" ref="H19">IFERROR((_xlfn._xlws.FILTER(INDEX(Margin[],0,MATCH(H$1&amp;"_"&amp;H$3,Margin[#Headers],0)),(Margin[Index]=H$2)*(Margin[Strategy]=H$5))*H18)/Client_Margin($B18),"-")</f>
        <v>6.6857142857142851E-2</v>
      </c>
      <c r="I19" s="15" cm="1">
        <f t="array" ref="I19">IFERROR((_xlfn._xlws.FILTER(INDEX(Margin[],0,MATCH(I$1&amp;"_"&amp;I$3,Margin[#Headers],0)),(Margin[Index]=I$2)*(Margin[Strategy]=I$5))*I18)/Client_Margin($B18),"-")</f>
        <v>0.11428571428571428</v>
      </c>
      <c r="J19" s="15" cm="1">
        <f t="array" ref="J19">IFERROR((_xlfn._xlws.FILTER(INDEX(Margin[],0,MATCH(J$1&amp;"_"&amp;J$3,Margin[#Headers],0)),(Margin[Index]=J$2)*(Margin[Strategy]=J$5))*J18)/Client_Margin($B18),"-")</f>
        <v>9.9107142857142852E-2</v>
      </c>
      <c r="K19" s="15" cm="1">
        <f t="array" ref="K19">IFERROR((_xlfn._xlws.FILTER(INDEX(Margin[],0,MATCH(K$1&amp;"_"&amp;K$3,Margin[#Headers],0)),(Margin[Index]=K$2)*(Margin[Strategy]=K$5))*K18)/Client_Margin($B18),"-")</f>
        <v>0.41625000000000001</v>
      </c>
      <c r="L19" s="15" cm="1">
        <f t="array" ref="L19">IFERROR((_xlfn._xlws.FILTER(INDEX(Margin[],0,MATCH(L$1&amp;"_"&amp;L$3,Margin[#Headers],0)),(Margin[Index]=L$2)*(Margin[Strategy]=L$5))*L18)/Client_Margin($B18),"-")</f>
        <v>0</v>
      </c>
      <c r="M19" s="15" cm="1">
        <f t="array" ref="M19">IFERROR((_xlfn._xlws.FILTER(INDEX(Margin[],0,MATCH(M$1&amp;"_"&amp;M$3,Margin[#Headers],0)),(Margin[Index]=M$2)*(Margin[Strategy]=M$5))*M18)/Client_Margin($B18),"-")</f>
        <v>0</v>
      </c>
      <c r="N19" s="15" cm="1">
        <f t="array" ref="N19">IFERROR((_xlfn._xlws.FILTER(INDEX(Margin[],0,MATCH(N$1&amp;"_"&amp;N$3,Margin[#Headers],0)),(Margin[Index]=N$2)*(Margin[Strategy]=N$5))*N18)/Client_Margin($B18),"-")</f>
        <v>0.05</v>
      </c>
      <c r="O19" s="15" cm="1">
        <f t="array" ref="O19">IFERROR((_xlfn._xlws.FILTER(INDEX(Margin[],0,MATCH(O$1&amp;"_"&amp;O$3,Margin[#Headers],0)),(Margin[Index]=O$2)*(Margin[Strategy]=O$5))*O18)/Client_Margin($B18),"-")</f>
        <v>4.8571428571428571E-2</v>
      </c>
      <c r="P19" s="15" cm="1">
        <f t="array" ref="P19">IFERROR((_xlfn._xlws.FILTER(INDEX(Margin[],0,MATCH(P$1&amp;"_"&amp;P$3,Margin[#Headers],0)),(Margin[Index]=P$2)*(Margin[Strategy]=P$5))*P18)/Client_Margin($B18),"-")</f>
        <v>4.8571428571428571E-2</v>
      </c>
    </row>
    <row r="20" spans="1:16" x14ac:dyDescent="0.25">
      <c r="A20">
        <f t="shared" si="1"/>
        <v>1</v>
      </c>
      <c r="B20" s="14" t="s">
        <v>48</v>
      </c>
      <c r="C20" s="14" cm="1">
        <f t="array" ref="C20">(_xlfn._xlws.FILTER(Fund[Margin],Fund[Client Id]=B20))/10000000</f>
        <v>2.9</v>
      </c>
      <c r="D20" s="17"/>
      <c r="E20" s="14" t="str" cm="1">
        <f t="array" ref="E20">IFERROR(IF(ROUNDUP((Client_Margin($B20)*Alloted(E$3,E$2,E$5)/Get_Margin(E$3,E$2,E$5,E$1)),0)*Get_Margin(E$3,E$2,E$5,E$1)&gt;((Client_Margin($B20)*Alloted(E$3,E$2,E$5)/Get_Margin(E$3,E$2,E$5,E$1))*Get_Margin(E$3,E$2,E$5,E$1))*$C$3,ROUNDDOWN((Client_Margin($B20)*Alloted(E$3,E$2,E$5)/Get_Margin(E$3,E$2,E$5,E$1)),0),ROUNDUP((Client_Margin($B20)*Alloted(E$3,E$2,E$5)/Get_Margin(E$3,E$2,E$5,E$1)),0)),"-")</f>
        <v>-</v>
      </c>
      <c r="F20" s="14" t="str" cm="1">
        <f t="array" ref="F20">IFERROR(IF(ROUNDUP((Client_Margin($B20)*Alloted(F$3,F$2,F$5)/Get_Margin(F$3,F$2,F$5,F$1)),0)*Get_Margin(F$3,F$2,F$5,F$1)&gt;((Client_Margin($B20)*Alloted(F$3,F$2,F$5)/Get_Margin(F$3,F$2,F$5,F$1))*Get_Margin(F$3,F$2,F$5,F$1))*$C$3,ROUNDDOWN((Client_Margin($B20)*Alloted(F$3,F$2,F$5)/Get_Margin(F$3,F$2,F$5,F$1)),0),ROUNDUP((Client_Margin($B20)*Alloted(F$3,F$2,F$5)/Get_Margin(F$3,F$2,F$5,F$1)),0)),"-")</f>
        <v>-</v>
      </c>
      <c r="G20" s="14" cm="1">
        <f t="array" ref="G20">IFERROR(IF(ROUNDUP((Client_Margin($B20)*Alloted(G$3,G$2,G$5)/Get_Margin(G$3,G$2,G$5,G$1)),0)*Get_Margin(G$3,G$2,G$5,G$1)&gt;((Client_Margin($B20)*Alloted(G$3,G$2,G$5)/Get_Margin(G$3,G$2,G$5,G$1))*Get_Margin(G$3,G$2,G$5,G$1))*$C$3,ROUNDDOWN((Client_Margin($B20)*Alloted(G$3,G$2,G$5)/Get_Margin(G$3,G$2,G$5,G$1)),0),ROUNDUP((Client_Margin($B20)*Alloted(G$3,G$2,G$5)/Get_Margin(G$3,G$2,G$5,G$1)),0)),"-")</f>
        <v>4</v>
      </c>
      <c r="H20" s="14" cm="1">
        <f t="array" ref="H20">IFERROR(IF(ROUNDUP((Client_Margin($B20)*Alloted(H$3,H$2,H$5)/Get_Margin(H$3,H$2,H$5,H$1)),0)*Get_Margin(H$3,H$2,H$5,H$1)&gt;((Client_Margin($B20)*Alloted(H$3,H$2,H$5)/Get_Margin(H$3,H$2,H$5,H$1))*Get_Margin(H$3,H$2,H$5,H$1))*$C$3,ROUNDDOWN((Client_Margin($B20)*Alloted(H$3,H$2,H$5)/Get_Margin(H$3,H$2,H$5,H$1)),0),ROUNDUP((Client_Margin($B20)*Alloted(H$3,H$2,H$5)/Get_Margin(H$3,H$2,H$5,H$1)),0)),"-")</f>
        <v>1</v>
      </c>
      <c r="I20" s="14" cm="1">
        <f t="array" ref="I20">IFERROR(IF(ROUNDUP((Client_Margin($B20)*Alloted(I$3,I$2,I$5)/Get_Margin(I$3,I$2,I$5,I$1)),0)*Get_Margin(I$3,I$2,I$5,I$1)&gt;((Client_Margin($B20)*Alloted(I$3,I$2,I$5)/Get_Margin(I$3,I$2,I$5,I$1))*Get_Margin(I$3,I$2,I$5,I$1))*$C$3,ROUNDDOWN((Client_Margin($B20)*Alloted(I$3,I$2,I$5)/Get_Margin(I$3,I$2,I$5,I$1)),0),ROUNDUP((Client_Margin($B20)*Alloted(I$3,I$2,I$5)/Get_Margin(I$3,I$2,I$5,I$1)),0)),"-")</f>
        <v>2</v>
      </c>
      <c r="J20" s="14" cm="1">
        <f t="array" ref="J20">IFERROR(IF(ROUNDUP((Client_Margin($B20)*Alloted(J$3,J$2,J$5)/Get_Margin(J$3,J$2,J$5,J$1)),0)*Get_Margin(J$3,J$2,J$5,J$1)&gt;((Client_Margin($B20)*Alloted(J$3,J$2,J$5)/Get_Margin(J$3,J$2,J$5,J$1))*Get_Margin(J$3,J$2,J$5,J$1))*$C$3,ROUNDDOWN((Client_Margin($B20)*Alloted(J$3,J$2,J$5)/Get_Margin(J$3,J$2,J$5,J$1)),0),ROUNDUP((Client_Margin($B20)*Alloted(J$3,J$2,J$5)/Get_Margin(J$3,J$2,J$5,J$1)),0)),"-")</f>
        <v>6</v>
      </c>
      <c r="K20" s="14" cm="1">
        <f t="array" ref="K20">IFERROR(IF(ROUNDUP((Client_Margin($B20)*Alloted(K$3,K$2,K$5)/Get_Margin(K$3,K$2,K$5,K$1)),0)*Get_Margin(K$3,K$2,K$5,K$1)&gt;((Client_Margin($B20)*Alloted(K$3,K$2,K$5)/Get_Margin(K$3,K$2,K$5,K$1))*Get_Margin(K$3,K$2,K$5,K$1))*$C$3,ROUNDDOWN((Client_Margin($B20)*Alloted(K$3,K$2,K$5)/Get_Margin(K$3,K$2,K$5,K$1)),0),ROUNDUP((Client_Margin($B20)*Alloted(K$3,K$2,K$5)/Get_Margin(K$3,K$2,K$5,K$1)),0)),"-")</f>
        <v>21</v>
      </c>
      <c r="L20" s="14" cm="1">
        <f t="array" ref="L20">IFERROR(IF(ROUNDUP((Client_Margin($B20)*Alloted(L$3,L$2,L$5)/Get_Margin(L$3,L$2,L$5,L$1)),0)*Get_Margin(L$3,L$2,L$5,L$1)&gt;((Client_Margin($B20)*Alloted(L$3,L$2,L$5)/Get_Margin(L$3,L$2,L$5,L$1))*Get_Margin(L$3,L$2,L$5,L$1))*$C$3,ROUNDDOWN((Client_Margin($B20)*Alloted(L$3,L$2,L$5)/Get_Margin(L$3,L$2,L$5,L$1)),0),ROUNDUP((Client_Margin($B20)*Alloted(L$3,L$2,L$5)/Get_Margin(L$3,L$2,L$5,L$1)),0)),"-")</f>
        <v>0</v>
      </c>
      <c r="M20" s="14" cm="1">
        <f t="array" ref="M20">IFERROR(IF(ROUNDUP((Client_Margin($B20)*Alloted(M$3,M$2,M$5)/Get_Margin(M$3,M$2,M$5,M$1)),0)*Get_Margin(M$3,M$2,M$5,M$1)&gt;((Client_Margin($B20)*Alloted(M$3,M$2,M$5)/Get_Margin(M$3,M$2,M$5,M$1))*Get_Margin(M$3,M$2,M$5,M$1))*$C$3,ROUNDDOWN((Client_Margin($B20)*Alloted(M$3,M$2,M$5)/Get_Margin(M$3,M$2,M$5,M$1)),0),ROUNDUP((Client_Margin($B20)*Alloted(M$3,M$2,M$5)/Get_Margin(M$3,M$2,M$5,M$1)),0)),"-")</f>
        <v>0</v>
      </c>
      <c r="N20" s="14" cm="1">
        <f t="array" ref="N20">IFERROR(IF(ROUNDUP((Client_Margin($B20)*Alloted(N$3,N$2,N$5)/Get_Margin(N$3,N$2,N$5,N$1)),0)*Get_Margin(N$3,N$2,N$5,N$1)&gt;((Client_Margin($B20)*Alloted(N$3,N$2,N$5)/Get_Margin(N$3,N$2,N$5,N$1))*Get_Margin(N$3,N$2,N$5,N$1))*$C$3,ROUNDDOWN((Client_Margin($B20)*Alloted(N$3,N$2,N$5)/Get_Margin(N$3,N$2,N$5,N$1)),0),ROUNDUP((Client_Margin($B20)*Alloted(N$3,N$2,N$5)/Get_Margin(N$3,N$2,N$5,N$1)),0)),"-")</f>
        <v>4</v>
      </c>
      <c r="O20" s="14" cm="1">
        <f t="array" ref="O20">IFERROR(IF(ROUNDUP((Client_Margin($B20)*Alloted(O$3,O$2,O$5)/Get_Margin(O$3,O$2,O$5,O$1)),0)*Get_Margin(O$3,O$2,O$5,O$1)&gt;((Client_Margin($B20)*Alloted(O$3,O$2,O$5)/Get_Margin(O$3,O$2,O$5,O$1))*Get_Margin(O$3,O$2,O$5,O$1))*$C$3,ROUNDDOWN((Client_Margin($B20)*Alloted(O$3,O$2,O$5)/Get_Margin(O$3,O$2,O$5,O$1)),0),ROUNDUP((Client_Margin($B20)*Alloted(O$3,O$2,O$5)/Get_Margin(O$3,O$2,O$5,O$1)),0)),"-")</f>
        <v>4</v>
      </c>
      <c r="P20" s="14" cm="1">
        <f t="array" ref="P20">IFERROR(IF(ROUNDUP((Client_Margin($B20)*Alloted(P$3,P$2,P$5)/Get_Margin(P$3,P$2,P$5,P$1)),0)*Get_Margin(P$3,P$2,P$5,P$1)&gt;((Client_Margin($B20)*Alloted(P$3,P$2,P$5)/Get_Margin(P$3,P$2,P$5,P$1))*Get_Margin(P$3,P$2,P$5,P$1))*$C$3,ROUNDDOWN((Client_Margin($B20)*Alloted(P$3,P$2,P$5)/Get_Margin(P$3,P$2,P$5,P$1)),0),ROUNDUP((Client_Margin($B20)*Alloted(P$3,P$2,P$5)/Get_Margin(P$3,P$2,P$5,P$1)),0)),"-")</f>
        <v>4</v>
      </c>
    </row>
    <row r="21" spans="1:16" hidden="1" x14ac:dyDescent="0.25">
      <c r="A21">
        <f t="shared" si="1"/>
        <v>0</v>
      </c>
      <c r="B21" s="14"/>
      <c r="C21" s="14"/>
      <c r="D21" s="15">
        <f>SUM(E21:P21)</f>
        <v>0.92968965517241386</v>
      </c>
      <c r="E21" s="15" t="str" cm="1">
        <f t="array" ref="E21">IFERROR((_xlfn._xlws.FILTER(INDEX(Margin[],0,MATCH(E$1&amp;"_"&amp;E$3,Margin[#Headers],0)),(Margin[Index]=E$2)*(Margin[Strategy]=E$5))*E20)/Client_Margin($B20),"-")</f>
        <v>-</v>
      </c>
      <c r="F21" s="15" t="str" cm="1">
        <f t="array" ref="F21">IFERROR((_xlfn._xlws.FILTER(INDEX(Margin[],0,MATCH(F$1&amp;"_"&amp;F$3,Margin[#Headers],0)),(Margin[Index]=F$2)*(Margin[Strategy]=F$5))*F20)/Client_Margin($B20),"-")</f>
        <v>-</v>
      </c>
      <c r="G21" s="15" cm="1">
        <f t="array" ref="G21">IFERROR((_xlfn._xlws.FILTER(INDEX(Margin[],0,MATCH(G$1&amp;"_"&amp;G$3,Margin[#Headers],0)),(Margin[Index]=G$2)*(Margin[Strategy]=G$5))*G20)/Client_Margin($B20),"-")</f>
        <v>9.6000000000000002E-2</v>
      </c>
      <c r="H21" s="15" cm="1">
        <f t="array" ref="H21">IFERROR((_xlfn._xlws.FILTER(INDEX(Margin[],0,MATCH(H$1&amp;"_"&amp;H$3,Margin[#Headers],0)),(Margin[Index]=H$2)*(Margin[Strategy]=H$5))*H20)/Client_Margin($B20),"-")</f>
        <v>6.4551724137931032E-2</v>
      </c>
      <c r="I21" s="15" cm="1">
        <f t="array" ref="I21">IFERROR((_xlfn._xlws.FILTER(INDEX(Margin[],0,MATCH(I$1&amp;"_"&amp;I$3,Margin[#Headers],0)),(Margin[Index]=I$2)*(Margin[Strategy]=I$5))*I20)/Client_Margin($B20),"-")</f>
        <v>0.1103448275862069</v>
      </c>
      <c r="J21" s="15" cm="1">
        <f t="array" ref="J21">IFERROR((_xlfn._xlws.FILTER(INDEX(Margin[],0,MATCH(J$1&amp;"_"&amp;J$3,Margin[#Headers],0)),(Margin[Index]=J$2)*(Margin[Strategy]=J$5))*J20)/Client_Margin($B20),"-")</f>
        <v>0.11482758620689655</v>
      </c>
      <c r="K21" s="15" cm="1">
        <f t="array" ref="K21">IFERROR((_xlfn._xlws.FILTER(INDEX(Margin[],0,MATCH(K$1&amp;"_"&amp;K$3,Margin[#Headers],0)),(Margin[Index]=K$2)*(Margin[Strategy]=K$5))*K20)/Client_Margin($B20),"-")</f>
        <v>0.40189655172413791</v>
      </c>
      <c r="L21" s="15" cm="1">
        <f t="array" ref="L21">IFERROR((_xlfn._xlws.FILTER(INDEX(Margin[],0,MATCH(L$1&amp;"_"&amp;L$3,Margin[#Headers],0)),(Margin[Index]=L$2)*(Margin[Strategy]=L$5))*L20)/Client_Margin($B20),"-")</f>
        <v>0</v>
      </c>
      <c r="M21" s="15" cm="1">
        <f t="array" ref="M21">IFERROR((_xlfn._xlws.FILTER(INDEX(Margin[],0,MATCH(M$1&amp;"_"&amp;M$3,Margin[#Headers],0)),(Margin[Index]=M$2)*(Margin[Strategy]=M$5))*M20)/Client_Margin($B20),"-")</f>
        <v>0</v>
      </c>
      <c r="N21" s="15" cm="1">
        <f t="array" ref="N21">IFERROR((_xlfn._xlws.FILTER(INDEX(Margin[],0,MATCH(N$1&amp;"_"&amp;N$3,Margin[#Headers],0)),(Margin[Index]=N$2)*(Margin[Strategy]=N$5))*N20)/Client_Margin($B20),"-")</f>
        <v>4.8275862068965517E-2</v>
      </c>
      <c r="O21" s="15" cm="1">
        <f t="array" ref="O21">IFERROR((_xlfn._xlws.FILTER(INDEX(Margin[],0,MATCH(O$1&amp;"_"&amp;O$3,Margin[#Headers],0)),(Margin[Index]=O$2)*(Margin[Strategy]=O$5))*O20)/Client_Margin($B20),"-")</f>
        <v>4.6896551724137932E-2</v>
      </c>
      <c r="P21" s="15" cm="1">
        <f t="array" ref="P21">IFERROR((_xlfn._xlws.FILTER(INDEX(Margin[],0,MATCH(P$1&amp;"_"&amp;P$3,Margin[#Headers],0)),(Margin[Index]=P$2)*(Margin[Strategy]=P$5))*P20)/Client_Margin($B20),"-")</f>
        <v>4.6896551724137932E-2</v>
      </c>
    </row>
    <row r="22" spans="1:16" x14ac:dyDescent="0.25">
      <c r="A22">
        <f t="shared" si="1"/>
        <v>1</v>
      </c>
      <c r="B22" s="14" t="s">
        <v>53</v>
      </c>
      <c r="C22" s="14" cm="1">
        <f t="array" ref="C22">(_xlfn._xlws.FILTER(Fund[Margin],Fund[Client Id]=B22))/10000000</f>
        <v>2.4</v>
      </c>
      <c r="D22" s="17"/>
      <c r="E22" s="14" t="str" cm="1">
        <f t="array" ref="E22">IFERROR(IF(ROUNDUP((Client_Margin($B22)*Alloted(E$3,E$2,E$5)/Get_Margin(E$3,E$2,E$5,E$1)),0)*Get_Margin(E$3,E$2,E$5,E$1)&gt;((Client_Margin($B22)*Alloted(E$3,E$2,E$5)/Get_Margin(E$3,E$2,E$5,E$1))*Get_Margin(E$3,E$2,E$5,E$1))*$C$3,ROUNDDOWN((Client_Margin($B22)*Alloted(E$3,E$2,E$5)/Get_Margin(E$3,E$2,E$5,E$1)),0),ROUNDUP((Client_Margin($B22)*Alloted(E$3,E$2,E$5)/Get_Margin(E$3,E$2,E$5,E$1)),0)),"-")</f>
        <v>-</v>
      </c>
      <c r="F22" s="14" t="str" cm="1">
        <f t="array" ref="F22">IFERROR(IF(ROUNDUP((Client_Margin($B22)*Alloted(F$3,F$2,F$5)/Get_Margin(F$3,F$2,F$5,F$1)),0)*Get_Margin(F$3,F$2,F$5,F$1)&gt;((Client_Margin($B22)*Alloted(F$3,F$2,F$5)/Get_Margin(F$3,F$2,F$5,F$1))*Get_Margin(F$3,F$2,F$5,F$1))*$C$3,ROUNDDOWN((Client_Margin($B22)*Alloted(F$3,F$2,F$5)/Get_Margin(F$3,F$2,F$5,F$1)),0),ROUNDUP((Client_Margin($B22)*Alloted(F$3,F$2,F$5)/Get_Margin(F$3,F$2,F$5,F$1)),0)),"-")</f>
        <v>-</v>
      </c>
      <c r="G22" s="14" cm="1">
        <f t="array" ref="G22">IFERROR(IF(ROUNDUP((Client_Margin($B22)*Alloted(G$3,G$2,G$5)/Get_Margin(G$3,G$2,G$5,G$1)),0)*Get_Margin(G$3,G$2,G$5,G$1)&gt;((Client_Margin($B22)*Alloted(G$3,G$2,G$5)/Get_Margin(G$3,G$2,G$5,G$1))*Get_Margin(G$3,G$2,G$5,G$1))*$C$3,ROUNDDOWN((Client_Margin($B22)*Alloted(G$3,G$2,G$5)/Get_Margin(G$3,G$2,G$5,G$1)),0),ROUNDUP((Client_Margin($B22)*Alloted(G$3,G$2,G$5)/Get_Margin(G$3,G$2,G$5,G$1)),0)),"-")</f>
        <v>3</v>
      </c>
      <c r="H22" s="14" cm="1">
        <f t="array" ref="H22">IFERROR(IF(ROUNDUP((Client_Margin($B22)*Alloted(H$3,H$2,H$5)/Get_Margin(H$3,H$2,H$5,H$1)),0)*Get_Margin(H$3,H$2,H$5,H$1)&gt;((Client_Margin($B22)*Alloted(H$3,H$2,H$5)/Get_Margin(H$3,H$2,H$5,H$1))*Get_Margin(H$3,H$2,H$5,H$1))*$C$3,ROUNDDOWN((Client_Margin($B22)*Alloted(H$3,H$2,H$5)/Get_Margin(H$3,H$2,H$5,H$1)),0),ROUNDUP((Client_Margin($B22)*Alloted(H$3,H$2,H$5)/Get_Margin(H$3,H$2,H$5,H$1)),0)),"-")</f>
        <v>1</v>
      </c>
      <c r="I22" s="14" cm="1">
        <f t="array" ref="I22">IFERROR(IF(ROUNDUP((Client_Margin($B22)*Alloted(I$3,I$2,I$5)/Get_Margin(I$3,I$2,I$5,I$1)),0)*Get_Margin(I$3,I$2,I$5,I$1)&gt;((Client_Margin($B22)*Alloted(I$3,I$2,I$5)/Get_Margin(I$3,I$2,I$5,I$1))*Get_Margin(I$3,I$2,I$5,I$1))*$C$3,ROUNDDOWN((Client_Margin($B22)*Alloted(I$3,I$2,I$5)/Get_Margin(I$3,I$2,I$5,I$1)),0),ROUNDUP((Client_Margin($B22)*Alloted(I$3,I$2,I$5)/Get_Margin(I$3,I$2,I$5,I$1)),0)),"-")</f>
        <v>1</v>
      </c>
      <c r="J22" s="14" cm="1">
        <f t="array" ref="J22">IFERROR(IF(ROUNDUP((Client_Margin($B22)*Alloted(J$3,J$2,J$5)/Get_Margin(J$3,J$2,J$5,J$1)),0)*Get_Margin(J$3,J$2,J$5,J$1)&gt;((Client_Margin($B22)*Alloted(J$3,J$2,J$5)/Get_Margin(J$3,J$2,J$5,J$1))*Get_Margin(J$3,J$2,J$5,J$1))*$C$3,ROUNDDOWN((Client_Margin($B22)*Alloted(J$3,J$2,J$5)/Get_Margin(J$3,J$2,J$5,J$1)),0),ROUNDUP((Client_Margin($B22)*Alloted(J$3,J$2,J$5)/Get_Margin(J$3,J$2,J$5,J$1)),0)),"-")</f>
        <v>4</v>
      </c>
      <c r="K22" s="43">
        <v>20</v>
      </c>
      <c r="L22" s="14" cm="1">
        <f t="array" ref="L22">IFERROR(IF(ROUNDUP((Client_Margin($B22)*Alloted(L$3,L$2,L$5)/Get_Margin(L$3,L$2,L$5,L$1)),0)*Get_Margin(L$3,L$2,L$5,L$1)&gt;((Client_Margin($B22)*Alloted(L$3,L$2,L$5)/Get_Margin(L$3,L$2,L$5,L$1))*Get_Margin(L$3,L$2,L$5,L$1))*$C$3,ROUNDDOWN((Client_Margin($B22)*Alloted(L$3,L$2,L$5)/Get_Margin(L$3,L$2,L$5,L$1)),0),ROUNDUP((Client_Margin($B22)*Alloted(L$3,L$2,L$5)/Get_Margin(L$3,L$2,L$5,L$1)),0)),"-")</f>
        <v>0</v>
      </c>
      <c r="M22" s="14" cm="1">
        <f t="array" ref="M22">IFERROR(IF(ROUNDUP((Client_Margin($B22)*Alloted(M$3,M$2,M$5)/Get_Margin(M$3,M$2,M$5,M$1)),0)*Get_Margin(M$3,M$2,M$5,M$1)&gt;((Client_Margin($B22)*Alloted(M$3,M$2,M$5)/Get_Margin(M$3,M$2,M$5,M$1))*Get_Margin(M$3,M$2,M$5,M$1))*$C$3,ROUNDDOWN((Client_Margin($B22)*Alloted(M$3,M$2,M$5)/Get_Margin(M$3,M$2,M$5,M$1)),0),ROUNDUP((Client_Margin($B22)*Alloted(M$3,M$2,M$5)/Get_Margin(M$3,M$2,M$5,M$1)),0)),"-")</f>
        <v>0</v>
      </c>
      <c r="N22" s="14" cm="1">
        <f t="array" ref="N22">IFERROR(IF(ROUNDUP((Client_Margin($B22)*Alloted(N$3,N$2,N$5)/Get_Margin(N$3,N$2,N$5,N$1)),0)*Get_Margin(N$3,N$2,N$5,N$1)&gt;((Client_Margin($B22)*Alloted(N$3,N$2,N$5)/Get_Margin(N$3,N$2,N$5,N$1))*Get_Margin(N$3,N$2,N$5,N$1))*$C$3,ROUNDDOWN((Client_Margin($B22)*Alloted(N$3,N$2,N$5)/Get_Margin(N$3,N$2,N$5,N$1)),0),ROUNDUP((Client_Margin($B22)*Alloted(N$3,N$2,N$5)/Get_Margin(N$3,N$2,N$5,N$1)),0)),"-")</f>
        <v>3</v>
      </c>
      <c r="O22" s="14" cm="1">
        <f t="array" ref="O22">IFERROR(IF(ROUNDUP((Client_Margin($B22)*Alloted(O$3,O$2,O$5)/Get_Margin(O$3,O$2,O$5,O$1)),0)*Get_Margin(O$3,O$2,O$5,O$1)&gt;((Client_Margin($B22)*Alloted(O$3,O$2,O$5)/Get_Margin(O$3,O$2,O$5,O$1))*Get_Margin(O$3,O$2,O$5,O$1))*$C$3,ROUNDDOWN((Client_Margin($B22)*Alloted(O$3,O$2,O$5)/Get_Margin(O$3,O$2,O$5,O$1)),0),ROUNDUP((Client_Margin($B22)*Alloted(O$3,O$2,O$5)/Get_Margin(O$3,O$2,O$5,O$1)),0)),"-")</f>
        <v>4</v>
      </c>
      <c r="P22" s="14" cm="1">
        <f t="array" ref="P22">IFERROR(IF(ROUNDUP((Client_Margin($B22)*Alloted(P$3,P$2,P$5)/Get_Margin(P$3,P$2,P$5,P$1)),0)*Get_Margin(P$3,P$2,P$5,P$1)&gt;((Client_Margin($B22)*Alloted(P$3,P$2,P$5)/Get_Margin(P$3,P$2,P$5,P$1))*Get_Margin(P$3,P$2,P$5,P$1))*$C$3,ROUNDDOWN((Client_Margin($B22)*Alloted(P$3,P$2,P$5)/Get_Margin(P$3,P$2,P$5,P$1)),0),ROUNDUP((Client_Margin($B22)*Alloted(P$3,P$2,P$5)/Get_Margin(P$3,P$2,P$5,P$1)),0)),"-")</f>
        <v>4</v>
      </c>
    </row>
    <row r="23" spans="1:16" hidden="1" x14ac:dyDescent="0.25">
      <c r="A23">
        <f t="shared" si="1"/>
        <v>0</v>
      </c>
      <c r="B23" s="14"/>
      <c r="C23" s="14"/>
      <c r="D23" s="15">
        <f>SUM(E23:P23)</f>
        <v>0.94374999999999987</v>
      </c>
      <c r="E23" s="15" t="str" cm="1">
        <f t="array" ref="E23">IFERROR((_xlfn._xlws.FILTER(INDEX(Margin[],0,MATCH(E$1&amp;"_"&amp;E$3,Margin[#Headers],0)),(Margin[Index]=E$2)*(Margin[Strategy]=E$5))*E22)/Client_Margin($B22),"-")</f>
        <v>-</v>
      </c>
      <c r="F23" s="15" t="str" cm="1">
        <f t="array" ref="F23">IFERROR((_xlfn._xlws.FILTER(INDEX(Margin[],0,MATCH(F$1&amp;"_"&amp;F$3,Margin[#Headers],0)),(Margin[Index]=F$2)*(Margin[Strategy]=F$5))*F22)/Client_Margin($B22),"-")</f>
        <v>-</v>
      </c>
      <c r="G23" s="15" cm="1">
        <f t="array" ref="G23">IFERROR((_xlfn._xlws.FILTER(INDEX(Margin[],0,MATCH(G$1&amp;"_"&amp;G$3,Margin[#Headers],0)),(Margin[Index]=G$2)*(Margin[Strategy]=G$5))*G22)/Client_Margin($B22),"-")</f>
        <v>8.6999999999999994E-2</v>
      </c>
      <c r="H23" s="15" cm="1">
        <f t="array" ref="H23">IFERROR((_xlfn._xlws.FILTER(INDEX(Margin[],0,MATCH(H$1&amp;"_"&amp;H$3,Margin[#Headers],0)),(Margin[Index]=H$2)*(Margin[Strategy]=H$5))*H22)/Client_Margin($B22),"-")</f>
        <v>7.8E-2</v>
      </c>
      <c r="I23" s="15" cm="1">
        <f t="array" ref="I23">IFERROR((_xlfn._xlws.FILTER(INDEX(Margin[],0,MATCH(I$1&amp;"_"&amp;I$3,Margin[#Headers],0)),(Margin[Index]=I$2)*(Margin[Strategy]=I$5))*I22)/Client_Margin($B22),"-")</f>
        <v>6.6666666666666666E-2</v>
      </c>
      <c r="J23" s="15" cm="1">
        <f t="array" ref="J23">IFERROR((_xlfn._xlws.FILTER(INDEX(Margin[],0,MATCH(J$1&amp;"_"&amp;J$3,Margin[#Headers],0)),(Margin[Index]=J$2)*(Margin[Strategy]=J$5))*J22)/Client_Margin($B22),"-")</f>
        <v>9.2499999999999999E-2</v>
      </c>
      <c r="K23" s="15" cm="1">
        <f t="array" ref="K23">IFERROR((_xlfn._xlws.FILTER(INDEX(Margin[],0,MATCH(K$1&amp;"_"&amp;K$3,Margin[#Headers],0)),(Margin[Index]=K$2)*(Margin[Strategy]=K$5))*K22)/Client_Margin($B22),"-")</f>
        <v>0.46250000000000002</v>
      </c>
      <c r="L23" s="15" cm="1">
        <f t="array" ref="L23">IFERROR((_xlfn._xlws.FILTER(INDEX(Margin[],0,MATCH(L$1&amp;"_"&amp;L$3,Margin[#Headers],0)),(Margin[Index]=L$2)*(Margin[Strategy]=L$5))*L22)/Client_Margin($B22),"-")</f>
        <v>0</v>
      </c>
      <c r="M23" s="15" cm="1">
        <f t="array" ref="M23">IFERROR((_xlfn._xlws.FILTER(INDEX(Margin[],0,MATCH(M$1&amp;"_"&amp;M$3,Margin[#Headers],0)),(Margin[Index]=M$2)*(Margin[Strategy]=M$5))*M22)/Client_Margin($B22),"-")</f>
        <v>0</v>
      </c>
      <c r="N23" s="15" cm="1">
        <f t="array" ref="N23">IFERROR((_xlfn._xlws.FILTER(INDEX(Margin[],0,MATCH(N$1&amp;"_"&amp;N$3,Margin[#Headers],0)),(Margin[Index]=N$2)*(Margin[Strategy]=N$5))*N22)/Client_Margin($B22),"-")</f>
        <v>4.3749999999999997E-2</v>
      </c>
      <c r="O23" s="15" cm="1">
        <f t="array" ref="O23">IFERROR((_xlfn._xlws.FILTER(INDEX(Margin[],0,MATCH(O$1&amp;"_"&amp;O$3,Margin[#Headers],0)),(Margin[Index]=O$2)*(Margin[Strategy]=O$5))*O22)/Client_Margin($B22),"-")</f>
        <v>5.6666666666666664E-2</v>
      </c>
      <c r="P23" s="15" cm="1">
        <f t="array" ref="P23">IFERROR((_xlfn._xlws.FILTER(INDEX(Margin[],0,MATCH(P$1&amp;"_"&amp;P$3,Margin[#Headers],0)),(Margin[Index]=P$2)*(Margin[Strategy]=P$5))*P22)/Client_Margin($B22),"-")</f>
        <v>5.6666666666666664E-2</v>
      </c>
    </row>
    <row r="24" spans="1:16" x14ac:dyDescent="0.25">
      <c r="A24">
        <f>IF(B24="",0,1)</f>
        <v>1</v>
      </c>
      <c r="B24" s="14" t="s">
        <v>44</v>
      </c>
      <c r="C24" s="14" cm="1">
        <f t="array" ref="C24">(_xlfn._xlws.FILTER(Fund[Margin],Fund[Client Id]=B24))/10000000</f>
        <v>2.4</v>
      </c>
      <c r="D24" s="17"/>
      <c r="E24" s="14" t="str" cm="1">
        <f t="array" ref="E24">IFERROR(IF(ROUNDUP((Client_Margin($B24)*Alloted(E$3,E$2,E$5)/Get_Margin(E$3,E$2,E$5,E$1)),0)*Get_Margin(E$3,E$2,E$5,E$1)&gt;((Client_Margin($B24)*Alloted(E$3,E$2,E$5)/Get_Margin(E$3,E$2,E$5,E$1))*Get_Margin(E$3,E$2,E$5,E$1))*$C$3,ROUNDDOWN((Client_Margin($B24)*Alloted(E$3,E$2,E$5)/Get_Margin(E$3,E$2,E$5,E$1)),0),ROUNDUP((Client_Margin($B24)*Alloted(E$3,E$2,E$5)/Get_Margin(E$3,E$2,E$5,E$1)),0)),"-")</f>
        <v>-</v>
      </c>
      <c r="F24" s="14" t="str" cm="1">
        <f t="array" ref="F24">IFERROR(IF(ROUNDUP((Client_Margin($B24)*Alloted(F$3,F$2,F$5)/Get_Margin(F$3,F$2,F$5,F$1)),0)*Get_Margin(F$3,F$2,F$5,F$1)&gt;((Client_Margin($B24)*Alloted(F$3,F$2,F$5)/Get_Margin(F$3,F$2,F$5,F$1))*Get_Margin(F$3,F$2,F$5,F$1))*$C$3,ROUNDDOWN((Client_Margin($B24)*Alloted(F$3,F$2,F$5)/Get_Margin(F$3,F$2,F$5,F$1)),0),ROUNDUP((Client_Margin($B24)*Alloted(F$3,F$2,F$5)/Get_Margin(F$3,F$2,F$5,F$1)),0)),"-")</f>
        <v>-</v>
      </c>
      <c r="G24" s="14" cm="1">
        <f t="array" ref="G24">IFERROR(IF(ROUNDUP((Client_Margin($B24)*Alloted(G$3,G$2,G$5)/Get_Margin(G$3,G$2,G$5,G$1)),0)*Get_Margin(G$3,G$2,G$5,G$1)&gt;((Client_Margin($B24)*Alloted(G$3,G$2,G$5)/Get_Margin(G$3,G$2,G$5,G$1))*Get_Margin(G$3,G$2,G$5,G$1))*$C$3,ROUNDDOWN((Client_Margin($B24)*Alloted(G$3,G$2,G$5)/Get_Margin(G$3,G$2,G$5,G$1)),0),ROUNDUP((Client_Margin($B24)*Alloted(G$3,G$2,G$5)/Get_Margin(G$3,G$2,G$5,G$1)),0)),"-")</f>
        <v>3</v>
      </c>
      <c r="H24" s="14" cm="1">
        <f t="array" ref="H24">IFERROR(IF(ROUNDUP((Client_Margin($B24)*Alloted(H$3,H$2,H$5)/Get_Margin(H$3,H$2,H$5,H$1)),0)*Get_Margin(H$3,H$2,H$5,H$1)&gt;((Client_Margin($B24)*Alloted(H$3,H$2,H$5)/Get_Margin(H$3,H$2,H$5,H$1))*Get_Margin(H$3,H$2,H$5,H$1))*$C$3,ROUNDDOWN((Client_Margin($B24)*Alloted(H$3,H$2,H$5)/Get_Margin(H$3,H$2,H$5,H$1)),0),ROUNDUP((Client_Margin($B24)*Alloted(H$3,H$2,H$5)/Get_Margin(H$3,H$2,H$5,H$1)),0)),"-")</f>
        <v>1</v>
      </c>
      <c r="I24" s="14" cm="1">
        <f t="array" ref="I24">IFERROR(IF(ROUNDUP((Client_Margin($B24)*Alloted(I$3,I$2,I$5)/Get_Margin(I$3,I$2,I$5,I$1)),0)*Get_Margin(I$3,I$2,I$5,I$1)&gt;((Client_Margin($B24)*Alloted(I$3,I$2,I$5)/Get_Margin(I$3,I$2,I$5,I$1))*Get_Margin(I$3,I$2,I$5,I$1))*$C$3,ROUNDDOWN((Client_Margin($B24)*Alloted(I$3,I$2,I$5)/Get_Margin(I$3,I$2,I$5,I$1)),0),ROUNDUP((Client_Margin($B24)*Alloted(I$3,I$2,I$5)/Get_Margin(I$3,I$2,I$5,I$1)),0)),"-")</f>
        <v>1</v>
      </c>
      <c r="J24" s="14" cm="1">
        <f t="array" ref="J24">IFERROR(IF(ROUNDUP((Client_Margin($B24)*Alloted(J$3,J$2,J$5)/Get_Margin(J$3,J$2,J$5,J$1)),0)*Get_Margin(J$3,J$2,J$5,J$1)&gt;((Client_Margin($B24)*Alloted(J$3,J$2,J$5)/Get_Margin(J$3,J$2,J$5,J$1))*Get_Margin(J$3,J$2,J$5,J$1))*$C$3,ROUNDDOWN((Client_Margin($B24)*Alloted(J$3,J$2,J$5)/Get_Margin(J$3,J$2,J$5,J$1)),0),ROUNDUP((Client_Margin($B24)*Alloted(J$3,J$2,J$5)/Get_Margin(J$3,J$2,J$5,J$1)),0)),"-")</f>
        <v>4</v>
      </c>
      <c r="K24" s="43">
        <v>20</v>
      </c>
      <c r="L24" s="14" cm="1">
        <f t="array" ref="L24">IFERROR(IF(ROUNDUP((Client_Margin($B24)*Alloted(L$3,L$2,L$5)/Get_Margin(L$3,L$2,L$5,L$1)),0)*Get_Margin(L$3,L$2,L$5,L$1)&gt;((Client_Margin($B24)*Alloted(L$3,L$2,L$5)/Get_Margin(L$3,L$2,L$5,L$1))*Get_Margin(L$3,L$2,L$5,L$1))*$C$3,ROUNDDOWN((Client_Margin($B24)*Alloted(L$3,L$2,L$5)/Get_Margin(L$3,L$2,L$5,L$1)),0),ROUNDUP((Client_Margin($B24)*Alloted(L$3,L$2,L$5)/Get_Margin(L$3,L$2,L$5,L$1)),0)),"-")</f>
        <v>0</v>
      </c>
      <c r="M24" s="14" cm="1">
        <f t="array" ref="M24">IFERROR(IF(ROUNDUP((Client_Margin($B24)*Alloted(M$3,M$2,M$5)/Get_Margin(M$3,M$2,M$5,M$1)),0)*Get_Margin(M$3,M$2,M$5,M$1)&gt;((Client_Margin($B24)*Alloted(M$3,M$2,M$5)/Get_Margin(M$3,M$2,M$5,M$1))*Get_Margin(M$3,M$2,M$5,M$1))*$C$3,ROUNDDOWN((Client_Margin($B24)*Alloted(M$3,M$2,M$5)/Get_Margin(M$3,M$2,M$5,M$1)),0),ROUNDUP((Client_Margin($B24)*Alloted(M$3,M$2,M$5)/Get_Margin(M$3,M$2,M$5,M$1)),0)),"-")</f>
        <v>0</v>
      </c>
      <c r="N24" s="14" cm="1">
        <f t="array" ref="N24">IFERROR(IF(ROUNDUP((Client_Margin($B24)*Alloted(N$3,N$2,N$5)/Get_Margin(N$3,N$2,N$5,N$1)),0)*Get_Margin(N$3,N$2,N$5,N$1)&gt;((Client_Margin($B24)*Alloted(N$3,N$2,N$5)/Get_Margin(N$3,N$2,N$5,N$1))*Get_Margin(N$3,N$2,N$5,N$1))*$C$3,ROUNDDOWN((Client_Margin($B24)*Alloted(N$3,N$2,N$5)/Get_Margin(N$3,N$2,N$5,N$1)),0),ROUNDUP((Client_Margin($B24)*Alloted(N$3,N$2,N$5)/Get_Margin(N$3,N$2,N$5,N$1)),0)),"-")</f>
        <v>3</v>
      </c>
      <c r="O24" s="14" cm="1">
        <f t="array" ref="O24">IFERROR(IF(ROUNDUP((Client_Margin($B24)*Alloted(O$3,O$2,O$5)/Get_Margin(O$3,O$2,O$5,O$1)),0)*Get_Margin(O$3,O$2,O$5,O$1)&gt;((Client_Margin($B24)*Alloted(O$3,O$2,O$5)/Get_Margin(O$3,O$2,O$5,O$1))*Get_Margin(O$3,O$2,O$5,O$1))*$C$3,ROUNDDOWN((Client_Margin($B24)*Alloted(O$3,O$2,O$5)/Get_Margin(O$3,O$2,O$5,O$1)),0),ROUNDUP((Client_Margin($B24)*Alloted(O$3,O$2,O$5)/Get_Margin(O$3,O$2,O$5,O$1)),0)),"-")</f>
        <v>4</v>
      </c>
      <c r="P24" s="14" cm="1">
        <f t="array" ref="P24">IFERROR(IF(ROUNDUP((Client_Margin($B24)*Alloted(P$3,P$2,P$5)/Get_Margin(P$3,P$2,P$5,P$1)),0)*Get_Margin(P$3,P$2,P$5,P$1)&gt;((Client_Margin($B24)*Alloted(P$3,P$2,P$5)/Get_Margin(P$3,P$2,P$5,P$1))*Get_Margin(P$3,P$2,P$5,P$1))*$C$3,ROUNDDOWN((Client_Margin($B24)*Alloted(P$3,P$2,P$5)/Get_Margin(P$3,P$2,P$5,P$1)),0),ROUNDUP((Client_Margin($B24)*Alloted(P$3,P$2,P$5)/Get_Margin(P$3,P$2,P$5,P$1)),0)),"-")</f>
        <v>4</v>
      </c>
    </row>
    <row r="25" spans="1:16" hidden="1" x14ac:dyDescent="0.25">
      <c r="A25">
        <f>IF(B25="",0,1)</f>
        <v>0</v>
      </c>
      <c r="B25" s="14"/>
      <c r="C25" s="14"/>
      <c r="D25" s="15">
        <f>SUM(E25:P25)</f>
        <v>0.94374999999999987</v>
      </c>
      <c r="E25" s="15" t="str" cm="1">
        <f t="array" ref="E25">IFERROR((_xlfn._xlws.FILTER(INDEX(Margin[],0,MATCH(E$1&amp;"_"&amp;E$3,Margin[#Headers],0)),(Margin[Index]=E$2)*(Margin[Strategy]=E$5))*E24)/Client_Margin($B24),"-")</f>
        <v>-</v>
      </c>
      <c r="F25" s="15" t="str" cm="1">
        <f t="array" ref="F25">IFERROR((_xlfn._xlws.FILTER(INDEX(Margin[],0,MATCH(F$1&amp;"_"&amp;F$3,Margin[#Headers],0)),(Margin[Index]=F$2)*(Margin[Strategy]=F$5))*F24)/Client_Margin($B24),"-")</f>
        <v>-</v>
      </c>
      <c r="G25" s="15" cm="1">
        <f t="array" ref="G25">IFERROR((_xlfn._xlws.FILTER(INDEX(Margin[],0,MATCH(G$1&amp;"_"&amp;G$3,Margin[#Headers],0)),(Margin[Index]=G$2)*(Margin[Strategy]=G$5))*G24)/Client_Margin($B24),"-")</f>
        <v>8.6999999999999994E-2</v>
      </c>
      <c r="H25" s="15" cm="1">
        <f t="array" ref="H25">IFERROR((_xlfn._xlws.FILTER(INDEX(Margin[],0,MATCH(H$1&amp;"_"&amp;H$3,Margin[#Headers],0)),(Margin[Index]=H$2)*(Margin[Strategy]=H$5))*H24)/Client_Margin($B24),"-")</f>
        <v>7.8E-2</v>
      </c>
      <c r="I25" s="15" cm="1">
        <f t="array" ref="I25">IFERROR((_xlfn._xlws.FILTER(INDEX(Margin[],0,MATCH(I$1&amp;"_"&amp;I$3,Margin[#Headers],0)),(Margin[Index]=I$2)*(Margin[Strategy]=I$5))*I24)/Client_Margin($B24),"-")</f>
        <v>6.6666666666666666E-2</v>
      </c>
      <c r="J25" s="15" cm="1">
        <f t="array" ref="J25">IFERROR((_xlfn._xlws.FILTER(INDEX(Margin[],0,MATCH(J$1&amp;"_"&amp;J$3,Margin[#Headers],0)),(Margin[Index]=J$2)*(Margin[Strategy]=J$5))*J24)/Client_Margin($B24),"-")</f>
        <v>9.2499999999999999E-2</v>
      </c>
      <c r="K25" s="15" cm="1">
        <f t="array" ref="K25">IFERROR((_xlfn._xlws.FILTER(INDEX(Margin[],0,MATCH(K$1&amp;"_"&amp;K$3,Margin[#Headers],0)),(Margin[Index]=K$2)*(Margin[Strategy]=K$5))*K24)/Client_Margin($B24),"-")</f>
        <v>0.46250000000000002</v>
      </c>
      <c r="L25" s="15" cm="1">
        <f t="array" ref="L25">IFERROR((_xlfn._xlws.FILTER(INDEX(Margin[],0,MATCH(L$1&amp;"_"&amp;L$3,Margin[#Headers],0)),(Margin[Index]=L$2)*(Margin[Strategy]=L$5))*L24)/Client_Margin($B24),"-")</f>
        <v>0</v>
      </c>
      <c r="M25" s="15" cm="1">
        <f t="array" ref="M25">IFERROR((_xlfn._xlws.FILTER(INDEX(Margin[],0,MATCH(M$1&amp;"_"&amp;M$3,Margin[#Headers],0)),(Margin[Index]=M$2)*(Margin[Strategy]=M$5))*M24)/Client_Margin($B24),"-")</f>
        <v>0</v>
      </c>
      <c r="N25" s="15" cm="1">
        <f t="array" ref="N25">IFERROR((_xlfn._xlws.FILTER(INDEX(Margin[],0,MATCH(N$1&amp;"_"&amp;N$3,Margin[#Headers],0)),(Margin[Index]=N$2)*(Margin[Strategy]=N$5))*N24)/Client_Margin($B24),"-")</f>
        <v>4.3749999999999997E-2</v>
      </c>
      <c r="O25" s="15" cm="1">
        <f t="array" ref="O25">IFERROR((_xlfn._xlws.FILTER(INDEX(Margin[],0,MATCH(O$1&amp;"_"&amp;O$3,Margin[#Headers],0)),(Margin[Index]=O$2)*(Margin[Strategy]=O$5))*O24)/Client_Margin($B24),"-")</f>
        <v>5.6666666666666664E-2</v>
      </c>
      <c r="P25" s="15" cm="1">
        <f t="array" ref="P25">IFERROR((_xlfn._xlws.FILTER(INDEX(Margin[],0,MATCH(P$1&amp;"_"&amp;P$3,Margin[#Headers],0)),(Margin[Index]=P$2)*(Margin[Strategy]=P$5))*P24)/Client_Margin($B24),"-")</f>
        <v>5.6666666666666664E-2</v>
      </c>
    </row>
    <row r="26" spans="1:16" x14ac:dyDescent="0.25">
      <c r="A26">
        <f t="shared" ref="A26:A27" si="2">IF(B26="",0,1)</f>
        <v>1</v>
      </c>
      <c r="B26" s="14" t="s">
        <v>113</v>
      </c>
      <c r="C26" s="14" cm="1">
        <f t="array" ref="C26">(_xlfn._xlws.FILTER(Fund[Margin],Fund[Client Id]=B26))/10000000</f>
        <v>1.95</v>
      </c>
      <c r="D26" s="17"/>
      <c r="E26" s="14" t="str" cm="1">
        <f t="array" ref="E26">IFERROR(IF(ROUNDUP((Client_Margin($B26)*Alloted(E$3,E$2,E$5)/Get_Margin(E$3,E$2,E$5,E$1)),0)*Get_Margin(E$3,E$2,E$5,E$1)&gt;((Client_Margin($B26)*Alloted(E$3,E$2,E$5)/Get_Margin(E$3,E$2,E$5,E$1))*Get_Margin(E$3,E$2,E$5,E$1))*$C$3,ROUNDDOWN((Client_Margin($B26)*Alloted(E$3,E$2,E$5)/Get_Margin(E$3,E$2,E$5,E$1)),0),ROUNDUP((Client_Margin($B26)*Alloted(E$3,E$2,E$5)/Get_Margin(E$3,E$2,E$5,E$1)),0)),"-")</f>
        <v>-</v>
      </c>
      <c r="F26" s="14" t="str" cm="1">
        <f t="array" ref="F26">IFERROR(IF(ROUNDUP((Client_Margin($B26)*Alloted(F$3,F$2,F$5)/Get_Margin(F$3,F$2,F$5,F$1)),0)*Get_Margin(F$3,F$2,F$5,F$1)&gt;((Client_Margin($B26)*Alloted(F$3,F$2,F$5)/Get_Margin(F$3,F$2,F$5,F$1))*Get_Margin(F$3,F$2,F$5,F$1))*$C$3,ROUNDDOWN((Client_Margin($B26)*Alloted(F$3,F$2,F$5)/Get_Margin(F$3,F$2,F$5,F$1)),0),ROUNDUP((Client_Margin($B26)*Alloted(F$3,F$2,F$5)/Get_Margin(F$3,F$2,F$5,F$1)),0)),"-")</f>
        <v>-</v>
      </c>
      <c r="G26" s="14" cm="1">
        <f t="array" ref="G26">IFERROR(IF(ROUNDUP((Client_Margin($B26)*Alloted(G$3,G$2,G$5)/Get_Margin(G$3,G$2,G$5,G$1)),0)*Get_Margin(G$3,G$2,G$5,G$1)&gt;((Client_Margin($B26)*Alloted(G$3,G$2,G$5)/Get_Margin(G$3,G$2,G$5,G$1))*Get_Margin(G$3,G$2,G$5,G$1))*$C$3,ROUNDDOWN((Client_Margin($B26)*Alloted(G$3,G$2,G$5)/Get_Margin(G$3,G$2,G$5,G$1)),0),ROUNDUP((Client_Margin($B26)*Alloted(G$3,G$2,G$5)/Get_Margin(G$3,G$2,G$5,G$1)),0)),"-")</f>
        <v>3</v>
      </c>
      <c r="H26" s="14" cm="1">
        <f t="array" ref="H26">IFERROR(IF(ROUNDUP((Client_Margin($B26)*Alloted(H$3,H$2,H$5)/Get_Margin(H$3,H$2,H$5,H$1)),0)*Get_Margin(H$3,H$2,H$5,H$1)&gt;((Client_Margin($B26)*Alloted(H$3,H$2,H$5)/Get_Margin(H$3,H$2,H$5,H$1))*Get_Margin(H$3,H$2,H$5,H$1))*$C$3,ROUNDDOWN((Client_Margin($B26)*Alloted(H$3,H$2,H$5)/Get_Margin(H$3,H$2,H$5,H$1)),0),ROUNDUP((Client_Margin($B26)*Alloted(H$3,H$2,H$5)/Get_Margin(H$3,H$2,H$5,H$1)),0)),"-")</f>
        <v>1</v>
      </c>
      <c r="I26" s="14" cm="1">
        <f t="array" ref="I26">IFERROR(IF(ROUNDUP((Client_Margin($B26)*Alloted(I$3,I$2,I$5)/Get_Margin(I$3,I$2,I$5,I$1)),0)*Get_Margin(I$3,I$2,I$5,I$1)&gt;((Client_Margin($B26)*Alloted(I$3,I$2,I$5)/Get_Margin(I$3,I$2,I$5,I$1))*Get_Margin(I$3,I$2,I$5,I$1))*$C$3,ROUNDDOWN((Client_Margin($B26)*Alloted(I$3,I$2,I$5)/Get_Margin(I$3,I$2,I$5,I$1)),0),ROUNDUP((Client_Margin($B26)*Alloted(I$3,I$2,I$5)/Get_Margin(I$3,I$2,I$5,I$1)),0)),"-")</f>
        <v>1</v>
      </c>
      <c r="J26" s="14" cm="1">
        <f t="array" ref="J26">IFERROR(IF(ROUNDUP((Client_Margin($B26)*Alloted(J$3,J$2,J$5)/Get_Margin(J$3,J$2,J$5,J$1)),0)*Get_Margin(J$3,J$2,J$5,J$1)&gt;((Client_Margin($B26)*Alloted(J$3,J$2,J$5)/Get_Margin(J$3,J$2,J$5,J$1))*Get_Margin(J$3,J$2,J$5,J$1))*$C$3,ROUNDDOWN((Client_Margin($B26)*Alloted(J$3,J$2,J$5)/Get_Margin(J$3,J$2,J$5,J$1)),0),ROUNDUP((Client_Margin($B26)*Alloted(J$3,J$2,J$5)/Get_Margin(J$3,J$2,J$5,J$1)),0)),"-")</f>
        <v>4</v>
      </c>
      <c r="K26" s="14" cm="1">
        <f t="array" ref="K26">IFERROR(IF(ROUNDUP((Client_Margin($B26)*Alloted(K$3,K$2,K$5)/Get_Margin(K$3,K$2,K$5,K$1)),0)*Get_Margin(K$3,K$2,K$5,K$1)&gt;((Client_Margin($B26)*Alloted(K$3,K$2,K$5)/Get_Margin(K$3,K$2,K$5,K$1))*Get_Margin(K$3,K$2,K$5,K$1))*$C$3,ROUNDDOWN((Client_Margin($B26)*Alloted(K$3,K$2,K$5)/Get_Margin(K$3,K$2,K$5,K$1)),0),ROUNDUP((Client_Margin($B26)*Alloted(K$3,K$2,K$5)/Get_Margin(K$3,K$2,K$5,K$1)),0)),"-")</f>
        <v>15</v>
      </c>
      <c r="L26" s="14" cm="1">
        <f t="array" ref="L26">IFERROR(IF(ROUNDUP((Client_Margin($B26)*Alloted(L$3,L$2,L$5)/Get_Margin(L$3,L$2,L$5,L$1)),0)*Get_Margin(L$3,L$2,L$5,L$1)&gt;((Client_Margin($B26)*Alloted(L$3,L$2,L$5)/Get_Margin(L$3,L$2,L$5,L$1))*Get_Margin(L$3,L$2,L$5,L$1))*$C$3,ROUNDDOWN((Client_Margin($B26)*Alloted(L$3,L$2,L$5)/Get_Margin(L$3,L$2,L$5,L$1)),0),ROUNDUP((Client_Margin($B26)*Alloted(L$3,L$2,L$5)/Get_Margin(L$3,L$2,L$5,L$1)),0)),"-")</f>
        <v>0</v>
      </c>
      <c r="M26" s="14" cm="1">
        <f t="array" ref="M26">IFERROR(IF(ROUNDUP((Client_Margin($B26)*Alloted(M$3,M$2,M$5)/Get_Margin(M$3,M$2,M$5,M$1)),0)*Get_Margin(M$3,M$2,M$5,M$1)&gt;((Client_Margin($B26)*Alloted(M$3,M$2,M$5)/Get_Margin(M$3,M$2,M$5,M$1))*Get_Margin(M$3,M$2,M$5,M$1))*$C$3,ROUNDDOWN((Client_Margin($B26)*Alloted(M$3,M$2,M$5)/Get_Margin(M$3,M$2,M$5,M$1)),0),ROUNDUP((Client_Margin($B26)*Alloted(M$3,M$2,M$5)/Get_Margin(M$3,M$2,M$5,M$1)),0)),"-")</f>
        <v>0</v>
      </c>
      <c r="N26" s="43">
        <v>0</v>
      </c>
      <c r="O26" s="14" cm="1">
        <f t="array" ref="O26">IFERROR(IF(ROUNDUP((Client_Margin($B26)*Alloted(O$3,O$2,O$5)/Get_Margin(O$3,O$2,O$5,O$1)),0)*Get_Margin(O$3,O$2,O$5,O$1)&gt;((Client_Margin($B26)*Alloted(O$3,O$2,O$5)/Get_Margin(O$3,O$2,O$5,O$1))*Get_Margin(O$3,O$2,O$5,O$1))*$C$3,ROUNDDOWN((Client_Margin($B26)*Alloted(O$3,O$2,O$5)/Get_Margin(O$3,O$2,O$5,O$1)),0),ROUNDUP((Client_Margin($B26)*Alloted(O$3,O$2,O$5)/Get_Margin(O$3,O$2,O$5,O$1)),0)),"-")</f>
        <v>3</v>
      </c>
      <c r="P26" s="14" cm="1">
        <f t="array" ref="P26">IFERROR(IF(ROUNDUP((Client_Margin($B26)*Alloted(P$3,P$2,P$5)/Get_Margin(P$3,P$2,P$5,P$1)),0)*Get_Margin(P$3,P$2,P$5,P$1)&gt;((Client_Margin($B26)*Alloted(P$3,P$2,P$5)/Get_Margin(P$3,P$2,P$5,P$1))*Get_Margin(P$3,P$2,P$5,P$1))*$C$3,ROUNDDOWN((Client_Margin($B26)*Alloted(P$3,P$2,P$5)/Get_Margin(P$3,P$2,P$5,P$1)),0),ROUNDUP((Client_Margin($B26)*Alloted(P$3,P$2,P$5)/Get_Margin(P$3,P$2,P$5,P$1)),0)),"-")</f>
        <v>3</v>
      </c>
    </row>
    <row r="27" spans="1:16" hidden="1" x14ac:dyDescent="0.25">
      <c r="A27">
        <f t="shared" si="2"/>
        <v>0</v>
      </c>
      <c r="B27" s="14"/>
      <c r="C27" s="14"/>
      <c r="D27" s="15">
        <f>SUM(E27:P27)</f>
        <v>0.93051282051282036</v>
      </c>
      <c r="E27" s="15" t="str" cm="1">
        <f t="array" ref="E27">IFERROR((_xlfn._xlws.FILTER(INDEX(Margin[],0,MATCH(E$1&amp;"_"&amp;E$3,Margin[#Headers],0)),(Margin[Index]=E$2)*(Margin[Strategy]=E$5))*E26)/Client_Margin($B26),"-")</f>
        <v>-</v>
      </c>
      <c r="F27" s="15" t="str" cm="1">
        <f t="array" ref="F27">IFERROR((_xlfn._xlws.FILTER(INDEX(Margin[],0,MATCH(F$1&amp;"_"&amp;F$3,Margin[#Headers],0)),(Margin[Index]=F$2)*(Margin[Strategy]=F$5))*F26)/Client_Margin($B26),"-")</f>
        <v>-</v>
      </c>
      <c r="G27" s="15" cm="1">
        <f t="array" ref="G27">IFERROR((_xlfn._xlws.FILTER(INDEX(Margin[],0,MATCH(G$1&amp;"_"&amp;G$3,Margin[#Headers],0)),(Margin[Index]=G$2)*(Margin[Strategy]=G$5))*G26)/Client_Margin($B26),"-")</f>
        <v>0.10707692307692308</v>
      </c>
      <c r="H27" s="15" cm="1">
        <f t="array" ref="H27">IFERROR((_xlfn._xlws.FILTER(INDEX(Margin[],0,MATCH(H$1&amp;"_"&amp;H$3,Margin[#Headers],0)),(Margin[Index]=H$2)*(Margin[Strategy]=H$5))*H26)/Client_Margin($B26),"-")</f>
        <v>9.6000000000000002E-2</v>
      </c>
      <c r="I27" s="15" cm="1">
        <f t="array" ref="I27">IFERROR((_xlfn._xlws.FILTER(INDEX(Margin[],0,MATCH(I$1&amp;"_"&amp;I$3,Margin[#Headers],0)),(Margin[Index]=I$2)*(Margin[Strategy]=I$5))*I26)/Client_Margin($B26),"-")</f>
        <v>8.2051282051282051E-2</v>
      </c>
      <c r="J27" s="15" cm="1">
        <f t="array" ref="J27">IFERROR((_xlfn._xlws.FILTER(INDEX(Margin[],0,MATCH(J$1&amp;"_"&amp;J$3,Margin[#Headers],0)),(Margin[Index]=J$2)*(Margin[Strategy]=J$5))*J26)/Client_Margin($B26),"-")</f>
        <v>0.11384615384615385</v>
      </c>
      <c r="K27" s="15" cm="1">
        <f t="array" ref="K27">IFERROR((_xlfn._xlws.FILTER(INDEX(Margin[],0,MATCH(K$1&amp;"_"&amp;K$3,Margin[#Headers],0)),(Margin[Index]=K$2)*(Margin[Strategy]=K$5))*K26)/Client_Margin($B26),"-")</f>
        <v>0.42692307692307691</v>
      </c>
      <c r="L27" s="15" cm="1">
        <f t="array" ref="L27">IFERROR((_xlfn._xlws.FILTER(INDEX(Margin[],0,MATCH(L$1&amp;"_"&amp;L$3,Margin[#Headers],0)),(Margin[Index]=L$2)*(Margin[Strategy]=L$5))*L26)/Client_Margin($B26),"-")</f>
        <v>0</v>
      </c>
      <c r="M27" s="15" cm="1">
        <f t="array" ref="M27">IFERROR((_xlfn._xlws.FILTER(INDEX(Margin[],0,MATCH(M$1&amp;"_"&amp;M$3,Margin[#Headers],0)),(Margin[Index]=M$2)*(Margin[Strategy]=M$5))*M26)/Client_Margin($B26),"-")</f>
        <v>0</v>
      </c>
      <c r="N27" s="15" cm="1">
        <f t="array" ref="N27">IFERROR((_xlfn._xlws.FILTER(INDEX(Margin[],0,MATCH(N$1&amp;"_"&amp;N$3,Margin[#Headers],0)),(Margin[Index]=N$2)*(Margin[Strategy]=N$5))*N26)/Client_Margin($B26),"-")</f>
        <v>0</v>
      </c>
      <c r="O27" s="15" cm="1">
        <f t="array" ref="O27">IFERROR((_xlfn._xlws.FILTER(INDEX(Margin[],0,MATCH(O$1&amp;"_"&amp;O$3,Margin[#Headers],0)),(Margin[Index]=O$2)*(Margin[Strategy]=O$5))*O26)/Client_Margin($B26),"-")</f>
        <v>5.2307692307692305E-2</v>
      </c>
      <c r="P27" s="15" cm="1">
        <f t="array" ref="P27">IFERROR((_xlfn._xlws.FILTER(INDEX(Margin[],0,MATCH(P$1&amp;"_"&amp;P$3,Margin[#Headers],0)),(Margin[Index]=P$2)*(Margin[Strategy]=P$5))*P26)/Client_Margin($B26),"-")</f>
        <v>5.2307692307692305E-2</v>
      </c>
    </row>
    <row r="28" spans="1:16" x14ac:dyDescent="0.25">
      <c r="A28">
        <f>IF(B28="",0,1)</f>
        <v>1</v>
      </c>
      <c r="B28" s="14" t="s">
        <v>36</v>
      </c>
      <c r="C28" s="14" cm="1">
        <f t="array" ref="C28">(_xlfn._xlws.FILTER(Fund[Margin],Fund[Client Id]=B28))/10000000</f>
        <v>1.8</v>
      </c>
      <c r="D28" s="17"/>
      <c r="E28" s="14" t="str" cm="1">
        <f t="array" ref="E28">IFERROR(IF(ROUNDUP((Client_Margin($B28)*Alloted(E$3,E$2,E$5)/Get_Margin(E$3,E$2,E$5,E$1)),0)*Get_Margin(E$3,E$2,E$5,E$1)&gt;((Client_Margin($B28)*Alloted(E$3,E$2,E$5)/Get_Margin(E$3,E$2,E$5,E$1))*Get_Margin(E$3,E$2,E$5,E$1))*$C$3,ROUNDDOWN((Client_Margin($B28)*Alloted(E$3,E$2,E$5)/Get_Margin(E$3,E$2,E$5,E$1)),0),ROUNDUP((Client_Margin($B28)*Alloted(E$3,E$2,E$5)/Get_Margin(E$3,E$2,E$5,E$1)),0)),"-")</f>
        <v>-</v>
      </c>
      <c r="F28" s="14" t="str" cm="1">
        <f t="array" ref="F28">IFERROR(IF(ROUNDUP((Client_Margin($B28)*Alloted(F$3,F$2,F$5)/Get_Margin(F$3,F$2,F$5,F$1)),0)*Get_Margin(F$3,F$2,F$5,F$1)&gt;((Client_Margin($B28)*Alloted(F$3,F$2,F$5)/Get_Margin(F$3,F$2,F$5,F$1))*Get_Margin(F$3,F$2,F$5,F$1))*$C$3,ROUNDDOWN((Client_Margin($B28)*Alloted(F$3,F$2,F$5)/Get_Margin(F$3,F$2,F$5,F$1)),0),ROUNDUP((Client_Margin($B28)*Alloted(F$3,F$2,F$5)/Get_Margin(F$3,F$2,F$5,F$1)),0)),"-")</f>
        <v>-</v>
      </c>
      <c r="G28" s="14" cm="1">
        <f t="array" ref="G28">IFERROR(IF(ROUNDUP((Client_Margin($B28)*Alloted(G$3,G$2,G$5)/Get_Margin(G$3,G$2,G$5,G$1)),0)*Get_Margin(G$3,G$2,G$5,G$1)&gt;((Client_Margin($B28)*Alloted(G$3,G$2,G$5)/Get_Margin(G$3,G$2,G$5,G$1))*Get_Margin(G$3,G$2,G$5,G$1))*$C$3,ROUNDDOWN((Client_Margin($B28)*Alloted(G$3,G$2,G$5)/Get_Margin(G$3,G$2,G$5,G$1)),0),ROUNDUP((Client_Margin($B28)*Alloted(G$3,G$2,G$5)/Get_Margin(G$3,G$2,G$5,G$1)),0)),"-")</f>
        <v>2</v>
      </c>
      <c r="H28" s="14" cm="1">
        <f t="array" ref="H28">IFERROR(IF(ROUNDUP((Client_Margin($B28)*Alloted(H$3,H$2,H$5)/Get_Margin(H$3,H$2,H$5,H$1)),0)*Get_Margin(H$3,H$2,H$5,H$1)&gt;((Client_Margin($B28)*Alloted(H$3,H$2,H$5)/Get_Margin(H$3,H$2,H$5,H$1))*Get_Margin(H$3,H$2,H$5,H$1))*$C$3,ROUNDDOWN((Client_Margin($B28)*Alloted(H$3,H$2,H$5)/Get_Margin(H$3,H$2,H$5,H$1)),0),ROUNDUP((Client_Margin($B28)*Alloted(H$3,H$2,H$5)/Get_Margin(H$3,H$2,H$5,H$1)),0)),"-")</f>
        <v>1</v>
      </c>
      <c r="I28" s="14" cm="1">
        <f t="array" ref="I28">IFERROR(IF(ROUNDUP((Client_Margin($B28)*Alloted(I$3,I$2,I$5)/Get_Margin(I$3,I$2,I$5,I$1)),0)*Get_Margin(I$3,I$2,I$5,I$1)&gt;((Client_Margin($B28)*Alloted(I$3,I$2,I$5)/Get_Margin(I$3,I$2,I$5,I$1))*Get_Margin(I$3,I$2,I$5,I$1))*$C$3,ROUNDDOWN((Client_Margin($B28)*Alloted(I$3,I$2,I$5)/Get_Margin(I$3,I$2,I$5,I$1)),0),ROUNDUP((Client_Margin($B28)*Alloted(I$3,I$2,I$5)/Get_Margin(I$3,I$2,I$5,I$1)),0)),"-")</f>
        <v>1</v>
      </c>
      <c r="J28" s="14" cm="1">
        <f t="array" ref="J28">IFERROR(IF(ROUNDUP((Client_Margin($B28)*Alloted(J$3,J$2,J$5)/Get_Margin(J$3,J$2,J$5,J$1)),0)*Get_Margin(J$3,J$2,J$5,J$1)&gt;((Client_Margin($B28)*Alloted(J$3,J$2,J$5)/Get_Margin(J$3,J$2,J$5,J$1))*Get_Margin(J$3,J$2,J$5,J$1))*$C$3,ROUNDDOWN((Client_Margin($B28)*Alloted(J$3,J$2,J$5)/Get_Margin(J$3,J$2,J$5,J$1)),0),ROUNDUP((Client_Margin($B28)*Alloted(J$3,J$2,J$5)/Get_Margin(J$3,J$2,J$5,J$1)),0)),"-")</f>
        <v>3</v>
      </c>
      <c r="K28" s="43">
        <v>15</v>
      </c>
      <c r="L28" s="14" cm="1">
        <f t="array" ref="L28">IFERROR(IF(ROUNDUP((Client_Margin($B28)*Alloted(L$3,L$2,L$5)/Get_Margin(L$3,L$2,L$5,L$1)),0)*Get_Margin(L$3,L$2,L$5,L$1)&gt;((Client_Margin($B28)*Alloted(L$3,L$2,L$5)/Get_Margin(L$3,L$2,L$5,L$1))*Get_Margin(L$3,L$2,L$5,L$1))*$C$3,ROUNDDOWN((Client_Margin($B28)*Alloted(L$3,L$2,L$5)/Get_Margin(L$3,L$2,L$5,L$1)),0),ROUNDUP((Client_Margin($B28)*Alloted(L$3,L$2,L$5)/Get_Margin(L$3,L$2,L$5,L$1)),0)),"-")</f>
        <v>0</v>
      </c>
      <c r="M28" s="14" cm="1">
        <f t="array" ref="M28">IFERROR(IF(ROUNDUP((Client_Margin($B28)*Alloted(M$3,M$2,M$5)/Get_Margin(M$3,M$2,M$5,M$1)),0)*Get_Margin(M$3,M$2,M$5,M$1)&gt;((Client_Margin($B28)*Alloted(M$3,M$2,M$5)/Get_Margin(M$3,M$2,M$5,M$1))*Get_Margin(M$3,M$2,M$5,M$1))*$C$3,ROUNDDOWN((Client_Margin($B28)*Alloted(M$3,M$2,M$5)/Get_Margin(M$3,M$2,M$5,M$1)),0),ROUNDUP((Client_Margin($B28)*Alloted(M$3,M$2,M$5)/Get_Margin(M$3,M$2,M$5,M$1)),0)),"-")</f>
        <v>0</v>
      </c>
      <c r="N28" s="43">
        <v>0</v>
      </c>
      <c r="O28" s="14" cm="1">
        <f t="array" ref="O28">IFERROR(IF(ROUNDUP((Client_Margin($B28)*Alloted(O$3,O$2,O$5)/Get_Margin(O$3,O$2,O$5,O$1)),0)*Get_Margin(O$3,O$2,O$5,O$1)&gt;((Client_Margin($B28)*Alloted(O$3,O$2,O$5)/Get_Margin(O$3,O$2,O$5,O$1))*Get_Margin(O$3,O$2,O$5,O$1))*$C$3,ROUNDDOWN((Client_Margin($B28)*Alloted(O$3,O$2,O$5)/Get_Margin(O$3,O$2,O$5,O$1)),0),ROUNDUP((Client_Margin($B28)*Alloted(O$3,O$2,O$5)/Get_Margin(O$3,O$2,O$5,O$1)),0)),"-")</f>
        <v>3</v>
      </c>
      <c r="P28" s="14" cm="1">
        <f t="array" ref="P28">IFERROR(IF(ROUNDUP((Client_Margin($B28)*Alloted(P$3,P$2,P$5)/Get_Margin(P$3,P$2,P$5,P$1)),0)*Get_Margin(P$3,P$2,P$5,P$1)&gt;((Client_Margin($B28)*Alloted(P$3,P$2,P$5)/Get_Margin(P$3,P$2,P$5,P$1))*Get_Margin(P$3,P$2,P$5,P$1))*$C$3,ROUNDDOWN((Client_Margin($B28)*Alloted(P$3,P$2,P$5)/Get_Margin(P$3,P$2,P$5,P$1)),0),ROUNDUP((Client_Margin($B28)*Alloted(P$3,P$2,P$5)/Get_Margin(P$3,P$2,P$5,P$1)),0)),"-")</f>
        <v>3</v>
      </c>
    </row>
    <row r="29" spans="1:16" hidden="1" x14ac:dyDescent="0.25">
      <c r="A29">
        <f>IF(B29="",0,1)</f>
        <v>0</v>
      </c>
      <c r="B29" s="14"/>
      <c r="C29" s="14"/>
      <c r="D29" s="15">
        <f>SUM(E29:P29)</f>
        <v>0.93855555555555559</v>
      </c>
      <c r="E29" s="15" t="str" cm="1">
        <f t="array" ref="E29">IFERROR((_xlfn._xlws.FILTER(INDEX(Margin[],0,MATCH(E$1&amp;"_"&amp;E$3,Margin[#Headers],0)),(Margin[Index]=E$2)*(Margin[Strategy]=E$5))*E28)/Client_Margin($B28),"-")</f>
        <v>-</v>
      </c>
      <c r="F29" s="15" t="str" cm="1">
        <f t="array" ref="F29">IFERROR((_xlfn._xlws.FILTER(INDEX(Margin[],0,MATCH(F$1&amp;"_"&amp;F$3,Margin[#Headers],0)),(Margin[Index]=F$2)*(Margin[Strategy]=F$5))*F28)/Client_Margin($B28),"-")</f>
        <v>-</v>
      </c>
      <c r="G29" s="15" cm="1">
        <f t="array" ref="G29">IFERROR((_xlfn._xlws.FILTER(INDEX(Margin[],0,MATCH(G$1&amp;"_"&amp;G$3,Margin[#Headers],0)),(Margin[Index]=G$2)*(Margin[Strategy]=G$5))*G28)/Client_Margin($B28),"-")</f>
        <v>7.7333333333333337E-2</v>
      </c>
      <c r="H29" s="15" cm="1">
        <f t="array" ref="H29">IFERROR((_xlfn._xlws.FILTER(INDEX(Margin[],0,MATCH(H$1&amp;"_"&amp;H$3,Margin[#Headers],0)),(Margin[Index]=H$2)*(Margin[Strategy]=H$5))*H28)/Client_Margin($B28),"-")</f>
        <v>0.104</v>
      </c>
      <c r="I29" s="15" cm="1">
        <f t="array" ref="I29">IFERROR((_xlfn._xlws.FILTER(INDEX(Margin[],0,MATCH(I$1&amp;"_"&amp;I$3,Margin[#Headers],0)),(Margin[Index]=I$2)*(Margin[Strategy]=I$5))*I28)/Client_Margin($B28),"-")</f>
        <v>8.8888888888888892E-2</v>
      </c>
      <c r="J29" s="15" cm="1">
        <f t="array" ref="J29">IFERROR((_xlfn._xlws.FILTER(INDEX(Margin[],0,MATCH(J$1&amp;"_"&amp;J$3,Margin[#Headers],0)),(Margin[Index]=J$2)*(Margin[Strategy]=J$5))*J28)/Client_Margin($B28),"-")</f>
        <v>9.2499999999999999E-2</v>
      </c>
      <c r="K29" s="15" cm="1">
        <f t="array" ref="K29">IFERROR((_xlfn._xlws.FILTER(INDEX(Margin[],0,MATCH(K$1&amp;"_"&amp;K$3,Margin[#Headers],0)),(Margin[Index]=K$2)*(Margin[Strategy]=K$5))*K28)/Client_Margin($B28),"-")</f>
        <v>0.46250000000000002</v>
      </c>
      <c r="L29" s="15" cm="1">
        <f t="array" ref="L29">IFERROR((_xlfn._xlws.FILTER(INDEX(Margin[],0,MATCH(L$1&amp;"_"&amp;L$3,Margin[#Headers],0)),(Margin[Index]=L$2)*(Margin[Strategy]=L$5))*L28)/Client_Margin($B28),"-")</f>
        <v>0</v>
      </c>
      <c r="M29" s="15" cm="1">
        <f t="array" ref="M29">IFERROR((_xlfn._xlws.FILTER(INDEX(Margin[],0,MATCH(M$1&amp;"_"&amp;M$3,Margin[#Headers],0)),(Margin[Index]=M$2)*(Margin[Strategy]=M$5))*M28)/Client_Margin($B28),"-")</f>
        <v>0</v>
      </c>
      <c r="N29" s="15" cm="1">
        <f t="array" ref="N29">IFERROR((_xlfn._xlws.FILTER(INDEX(Margin[],0,MATCH(N$1&amp;"_"&amp;N$3,Margin[#Headers],0)),(Margin[Index]=N$2)*(Margin[Strategy]=N$5))*N28)/Client_Margin($B28),"-")</f>
        <v>0</v>
      </c>
      <c r="O29" s="15" cm="1">
        <f t="array" ref="O29">IFERROR((_xlfn._xlws.FILTER(INDEX(Margin[],0,MATCH(O$1&amp;"_"&amp;O$3,Margin[#Headers],0)),(Margin[Index]=O$2)*(Margin[Strategy]=O$5))*O28)/Client_Margin($B28),"-")</f>
        <v>5.6666666666666664E-2</v>
      </c>
      <c r="P29" s="15" cm="1">
        <f t="array" ref="P29">IFERROR((_xlfn._xlws.FILTER(INDEX(Margin[],0,MATCH(P$1&amp;"_"&amp;P$3,Margin[#Headers],0)),(Margin[Index]=P$2)*(Margin[Strategy]=P$5))*P28)/Client_Margin($B28),"-")</f>
        <v>5.6666666666666664E-2</v>
      </c>
    </row>
    <row r="30" spans="1:16" x14ac:dyDescent="0.25">
      <c r="A30">
        <f t="shared" ref="A30:A37" si="3">IF(B30="",0,1)</f>
        <v>1</v>
      </c>
      <c r="B30" s="14" t="s">
        <v>32</v>
      </c>
      <c r="C30" s="14" cm="1">
        <f t="array" ref="C30">(_xlfn._xlws.FILTER(Fund[Margin],Fund[Client Id]=B30))/10000000</f>
        <v>1.8</v>
      </c>
      <c r="D30" s="17"/>
      <c r="E30" s="14" t="str" cm="1">
        <f t="array" ref="E30">IFERROR(IF(ROUNDUP((Client_Margin($B30)*Alloted(E$3,E$2,E$5)/Get_Margin(E$3,E$2,E$5,E$1)),0)*Get_Margin(E$3,E$2,E$5,E$1)&gt;((Client_Margin($B30)*Alloted(E$3,E$2,E$5)/Get_Margin(E$3,E$2,E$5,E$1))*Get_Margin(E$3,E$2,E$5,E$1))*$C$3,ROUNDDOWN((Client_Margin($B30)*Alloted(E$3,E$2,E$5)/Get_Margin(E$3,E$2,E$5,E$1)),0),ROUNDUP((Client_Margin($B30)*Alloted(E$3,E$2,E$5)/Get_Margin(E$3,E$2,E$5,E$1)),0)),"-")</f>
        <v>-</v>
      </c>
      <c r="F30" s="14" t="str" cm="1">
        <f t="array" ref="F30">IFERROR(IF(ROUNDUP((Client_Margin($B30)*Alloted(F$3,F$2,F$5)/Get_Margin(F$3,F$2,F$5,F$1)),0)*Get_Margin(F$3,F$2,F$5,F$1)&gt;((Client_Margin($B30)*Alloted(F$3,F$2,F$5)/Get_Margin(F$3,F$2,F$5,F$1))*Get_Margin(F$3,F$2,F$5,F$1))*$C$3,ROUNDDOWN((Client_Margin($B30)*Alloted(F$3,F$2,F$5)/Get_Margin(F$3,F$2,F$5,F$1)),0),ROUNDUP((Client_Margin($B30)*Alloted(F$3,F$2,F$5)/Get_Margin(F$3,F$2,F$5,F$1)),0)),"-")</f>
        <v>-</v>
      </c>
      <c r="G30" s="14" cm="1">
        <f t="array" ref="G30">IFERROR(IF(ROUNDUP((Client_Margin($B30)*Alloted(G$3,G$2,G$5)/Get_Margin(G$3,G$2,G$5,G$1)),0)*Get_Margin(G$3,G$2,G$5,G$1)&gt;((Client_Margin($B30)*Alloted(G$3,G$2,G$5)/Get_Margin(G$3,G$2,G$5,G$1))*Get_Margin(G$3,G$2,G$5,G$1))*$C$3,ROUNDDOWN((Client_Margin($B30)*Alloted(G$3,G$2,G$5)/Get_Margin(G$3,G$2,G$5,G$1)),0),ROUNDUP((Client_Margin($B30)*Alloted(G$3,G$2,G$5)/Get_Margin(G$3,G$2,G$5,G$1)),0)),"-")</f>
        <v>2</v>
      </c>
      <c r="H30" s="14" cm="1">
        <f t="array" ref="H30">IFERROR(IF(ROUNDUP((Client_Margin($B30)*Alloted(H$3,H$2,H$5)/Get_Margin(H$3,H$2,H$5,H$1)),0)*Get_Margin(H$3,H$2,H$5,H$1)&gt;((Client_Margin($B30)*Alloted(H$3,H$2,H$5)/Get_Margin(H$3,H$2,H$5,H$1))*Get_Margin(H$3,H$2,H$5,H$1))*$C$3,ROUNDDOWN((Client_Margin($B30)*Alloted(H$3,H$2,H$5)/Get_Margin(H$3,H$2,H$5,H$1)),0),ROUNDUP((Client_Margin($B30)*Alloted(H$3,H$2,H$5)/Get_Margin(H$3,H$2,H$5,H$1)),0)),"-")</f>
        <v>1</v>
      </c>
      <c r="I30" s="14" cm="1">
        <f t="array" ref="I30">IFERROR(IF(ROUNDUP((Client_Margin($B30)*Alloted(I$3,I$2,I$5)/Get_Margin(I$3,I$2,I$5,I$1)),0)*Get_Margin(I$3,I$2,I$5,I$1)&gt;((Client_Margin($B30)*Alloted(I$3,I$2,I$5)/Get_Margin(I$3,I$2,I$5,I$1))*Get_Margin(I$3,I$2,I$5,I$1))*$C$3,ROUNDDOWN((Client_Margin($B30)*Alloted(I$3,I$2,I$5)/Get_Margin(I$3,I$2,I$5,I$1)),0),ROUNDUP((Client_Margin($B30)*Alloted(I$3,I$2,I$5)/Get_Margin(I$3,I$2,I$5,I$1)),0)),"-")</f>
        <v>1</v>
      </c>
      <c r="J30" s="14" cm="1">
        <f t="array" ref="J30">IFERROR(IF(ROUNDUP((Client_Margin($B30)*Alloted(J$3,J$2,J$5)/Get_Margin(J$3,J$2,J$5,J$1)),0)*Get_Margin(J$3,J$2,J$5,J$1)&gt;((Client_Margin($B30)*Alloted(J$3,J$2,J$5)/Get_Margin(J$3,J$2,J$5,J$1))*Get_Margin(J$3,J$2,J$5,J$1))*$C$3,ROUNDDOWN((Client_Margin($B30)*Alloted(J$3,J$2,J$5)/Get_Margin(J$3,J$2,J$5,J$1)),0),ROUNDUP((Client_Margin($B30)*Alloted(J$3,J$2,J$5)/Get_Margin(J$3,J$2,J$5,J$1)),0)),"-")</f>
        <v>3</v>
      </c>
      <c r="K30" s="43">
        <v>15</v>
      </c>
      <c r="L30" s="14" cm="1">
        <f t="array" ref="L30">IFERROR(IF(ROUNDUP((Client_Margin($B30)*Alloted(L$3,L$2,L$5)/Get_Margin(L$3,L$2,L$5,L$1)),0)*Get_Margin(L$3,L$2,L$5,L$1)&gt;((Client_Margin($B30)*Alloted(L$3,L$2,L$5)/Get_Margin(L$3,L$2,L$5,L$1))*Get_Margin(L$3,L$2,L$5,L$1))*$C$3,ROUNDDOWN((Client_Margin($B30)*Alloted(L$3,L$2,L$5)/Get_Margin(L$3,L$2,L$5,L$1)),0),ROUNDUP((Client_Margin($B30)*Alloted(L$3,L$2,L$5)/Get_Margin(L$3,L$2,L$5,L$1)),0)),"-")</f>
        <v>0</v>
      </c>
      <c r="M30" s="14" cm="1">
        <f t="array" ref="M30">IFERROR(IF(ROUNDUP((Client_Margin($B30)*Alloted(M$3,M$2,M$5)/Get_Margin(M$3,M$2,M$5,M$1)),0)*Get_Margin(M$3,M$2,M$5,M$1)&gt;((Client_Margin($B30)*Alloted(M$3,M$2,M$5)/Get_Margin(M$3,M$2,M$5,M$1))*Get_Margin(M$3,M$2,M$5,M$1))*$C$3,ROUNDDOWN((Client_Margin($B30)*Alloted(M$3,M$2,M$5)/Get_Margin(M$3,M$2,M$5,M$1)),0),ROUNDUP((Client_Margin($B30)*Alloted(M$3,M$2,M$5)/Get_Margin(M$3,M$2,M$5,M$1)),0)),"-")</f>
        <v>0</v>
      </c>
      <c r="N30" s="43">
        <v>0</v>
      </c>
      <c r="O30" s="14" cm="1">
        <f t="array" ref="O30">IFERROR(IF(ROUNDUP((Client_Margin($B30)*Alloted(O$3,O$2,O$5)/Get_Margin(O$3,O$2,O$5,O$1)),0)*Get_Margin(O$3,O$2,O$5,O$1)&gt;((Client_Margin($B30)*Alloted(O$3,O$2,O$5)/Get_Margin(O$3,O$2,O$5,O$1))*Get_Margin(O$3,O$2,O$5,O$1))*$C$3,ROUNDDOWN((Client_Margin($B30)*Alloted(O$3,O$2,O$5)/Get_Margin(O$3,O$2,O$5,O$1)),0),ROUNDUP((Client_Margin($B30)*Alloted(O$3,O$2,O$5)/Get_Margin(O$3,O$2,O$5,O$1)),0)),"-")</f>
        <v>3</v>
      </c>
      <c r="P30" s="14" cm="1">
        <f t="array" ref="P30">IFERROR(IF(ROUNDUP((Client_Margin($B30)*Alloted(P$3,P$2,P$5)/Get_Margin(P$3,P$2,P$5,P$1)),0)*Get_Margin(P$3,P$2,P$5,P$1)&gt;((Client_Margin($B30)*Alloted(P$3,P$2,P$5)/Get_Margin(P$3,P$2,P$5,P$1))*Get_Margin(P$3,P$2,P$5,P$1))*$C$3,ROUNDDOWN((Client_Margin($B30)*Alloted(P$3,P$2,P$5)/Get_Margin(P$3,P$2,P$5,P$1)),0),ROUNDUP((Client_Margin($B30)*Alloted(P$3,P$2,P$5)/Get_Margin(P$3,P$2,P$5,P$1)),0)),"-")</f>
        <v>3</v>
      </c>
    </row>
    <row r="31" spans="1:16" hidden="1" x14ac:dyDescent="0.25">
      <c r="A31">
        <f t="shared" si="3"/>
        <v>0</v>
      </c>
      <c r="B31" s="14"/>
      <c r="C31" s="14"/>
      <c r="D31" s="15">
        <f>SUM(E31:P31)</f>
        <v>0.93855555555555559</v>
      </c>
      <c r="E31" s="15" t="str" cm="1">
        <f t="array" ref="E31">IFERROR((_xlfn._xlws.FILTER(INDEX(Margin[],0,MATCH(E$1&amp;"_"&amp;E$3,Margin[#Headers],0)),(Margin[Index]=E$2)*(Margin[Strategy]=E$5))*E30)/Client_Margin($B30),"-")</f>
        <v>-</v>
      </c>
      <c r="F31" s="15" t="str" cm="1">
        <f t="array" ref="F31">IFERROR((_xlfn._xlws.FILTER(INDEX(Margin[],0,MATCH(F$1&amp;"_"&amp;F$3,Margin[#Headers],0)),(Margin[Index]=F$2)*(Margin[Strategy]=F$5))*F30)/Client_Margin($B30),"-")</f>
        <v>-</v>
      </c>
      <c r="G31" s="15" cm="1">
        <f t="array" ref="G31">IFERROR((_xlfn._xlws.FILTER(INDEX(Margin[],0,MATCH(G$1&amp;"_"&amp;G$3,Margin[#Headers],0)),(Margin[Index]=G$2)*(Margin[Strategy]=G$5))*G30)/Client_Margin($B30),"-")</f>
        <v>7.7333333333333337E-2</v>
      </c>
      <c r="H31" s="15" cm="1">
        <f t="array" ref="H31">IFERROR((_xlfn._xlws.FILTER(INDEX(Margin[],0,MATCH(H$1&amp;"_"&amp;H$3,Margin[#Headers],0)),(Margin[Index]=H$2)*(Margin[Strategy]=H$5))*H30)/Client_Margin($B30),"-")</f>
        <v>0.104</v>
      </c>
      <c r="I31" s="15" cm="1">
        <f t="array" ref="I31">IFERROR((_xlfn._xlws.FILTER(INDEX(Margin[],0,MATCH(I$1&amp;"_"&amp;I$3,Margin[#Headers],0)),(Margin[Index]=I$2)*(Margin[Strategy]=I$5))*I30)/Client_Margin($B30),"-")</f>
        <v>8.8888888888888892E-2</v>
      </c>
      <c r="J31" s="15" cm="1">
        <f t="array" ref="J31">IFERROR((_xlfn._xlws.FILTER(INDEX(Margin[],0,MATCH(J$1&amp;"_"&amp;J$3,Margin[#Headers],0)),(Margin[Index]=J$2)*(Margin[Strategy]=J$5))*J30)/Client_Margin($B30),"-")</f>
        <v>9.2499999999999999E-2</v>
      </c>
      <c r="K31" s="15" cm="1">
        <f t="array" ref="K31">IFERROR((_xlfn._xlws.FILTER(INDEX(Margin[],0,MATCH(K$1&amp;"_"&amp;K$3,Margin[#Headers],0)),(Margin[Index]=K$2)*(Margin[Strategy]=K$5))*K30)/Client_Margin($B30),"-")</f>
        <v>0.46250000000000002</v>
      </c>
      <c r="L31" s="15" cm="1">
        <f t="array" ref="L31">IFERROR((_xlfn._xlws.FILTER(INDEX(Margin[],0,MATCH(L$1&amp;"_"&amp;L$3,Margin[#Headers],0)),(Margin[Index]=L$2)*(Margin[Strategy]=L$5))*L30)/Client_Margin($B30),"-")</f>
        <v>0</v>
      </c>
      <c r="M31" s="15" cm="1">
        <f t="array" ref="M31">IFERROR((_xlfn._xlws.FILTER(INDEX(Margin[],0,MATCH(M$1&amp;"_"&amp;M$3,Margin[#Headers],0)),(Margin[Index]=M$2)*(Margin[Strategy]=M$5))*M30)/Client_Margin($B30),"-")</f>
        <v>0</v>
      </c>
      <c r="N31" s="15" cm="1">
        <f t="array" ref="N31">IFERROR((_xlfn._xlws.FILTER(INDEX(Margin[],0,MATCH(N$1&amp;"_"&amp;N$3,Margin[#Headers],0)),(Margin[Index]=N$2)*(Margin[Strategy]=N$5))*N30)/Client_Margin($B30),"-")</f>
        <v>0</v>
      </c>
      <c r="O31" s="15" cm="1">
        <f t="array" ref="O31">IFERROR((_xlfn._xlws.FILTER(INDEX(Margin[],0,MATCH(O$1&amp;"_"&amp;O$3,Margin[#Headers],0)),(Margin[Index]=O$2)*(Margin[Strategy]=O$5))*O30)/Client_Margin($B30),"-")</f>
        <v>5.6666666666666664E-2</v>
      </c>
      <c r="P31" s="15" cm="1">
        <f t="array" ref="P31">IFERROR((_xlfn._xlws.FILTER(INDEX(Margin[],0,MATCH(P$1&amp;"_"&amp;P$3,Margin[#Headers],0)),(Margin[Index]=P$2)*(Margin[Strategy]=P$5))*P30)/Client_Margin($B30),"-")</f>
        <v>5.6666666666666664E-2</v>
      </c>
    </row>
    <row r="32" spans="1:16" x14ac:dyDescent="0.25">
      <c r="A32">
        <f t="shared" si="3"/>
        <v>1</v>
      </c>
      <c r="B32" s="14" t="s">
        <v>112</v>
      </c>
      <c r="C32" s="14" cm="1">
        <f t="array" ref="C32">(_xlfn._xlws.FILTER(Fund[Margin],Fund[Client Id]=B32))/10000000</f>
        <v>1.6</v>
      </c>
      <c r="D32" s="17"/>
      <c r="E32" s="14" t="str" cm="1">
        <f t="array" ref="E32">IFERROR(IF(ROUNDUP((Client_Margin($B32)*Alloted(E$3,E$2,E$5)/Get_Margin(E$3,E$2,E$5,E$1)),0)*Get_Margin(E$3,E$2,E$5,E$1)&gt;((Client_Margin($B32)*Alloted(E$3,E$2,E$5)/Get_Margin(E$3,E$2,E$5,E$1))*Get_Margin(E$3,E$2,E$5,E$1))*$C$3,ROUNDDOWN((Client_Margin($B32)*Alloted(E$3,E$2,E$5)/Get_Margin(E$3,E$2,E$5,E$1)),0),ROUNDUP((Client_Margin($B32)*Alloted(E$3,E$2,E$5)/Get_Margin(E$3,E$2,E$5,E$1)),0)),"-")</f>
        <v>-</v>
      </c>
      <c r="F32" s="14" t="str" cm="1">
        <f t="array" ref="F32">IFERROR(IF(ROUNDUP((Client_Margin($B32)*Alloted(F$3,F$2,F$5)/Get_Margin(F$3,F$2,F$5,F$1)),0)*Get_Margin(F$3,F$2,F$5,F$1)&gt;((Client_Margin($B32)*Alloted(F$3,F$2,F$5)/Get_Margin(F$3,F$2,F$5,F$1))*Get_Margin(F$3,F$2,F$5,F$1))*$C$3,ROUNDDOWN((Client_Margin($B32)*Alloted(F$3,F$2,F$5)/Get_Margin(F$3,F$2,F$5,F$1)),0),ROUNDUP((Client_Margin($B32)*Alloted(F$3,F$2,F$5)/Get_Margin(F$3,F$2,F$5,F$1)),0)),"-")</f>
        <v>-</v>
      </c>
      <c r="G32" s="14" cm="1">
        <f t="array" ref="G32">IFERROR(IF(ROUNDUP((Client_Margin($B32)*Alloted(G$3,G$2,G$5)/Get_Margin(G$3,G$2,G$5,G$1)),0)*Get_Margin(G$3,G$2,G$5,G$1)&gt;((Client_Margin($B32)*Alloted(G$3,G$2,G$5)/Get_Margin(G$3,G$2,G$5,G$1))*Get_Margin(G$3,G$2,G$5,G$1))*$C$3,ROUNDDOWN((Client_Margin($B32)*Alloted(G$3,G$2,G$5)/Get_Margin(G$3,G$2,G$5,G$1)),0),ROUNDUP((Client_Margin($B32)*Alloted(G$3,G$2,G$5)/Get_Margin(G$3,G$2,G$5,G$1)),0)),"-")</f>
        <v>2</v>
      </c>
      <c r="H32" s="43">
        <v>1</v>
      </c>
      <c r="I32" s="14" cm="1">
        <f t="array" ref="I32">IFERROR(IF(ROUNDUP((Client_Margin($B32)*Alloted(I$3,I$2,I$5)/Get_Margin(I$3,I$2,I$5,I$1)),0)*Get_Margin(I$3,I$2,I$5,I$1)&gt;((Client_Margin($B32)*Alloted(I$3,I$2,I$5)/Get_Margin(I$3,I$2,I$5,I$1))*Get_Margin(I$3,I$2,I$5,I$1))*$C$3,ROUNDDOWN((Client_Margin($B32)*Alloted(I$3,I$2,I$5)/Get_Margin(I$3,I$2,I$5,I$1)),0),ROUNDUP((Client_Margin($B32)*Alloted(I$3,I$2,I$5)/Get_Margin(I$3,I$2,I$5,I$1)),0)),"-")</f>
        <v>1</v>
      </c>
      <c r="J32" s="14" cm="1">
        <f t="array" ref="J32">IFERROR(IF(ROUNDUP((Client_Margin($B32)*Alloted(J$3,J$2,J$5)/Get_Margin(J$3,J$2,J$5,J$1)),0)*Get_Margin(J$3,J$2,J$5,J$1)&gt;((Client_Margin($B32)*Alloted(J$3,J$2,J$5)/Get_Margin(J$3,J$2,J$5,J$1))*Get_Margin(J$3,J$2,J$5,J$1))*$C$3,ROUNDDOWN((Client_Margin($B32)*Alloted(J$3,J$2,J$5)/Get_Margin(J$3,J$2,J$5,J$1)),0),ROUNDUP((Client_Margin($B32)*Alloted(J$3,J$2,J$5)/Get_Margin(J$3,J$2,J$5,J$1)),0)),"-")</f>
        <v>3</v>
      </c>
      <c r="K32" s="43">
        <v>13</v>
      </c>
      <c r="L32" s="14" cm="1">
        <f t="array" ref="L32">IFERROR(IF(ROUNDUP((Client_Margin($B32)*Alloted(L$3,L$2,L$5)/Get_Margin(L$3,L$2,L$5,L$1)),0)*Get_Margin(L$3,L$2,L$5,L$1)&gt;((Client_Margin($B32)*Alloted(L$3,L$2,L$5)/Get_Margin(L$3,L$2,L$5,L$1))*Get_Margin(L$3,L$2,L$5,L$1))*$C$3,ROUNDDOWN((Client_Margin($B32)*Alloted(L$3,L$2,L$5)/Get_Margin(L$3,L$2,L$5,L$1)),0),ROUNDUP((Client_Margin($B32)*Alloted(L$3,L$2,L$5)/Get_Margin(L$3,L$2,L$5,L$1)),0)),"-")</f>
        <v>0</v>
      </c>
      <c r="M32" s="14" cm="1">
        <f t="array" ref="M32">IFERROR(IF(ROUNDUP((Client_Margin($B32)*Alloted(M$3,M$2,M$5)/Get_Margin(M$3,M$2,M$5,M$1)),0)*Get_Margin(M$3,M$2,M$5,M$1)&gt;((Client_Margin($B32)*Alloted(M$3,M$2,M$5)/Get_Margin(M$3,M$2,M$5,M$1))*Get_Margin(M$3,M$2,M$5,M$1))*$C$3,ROUNDDOWN((Client_Margin($B32)*Alloted(M$3,M$2,M$5)/Get_Margin(M$3,M$2,M$5,M$1)),0),ROUNDUP((Client_Margin($B32)*Alloted(M$3,M$2,M$5)/Get_Margin(M$3,M$2,M$5,M$1)),0)),"-")</f>
        <v>0</v>
      </c>
      <c r="N32" s="43">
        <v>0</v>
      </c>
      <c r="O32" s="14" cm="1">
        <f t="array" ref="O32">IFERROR(IF(ROUNDUP((Client_Margin($B32)*Alloted(O$3,O$2,O$5)/Get_Margin(O$3,O$2,O$5,O$1)),0)*Get_Margin(O$3,O$2,O$5,O$1)&gt;((Client_Margin($B32)*Alloted(O$3,O$2,O$5)/Get_Margin(O$3,O$2,O$5,O$1))*Get_Margin(O$3,O$2,O$5,O$1))*$C$3,ROUNDDOWN((Client_Margin($B32)*Alloted(O$3,O$2,O$5)/Get_Margin(O$3,O$2,O$5,O$1)),0),ROUNDUP((Client_Margin($B32)*Alloted(O$3,O$2,O$5)/Get_Margin(O$3,O$2,O$5,O$1)),0)),"-")</f>
        <v>2</v>
      </c>
      <c r="P32" s="14" cm="1">
        <f t="array" ref="P32">IFERROR(IF(ROUNDUP((Client_Margin($B32)*Alloted(P$3,P$2,P$5)/Get_Margin(P$3,P$2,P$5,P$1)),0)*Get_Margin(P$3,P$2,P$5,P$1)&gt;((Client_Margin($B32)*Alloted(P$3,P$2,P$5)/Get_Margin(P$3,P$2,P$5,P$1))*Get_Margin(P$3,P$2,P$5,P$1))*$C$3,ROUNDDOWN((Client_Margin($B32)*Alloted(P$3,P$2,P$5)/Get_Margin(P$3,P$2,P$5,P$1)),0),ROUNDUP((Client_Margin($B32)*Alloted(P$3,P$2,P$5)/Get_Margin(P$3,P$2,P$5,P$1)),0)),"-")</f>
        <v>2</v>
      </c>
    </row>
    <row r="33" spans="1:16" hidden="1" x14ac:dyDescent="0.25">
      <c r="A33">
        <f t="shared" si="3"/>
        <v>0</v>
      </c>
      <c r="B33" s="14"/>
      <c r="C33" s="14"/>
      <c r="D33" s="15">
        <f>SUM(E33:P33)</f>
        <v>0.94399999999999995</v>
      </c>
      <c r="E33" s="15" t="str" cm="1">
        <f t="array" ref="E33">IFERROR((_xlfn._xlws.FILTER(INDEX(Margin[],0,MATCH(E$1&amp;"_"&amp;E$3,Margin[#Headers],0)),(Margin[Index]=E$2)*(Margin[Strategy]=E$5))*E32)/Client_Margin($B32),"-")</f>
        <v>-</v>
      </c>
      <c r="F33" s="15" t="str" cm="1">
        <f t="array" ref="F33">IFERROR((_xlfn._xlws.FILTER(INDEX(Margin[],0,MATCH(F$1&amp;"_"&amp;F$3,Margin[#Headers],0)),(Margin[Index]=F$2)*(Margin[Strategy]=F$5))*F32)/Client_Margin($B32),"-")</f>
        <v>-</v>
      </c>
      <c r="G33" s="15" cm="1">
        <f t="array" ref="G33">IFERROR((_xlfn._xlws.FILTER(INDEX(Margin[],0,MATCH(G$1&amp;"_"&amp;G$3,Margin[#Headers],0)),(Margin[Index]=G$2)*(Margin[Strategy]=G$5))*G32)/Client_Margin($B32),"-")</f>
        <v>8.6999999999999994E-2</v>
      </c>
      <c r="H33" s="15" cm="1">
        <f t="array" ref="H33">IFERROR((_xlfn._xlws.FILTER(INDEX(Margin[],0,MATCH(H$1&amp;"_"&amp;H$3,Margin[#Headers],0)),(Margin[Index]=H$2)*(Margin[Strategy]=H$5))*H32)/Client_Margin($B32),"-")</f>
        <v>0.11700000000000001</v>
      </c>
      <c r="I33" s="15" cm="1">
        <f t="array" ref="I33">IFERROR((_xlfn._xlws.FILTER(INDEX(Margin[],0,MATCH(I$1&amp;"_"&amp;I$3,Margin[#Headers],0)),(Margin[Index]=I$2)*(Margin[Strategy]=I$5))*I32)/Client_Margin($B32),"-")</f>
        <v>0.1</v>
      </c>
      <c r="J33" s="15" cm="1">
        <f t="array" ref="J33">IFERROR((_xlfn._xlws.FILTER(INDEX(Margin[],0,MATCH(J$1&amp;"_"&amp;J$3,Margin[#Headers],0)),(Margin[Index]=J$2)*(Margin[Strategy]=J$5))*J32)/Client_Margin($B32),"-")</f>
        <v>0.1040625</v>
      </c>
      <c r="K33" s="15" cm="1">
        <f t="array" ref="K33">IFERROR((_xlfn._xlws.FILTER(INDEX(Margin[],0,MATCH(K$1&amp;"_"&amp;K$3,Margin[#Headers],0)),(Margin[Index]=K$2)*(Margin[Strategy]=K$5))*K32)/Client_Margin($B32),"-")</f>
        <v>0.45093749999999999</v>
      </c>
      <c r="L33" s="15" cm="1">
        <f t="array" ref="L33">IFERROR((_xlfn._xlws.FILTER(INDEX(Margin[],0,MATCH(L$1&amp;"_"&amp;L$3,Margin[#Headers],0)),(Margin[Index]=L$2)*(Margin[Strategy]=L$5))*L32)/Client_Margin($B32),"-")</f>
        <v>0</v>
      </c>
      <c r="M33" s="15" cm="1">
        <f t="array" ref="M33">IFERROR((_xlfn._xlws.FILTER(INDEX(Margin[],0,MATCH(M$1&amp;"_"&amp;M$3,Margin[#Headers],0)),(Margin[Index]=M$2)*(Margin[Strategy]=M$5))*M32)/Client_Margin($B32),"-")</f>
        <v>0</v>
      </c>
      <c r="N33" s="15" cm="1">
        <f t="array" ref="N33">IFERROR((_xlfn._xlws.FILTER(INDEX(Margin[],0,MATCH(N$1&amp;"_"&amp;N$3,Margin[#Headers],0)),(Margin[Index]=N$2)*(Margin[Strategy]=N$5))*N32)/Client_Margin($B32),"-")</f>
        <v>0</v>
      </c>
      <c r="O33" s="15" cm="1">
        <f t="array" ref="O33">IFERROR((_xlfn._xlws.FILTER(INDEX(Margin[],0,MATCH(O$1&amp;"_"&amp;O$3,Margin[#Headers],0)),(Margin[Index]=O$2)*(Margin[Strategy]=O$5))*O32)/Client_Margin($B32),"-")</f>
        <v>4.2500000000000003E-2</v>
      </c>
      <c r="P33" s="15" cm="1">
        <f t="array" ref="P33">IFERROR((_xlfn._xlws.FILTER(INDEX(Margin[],0,MATCH(P$1&amp;"_"&amp;P$3,Margin[#Headers],0)),(Margin[Index]=P$2)*(Margin[Strategy]=P$5))*P32)/Client_Margin($B32),"-")</f>
        <v>4.2500000000000003E-2</v>
      </c>
    </row>
    <row r="34" spans="1:16" x14ac:dyDescent="0.25">
      <c r="A34">
        <f t="shared" si="3"/>
        <v>1</v>
      </c>
      <c r="B34" s="14" t="s">
        <v>38</v>
      </c>
      <c r="C34" s="14" cm="1">
        <f t="array" ref="C34">(_xlfn._xlws.FILTER(Fund[Margin],Fund[Client Id]=B34))/10000000</f>
        <v>1.5</v>
      </c>
      <c r="D34" s="17"/>
      <c r="E34" s="14" t="str" cm="1">
        <f t="array" ref="E34">IFERROR(IF(ROUNDUP((Client_Margin($B34)*Alloted(E$3,E$2,E$5)/Get_Margin(E$3,E$2,E$5,E$1)),0)*Get_Margin(E$3,E$2,E$5,E$1)&gt;((Client_Margin($B34)*Alloted(E$3,E$2,E$5)/Get_Margin(E$3,E$2,E$5,E$1))*Get_Margin(E$3,E$2,E$5,E$1))*$C$3,ROUNDDOWN((Client_Margin($B34)*Alloted(E$3,E$2,E$5)/Get_Margin(E$3,E$2,E$5,E$1)),0),ROUNDUP((Client_Margin($B34)*Alloted(E$3,E$2,E$5)/Get_Margin(E$3,E$2,E$5,E$1)),0)),"-")</f>
        <v>-</v>
      </c>
      <c r="F34" s="14" t="str" cm="1">
        <f t="array" ref="F34">IFERROR(IF(ROUNDUP((Client_Margin($B34)*Alloted(F$3,F$2,F$5)/Get_Margin(F$3,F$2,F$5,F$1)),0)*Get_Margin(F$3,F$2,F$5,F$1)&gt;((Client_Margin($B34)*Alloted(F$3,F$2,F$5)/Get_Margin(F$3,F$2,F$5,F$1))*Get_Margin(F$3,F$2,F$5,F$1))*$C$3,ROUNDDOWN((Client_Margin($B34)*Alloted(F$3,F$2,F$5)/Get_Margin(F$3,F$2,F$5,F$1)),0),ROUNDUP((Client_Margin($B34)*Alloted(F$3,F$2,F$5)/Get_Margin(F$3,F$2,F$5,F$1)),0)),"-")</f>
        <v>-</v>
      </c>
      <c r="G34" s="14" cm="1">
        <f t="array" ref="G34">IFERROR(IF(ROUNDUP((Client_Margin($B34)*Alloted(G$3,G$2,G$5)/Get_Margin(G$3,G$2,G$5,G$1)),0)*Get_Margin(G$3,G$2,G$5,G$1)&gt;((Client_Margin($B34)*Alloted(G$3,G$2,G$5)/Get_Margin(G$3,G$2,G$5,G$1))*Get_Margin(G$3,G$2,G$5,G$1))*$C$3,ROUNDDOWN((Client_Margin($B34)*Alloted(G$3,G$2,G$5)/Get_Margin(G$3,G$2,G$5,G$1)),0),ROUNDUP((Client_Margin($B34)*Alloted(G$3,G$2,G$5)/Get_Margin(G$3,G$2,G$5,G$1)),0)),"-")</f>
        <v>2</v>
      </c>
      <c r="H34" s="43">
        <v>1</v>
      </c>
      <c r="I34" s="14" cm="1">
        <f t="array" ref="I34">IFERROR(IF(ROUNDUP((Client_Margin($B34)*Alloted(I$3,I$2,I$5)/Get_Margin(I$3,I$2,I$5,I$1)),0)*Get_Margin(I$3,I$2,I$5,I$1)&gt;((Client_Margin($B34)*Alloted(I$3,I$2,I$5)/Get_Margin(I$3,I$2,I$5,I$1))*Get_Margin(I$3,I$2,I$5,I$1))*$C$3,ROUNDDOWN((Client_Margin($B34)*Alloted(I$3,I$2,I$5)/Get_Margin(I$3,I$2,I$5,I$1)),0),ROUNDUP((Client_Margin($B34)*Alloted(I$3,I$2,I$5)/Get_Margin(I$3,I$2,I$5,I$1)),0)),"-")</f>
        <v>1</v>
      </c>
      <c r="J34" s="14" cm="1">
        <f t="array" ref="J34">IFERROR(IF(ROUNDUP((Client_Margin($B34)*Alloted(J$3,J$2,J$5)/Get_Margin(J$3,J$2,J$5,J$1)),0)*Get_Margin(J$3,J$2,J$5,J$1)&gt;((Client_Margin($B34)*Alloted(J$3,J$2,J$5)/Get_Margin(J$3,J$2,J$5,J$1))*Get_Margin(J$3,J$2,J$5,J$1))*$C$3,ROUNDDOWN((Client_Margin($B34)*Alloted(J$3,J$2,J$5)/Get_Margin(J$3,J$2,J$5,J$1)),0),ROUNDUP((Client_Margin($B34)*Alloted(J$3,J$2,J$5)/Get_Margin(J$3,J$2,J$5,J$1)),0)),"-")</f>
        <v>3</v>
      </c>
      <c r="K34" s="14" cm="1">
        <f t="array" ref="K34">IFERROR(IF(ROUNDUP((Client_Margin($B34)*Alloted(K$3,K$2,K$5)/Get_Margin(K$3,K$2,K$5,K$1)),0)*Get_Margin(K$3,K$2,K$5,K$1)&gt;((Client_Margin($B34)*Alloted(K$3,K$2,K$5)/Get_Margin(K$3,K$2,K$5,K$1))*Get_Margin(K$3,K$2,K$5,K$1))*$C$3,ROUNDDOWN((Client_Margin($B34)*Alloted(K$3,K$2,K$5)/Get_Margin(K$3,K$2,K$5,K$1)),0),ROUNDUP((Client_Margin($B34)*Alloted(K$3,K$2,K$5)/Get_Margin(K$3,K$2,K$5,K$1)),0)),"-")</f>
        <v>11</v>
      </c>
      <c r="L34" s="14" cm="1">
        <f t="array" ref="L34">IFERROR(IF(ROUNDUP((Client_Margin($B34)*Alloted(L$3,L$2,L$5)/Get_Margin(L$3,L$2,L$5,L$1)),0)*Get_Margin(L$3,L$2,L$5,L$1)&gt;((Client_Margin($B34)*Alloted(L$3,L$2,L$5)/Get_Margin(L$3,L$2,L$5,L$1))*Get_Margin(L$3,L$2,L$5,L$1))*$C$3,ROUNDDOWN((Client_Margin($B34)*Alloted(L$3,L$2,L$5)/Get_Margin(L$3,L$2,L$5,L$1)),0),ROUNDUP((Client_Margin($B34)*Alloted(L$3,L$2,L$5)/Get_Margin(L$3,L$2,L$5,L$1)),0)),"-")</f>
        <v>0</v>
      </c>
      <c r="M34" s="14" cm="1">
        <f t="array" ref="M34">IFERROR(IF(ROUNDUP((Client_Margin($B34)*Alloted(M$3,M$2,M$5)/Get_Margin(M$3,M$2,M$5,M$1)),0)*Get_Margin(M$3,M$2,M$5,M$1)&gt;((Client_Margin($B34)*Alloted(M$3,M$2,M$5)/Get_Margin(M$3,M$2,M$5,M$1))*Get_Margin(M$3,M$2,M$5,M$1))*$C$3,ROUNDDOWN((Client_Margin($B34)*Alloted(M$3,M$2,M$5)/Get_Margin(M$3,M$2,M$5,M$1)),0),ROUNDUP((Client_Margin($B34)*Alloted(M$3,M$2,M$5)/Get_Margin(M$3,M$2,M$5,M$1)),0)),"-")</f>
        <v>0</v>
      </c>
      <c r="N34" s="43">
        <v>0</v>
      </c>
      <c r="O34" s="14" cm="1">
        <f t="array" ref="O34">IFERROR(IF(ROUNDUP((Client_Margin($B34)*Alloted(O$3,O$2,O$5)/Get_Margin(O$3,O$2,O$5,O$1)),0)*Get_Margin(O$3,O$2,O$5,O$1)&gt;((Client_Margin($B34)*Alloted(O$3,O$2,O$5)/Get_Margin(O$3,O$2,O$5,O$1))*Get_Margin(O$3,O$2,O$5,O$1))*$C$3,ROUNDDOWN((Client_Margin($B34)*Alloted(O$3,O$2,O$5)/Get_Margin(O$3,O$2,O$5,O$1)),0),ROUNDUP((Client_Margin($B34)*Alloted(O$3,O$2,O$5)/Get_Margin(O$3,O$2,O$5,O$1)),0)),"-")</f>
        <v>2</v>
      </c>
      <c r="P34" s="14" cm="1">
        <f t="array" ref="P34">IFERROR(IF(ROUNDUP((Client_Margin($B34)*Alloted(P$3,P$2,P$5)/Get_Margin(P$3,P$2,P$5,P$1)),0)*Get_Margin(P$3,P$2,P$5,P$1)&gt;((Client_Margin($B34)*Alloted(P$3,P$2,P$5)/Get_Margin(P$3,P$2,P$5,P$1))*Get_Margin(P$3,P$2,P$5,P$1))*$C$3,ROUNDDOWN((Client_Margin($B34)*Alloted(P$3,P$2,P$5)/Get_Margin(P$3,P$2,P$5,P$1)),0),ROUNDUP((Client_Margin($B34)*Alloted(P$3,P$2,P$5)/Get_Margin(P$3,P$2,P$5,P$1)),0)),"-")</f>
        <v>2</v>
      </c>
    </row>
    <row r="35" spans="1:16" hidden="1" x14ac:dyDescent="0.25">
      <c r="A35">
        <f t="shared" si="3"/>
        <v>0</v>
      </c>
      <c r="B35" s="14"/>
      <c r="C35" s="14"/>
      <c r="D35" s="15">
        <f>SUM(E35:P35)</f>
        <v>0.93293333333333328</v>
      </c>
      <c r="E35" s="15" t="str" cm="1">
        <f t="array" ref="E35">IFERROR((_xlfn._xlws.FILTER(INDEX(Margin[],0,MATCH(E$1&amp;"_"&amp;E$3,Margin[#Headers],0)),(Margin[Index]=E$2)*(Margin[Strategy]=E$5))*E34)/Client_Margin($B34),"-")</f>
        <v>-</v>
      </c>
      <c r="F35" s="15" t="str" cm="1">
        <f t="array" ref="F35">IFERROR((_xlfn._xlws.FILTER(INDEX(Margin[],0,MATCH(F$1&amp;"_"&amp;F$3,Margin[#Headers],0)),(Margin[Index]=F$2)*(Margin[Strategy]=F$5))*F34)/Client_Margin($B34),"-")</f>
        <v>-</v>
      </c>
      <c r="G35" s="15" cm="1">
        <f t="array" ref="G35">IFERROR((_xlfn._xlws.FILTER(INDEX(Margin[],0,MATCH(G$1&amp;"_"&amp;G$3,Margin[#Headers],0)),(Margin[Index]=G$2)*(Margin[Strategy]=G$5))*G34)/Client_Margin($B34),"-")</f>
        <v>9.2799999999999994E-2</v>
      </c>
      <c r="H35" s="15" cm="1">
        <f t="array" ref="H35">IFERROR((_xlfn._xlws.FILTER(INDEX(Margin[],0,MATCH(H$1&amp;"_"&amp;H$3,Margin[#Headers],0)),(Margin[Index]=H$2)*(Margin[Strategy]=H$5))*H34)/Client_Margin($B34),"-")</f>
        <v>0.12479999999999999</v>
      </c>
      <c r="I35" s="15" cm="1">
        <f t="array" ref="I35">IFERROR((_xlfn._xlws.FILTER(INDEX(Margin[],0,MATCH(I$1&amp;"_"&amp;I$3,Margin[#Headers],0)),(Margin[Index]=I$2)*(Margin[Strategy]=I$5))*I34)/Client_Margin($B34),"-")</f>
        <v>0.10666666666666667</v>
      </c>
      <c r="J35" s="15" cm="1">
        <f t="array" ref="J35">IFERROR((_xlfn._xlws.FILTER(INDEX(Margin[],0,MATCH(J$1&amp;"_"&amp;J$3,Margin[#Headers],0)),(Margin[Index]=J$2)*(Margin[Strategy]=J$5))*J34)/Client_Margin($B34),"-")</f>
        <v>0.111</v>
      </c>
      <c r="K35" s="15" cm="1">
        <f t="array" ref="K35">IFERROR((_xlfn._xlws.FILTER(INDEX(Margin[],0,MATCH(K$1&amp;"_"&amp;K$3,Margin[#Headers],0)),(Margin[Index]=K$2)*(Margin[Strategy]=K$5))*K34)/Client_Margin($B34),"-")</f>
        <v>0.40699999999999997</v>
      </c>
      <c r="L35" s="15" cm="1">
        <f t="array" ref="L35">IFERROR((_xlfn._xlws.FILTER(INDEX(Margin[],0,MATCH(L$1&amp;"_"&amp;L$3,Margin[#Headers],0)),(Margin[Index]=L$2)*(Margin[Strategy]=L$5))*L34)/Client_Margin($B34),"-")</f>
        <v>0</v>
      </c>
      <c r="M35" s="15" cm="1">
        <f t="array" ref="M35">IFERROR((_xlfn._xlws.FILTER(INDEX(Margin[],0,MATCH(M$1&amp;"_"&amp;M$3,Margin[#Headers],0)),(Margin[Index]=M$2)*(Margin[Strategy]=M$5))*M34)/Client_Margin($B34),"-")</f>
        <v>0</v>
      </c>
      <c r="N35" s="15" cm="1">
        <f t="array" ref="N35">IFERROR((_xlfn._xlws.FILTER(INDEX(Margin[],0,MATCH(N$1&amp;"_"&amp;N$3,Margin[#Headers],0)),(Margin[Index]=N$2)*(Margin[Strategy]=N$5))*N34)/Client_Margin($B34),"-")</f>
        <v>0</v>
      </c>
      <c r="O35" s="15" cm="1">
        <f t="array" ref="O35">IFERROR((_xlfn._xlws.FILTER(INDEX(Margin[],0,MATCH(O$1&amp;"_"&amp;O$3,Margin[#Headers],0)),(Margin[Index]=O$2)*(Margin[Strategy]=O$5))*O34)/Client_Margin($B34),"-")</f>
        <v>4.5333333333333337E-2</v>
      </c>
      <c r="P35" s="15" cm="1">
        <f t="array" ref="P35">IFERROR((_xlfn._xlws.FILTER(INDEX(Margin[],0,MATCH(P$1&amp;"_"&amp;P$3,Margin[#Headers],0)),(Margin[Index]=P$2)*(Margin[Strategy]=P$5))*P34)/Client_Margin($B34),"-")</f>
        <v>4.5333333333333337E-2</v>
      </c>
    </row>
    <row r="36" spans="1:16" x14ac:dyDescent="0.25">
      <c r="A36">
        <f t="shared" si="3"/>
        <v>1</v>
      </c>
      <c r="B36" s="14" t="s">
        <v>40</v>
      </c>
      <c r="C36" s="14" cm="1">
        <f t="array" ref="C36">(_xlfn._xlws.FILTER(Fund[Margin],Fund[Client Id]=B36))/10000000</f>
        <v>1.3</v>
      </c>
      <c r="D36" s="17"/>
      <c r="E36" s="14" t="str" cm="1">
        <f t="array" ref="E36">IFERROR(IF(ROUNDUP((Client_Margin($B36)*Alloted(E$3,E$2,E$5)/Get_Margin(E$3,E$2,E$5,E$1)),0)*Get_Margin(E$3,E$2,E$5,E$1)&gt;((Client_Margin($B36)*Alloted(E$3,E$2,E$5)/Get_Margin(E$3,E$2,E$5,E$1))*Get_Margin(E$3,E$2,E$5,E$1))*$C$3,ROUNDDOWN((Client_Margin($B36)*Alloted(E$3,E$2,E$5)/Get_Margin(E$3,E$2,E$5,E$1)),0),ROUNDUP((Client_Margin($B36)*Alloted(E$3,E$2,E$5)/Get_Margin(E$3,E$2,E$5,E$1)),0)),"-")</f>
        <v>-</v>
      </c>
      <c r="F36" s="14" t="str" cm="1">
        <f t="array" ref="F36">IFERROR(IF(ROUNDUP((Client_Margin($B36)*Alloted(F$3,F$2,F$5)/Get_Margin(F$3,F$2,F$5,F$1)),0)*Get_Margin(F$3,F$2,F$5,F$1)&gt;((Client_Margin($B36)*Alloted(F$3,F$2,F$5)/Get_Margin(F$3,F$2,F$5,F$1))*Get_Margin(F$3,F$2,F$5,F$1))*$C$3,ROUNDDOWN((Client_Margin($B36)*Alloted(F$3,F$2,F$5)/Get_Margin(F$3,F$2,F$5,F$1)),0),ROUNDUP((Client_Margin($B36)*Alloted(F$3,F$2,F$5)/Get_Margin(F$3,F$2,F$5,F$1)),0)),"-")</f>
        <v>-</v>
      </c>
      <c r="G36" s="14" cm="1">
        <f t="array" ref="G36">IFERROR(IF(ROUNDUP((Client_Margin($B36)*Alloted(G$3,G$2,G$5)/Get_Margin(G$3,G$2,G$5,G$1)),0)*Get_Margin(G$3,G$2,G$5,G$1)&gt;((Client_Margin($B36)*Alloted(G$3,G$2,G$5)/Get_Margin(G$3,G$2,G$5,G$1))*Get_Margin(G$3,G$2,G$5,G$1))*$C$3,ROUNDDOWN((Client_Margin($B36)*Alloted(G$3,G$2,G$5)/Get_Margin(G$3,G$2,G$5,G$1)),0),ROUNDUP((Client_Margin($B36)*Alloted(G$3,G$2,G$5)/Get_Margin(G$3,G$2,G$5,G$1)),0)),"-")</f>
        <v>2</v>
      </c>
      <c r="H36" s="43">
        <v>1</v>
      </c>
      <c r="I36" s="43">
        <v>1</v>
      </c>
      <c r="J36" s="14" cm="1">
        <f t="array" ref="J36">IFERROR(IF(ROUNDUP((Client_Margin($B36)*Alloted(J$3,J$2,J$5)/Get_Margin(J$3,J$2,J$5,J$1)),0)*Get_Margin(J$3,J$2,J$5,J$1)&gt;((Client_Margin($B36)*Alloted(J$3,J$2,J$5)/Get_Margin(J$3,J$2,J$5,J$1))*Get_Margin(J$3,J$2,J$5,J$1))*$C$3,ROUNDDOWN((Client_Margin($B36)*Alloted(J$3,J$2,J$5)/Get_Margin(J$3,J$2,J$5,J$1)),0),ROUNDUP((Client_Margin($B36)*Alloted(J$3,J$2,J$5)/Get_Margin(J$3,J$2,J$5,J$1)),0)),"-")</f>
        <v>2</v>
      </c>
      <c r="K36" s="14" cm="1">
        <f t="array" ref="K36">IFERROR(IF(ROUNDUP((Client_Margin($B36)*Alloted(K$3,K$2,K$5)/Get_Margin(K$3,K$2,K$5,K$1)),0)*Get_Margin(K$3,K$2,K$5,K$1)&gt;((Client_Margin($B36)*Alloted(K$3,K$2,K$5)/Get_Margin(K$3,K$2,K$5,K$1))*Get_Margin(K$3,K$2,K$5,K$1))*$C$3,ROUNDDOWN((Client_Margin($B36)*Alloted(K$3,K$2,K$5)/Get_Margin(K$3,K$2,K$5,K$1)),0),ROUNDUP((Client_Margin($B36)*Alloted(K$3,K$2,K$5)/Get_Margin(K$3,K$2,K$5,K$1)),0)),"-")</f>
        <v>10</v>
      </c>
      <c r="L36" s="14" cm="1">
        <f t="array" ref="L36">IFERROR(IF(ROUNDUP((Client_Margin($B36)*Alloted(L$3,L$2,L$5)/Get_Margin(L$3,L$2,L$5,L$1)),0)*Get_Margin(L$3,L$2,L$5,L$1)&gt;((Client_Margin($B36)*Alloted(L$3,L$2,L$5)/Get_Margin(L$3,L$2,L$5,L$1))*Get_Margin(L$3,L$2,L$5,L$1))*$C$3,ROUNDDOWN((Client_Margin($B36)*Alloted(L$3,L$2,L$5)/Get_Margin(L$3,L$2,L$5,L$1)),0),ROUNDUP((Client_Margin($B36)*Alloted(L$3,L$2,L$5)/Get_Margin(L$3,L$2,L$5,L$1)),0)),"-")</f>
        <v>0</v>
      </c>
      <c r="M36" s="14" cm="1">
        <f t="array" ref="M36">IFERROR(IF(ROUNDUP((Client_Margin($B36)*Alloted(M$3,M$2,M$5)/Get_Margin(M$3,M$2,M$5,M$1)),0)*Get_Margin(M$3,M$2,M$5,M$1)&gt;((Client_Margin($B36)*Alloted(M$3,M$2,M$5)/Get_Margin(M$3,M$2,M$5,M$1))*Get_Margin(M$3,M$2,M$5,M$1))*$C$3,ROUNDDOWN((Client_Margin($B36)*Alloted(M$3,M$2,M$5)/Get_Margin(M$3,M$2,M$5,M$1)),0),ROUNDUP((Client_Margin($B36)*Alloted(M$3,M$2,M$5)/Get_Margin(M$3,M$2,M$5,M$1)),0)),"-")</f>
        <v>0</v>
      </c>
      <c r="N36" s="43">
        <v>0</v>
      </c>
      <c r="O36" s="14" cm="1">
        <f t="array" ref="O36">IFERROR(IF(ROUNDUP((Client_Margin($B36)*Alloted(O$3,O$2,O$5)/Get_Margin(O$3,O$2,O$5,O$1)),0)*Get_Margin(O$3,O$2,O$5,O$1)&gt;((Client_Margin($B36)*Alloted(O$3,O$2,O$5)/Get_Margin(O$3,O$2,O$5,O$1))*Get_Margin(O$3,O$2,O$5,O$1))*$C$3,ROUNDDOWN((Client_Margin($B36)*Alloted(O$3,O$2,O$5)/Get_Margin(O$3,O$2,O$5,O$1)),0),ROUNDUP((Client_Margin($B36)*Alloted(O$3,O$2,O$5)/Get_Margin(O$3,O$2,O$5,O$1)),0)),"-")</f>
        <v>2</v>
      </c>
      <c r="P36" s="14" cm="1">
        <f t="array" ref="P36">IFERROR(IF(ROUNDUP((Client_Margin($B36)*Alloted(P$3,P$2,P$5)/Get_Margin(P$3,P$2,P$5,P$1)),0)*Get_Margin(P$3,P$2,P$5,P$1)&gt;((Client_Margin($B36)*Alloted(P$3,P$2,P$5)/Get_Margin(P$3,P$2,P$5,P$1))*Get_Margin(P$3,P$2,P$5,P$1))*$C$3,ROUNDDOWN((Client_Margin($B36)*Alloted(P$3,P$2,P$5)/Get_Margin(P$3,P$2,P$5,P$1)),0),ROUNDUP((Client_Margin($B36)*Alloted(P$3,P$2,P$5)/Get_Margin(P$3,P$2,P$5,P$1)),0)),"-")</f>
        <v>2</v>
      </c>
    </row>
    <row r="37" spans="1:16" hidden="1" x14ac:dyDescent="0.25">
      <c r="A37">
        <f t="shared" si="3"/>
        <v>0</v>
      </c>
      <c r="B37" s="14"/>
      <c r="C37" s="14"/>
      <c r="D37" s="15">
        <f>SUM(E37:P37)</f>
        <v>0.99107692307692297</v>
      </c>
      <c r="E37" s="15" t="str" cm="1">
        <f t="array" ref="E37">IFERROR((_xlfn._xlws.FILTER(INDEX(Margin[],0,MATCH(E$1&amp;"_"&amp;E$3,Margin[#Headers],0)),(Margin[Index]=E$2)*(Margin[Strategy]=E$5))*E36)/Client_Margin($B36),"-")</f>
        <v>-</v>
      </c>
      <c r="F37" s="15" t="str" cm="1">
        <f t="array" ref="F37">IFERROR((_xlfn._xlws.FILTER(INDEX(Margin[],0,MATCH(F$1&amp;"_"&amp;F$3,Margin[#Headers],0)),(Margin[Index]=F$2)*(Margin[Strategy]=F$5))*F36)/Client_Margin($B36),"-")</f>
        <v>-</v>
      </c>
      <c r="G37" s="15" cm="1">
        <f t="array" ref="G37">IFERROR((_xlfn._xlws.FILTER(INDEX(Margin[],0,MATCH(G$1&amp;"_"&amp;G$3,Margin[#Headers],0)),(Margin[Index]=G$2)*(Margin[Strategy]=G$5))*G36)/Client_Margin($B36),"-")</f>
        <v>0.10707692307692308</v>
      </c>
      <c r="H37" s="15" cm="1">
        <f t="array" ref="H37">IFERROR((_xlfn._xlws.FILTER(INDEX(Margin[],0,MATCH(H$1&amp;"_"&amp;H$3,Margin[#Headers],0)),(Margin[Index]=H$2)*(Margin[Strategy]=H$5))*H36)/Client_Margin($B36),"-")</f>
        <v>0.14399999999999999</v>
      </c>
      <c r="I37" s="15" cm="1">
        <f t="array" ref="I37">IFERROR((_xlfn._xlws.FILTER(INDEX(Margin[],0,MATCH(I$1&amp;"_"&amp;I$3,Margin[#Headers],0)),(Margin[Index]=I$2)*(Margin[Strategy]=I$5))*I36)/Client_Margin($B36),"-")</f>
        <v>0.12307692307692308</v>
      </c>
      <c r="J37" s="15" cm="1">
        <f t="array" ref="J37">IFERROR((_xlfn._xlws.FILTER(INDEX(Margin[],0,MATCH(J$1&amp;"_"&amp;J$3,Margin[#Headers],0)),(Margin[Index]=J$2)*(Margin[Strategy]=J$5))*J36)/Client_Margin($B36),"-")</f>
        <v>8.5384615384615378E-2</v>
      </c>
      <c r="K37" s="15" cm="1">
        <f t="array" ref="K37">IFERROR((_xlfn._xlws.FILTER(INDEX(Margin[],0,MATCH(K$1&amp;"_"&amp;K$3,Margin[#Headers],0)),(Margin[Index]=K$2)*(Margin[Strategy]=K$5))*K36)/Client_Margin($B36),"-")</f>
        <v>0.42692307692307691</v>
      </c>
      <c r="L37" s="15" cm="1">
        <f t="array" ref="L37">IFERROR((_xlfn._xlws.FILTER(INDEX(Margin[],0,MATCH(L$1&amp;"_"&amp;L$3,Margin[#Headers],0)),(Margin[Index]=L$2)*(Margin[Strategy]=L$5))*L36)/Client_Margin($B36),"-")</f>
        <v>0</v>
      </c>
      <c r="M37" s="15" cm="1">
        <f t="array" ref="M37">IFERROR((_xlfn._xlws.FILTER(INDEX(Margin[],0,MATCH(M$1&amp;"_"&amp;M$3,Margin[#Headers],0)),(Margin[Index]=M$2)*(Margin[Strategy]=M$5))*M36)/Client_Margin($B36),"-")</f>
        <v>0</v>
      </c>
      <c r="N37" s="15" cm="1">
        <f t="array" ref="N37">IFERROR((_xlfn._xlws.FILTER(INDEX(Margin[],0,MATCH(N$1&amp;"_"&amp;N$3,Margin[#Headers],0)),(Margin[Index]=N$2)*(Margin[Strategy]=N$5))*N36)/Client_Margin($B36),"-")</f>
        <v>0</v>
      </c>
      <c r="O37" s="15" cm="1">
        <f t="array" ref="O37">IFERROR((_xlfn._xlws.FILTER(INDEX(Margin[],0,MATCH(O$1&amp;"_"&amp;O$3,Margin[#Headers],0)),(Margin[Index]=O$2)*(Margin[Strategy]=O$5))*O36)/Client_Margin($B36),"-")</f>
        <v>5.2307692307692305E-2</v>
      </c>
      <c r="P37" s="15" cm="1">
        <f t="array" ref="P37">IFERROR((_xlfn._xlws.FILTER(INDEX(Margin[],0,MATCH(P$1&amp;"_"&amp;P$3,Margin[#Headers],0)),(Margin[Index]=P$2)*(Margin[Strategy]=P$5))*P36)/Client_Margin($B36),"-")</f>
        <v>5.2307692307692305E-2</v>
      </c>
    </row>
    <row r="38" spans="1:16" hidden="1" x14ac:dyDescent="0.25"/>
  </sheetData>
  <autoFilter ref="A5:P38" xr:uid="{FB2A7FDE-B9DB-4D72-966A-43E82A79E3BC}">
    <filterColumn colId="0">
      <filters>
        <filter val="1"/>
      </filters>
    </filterColumn>
  </autoFilter>
  <conditionalFormatting sqref="D7:P7">
    <cfRule type="expression" dxfId="78" priority="48">
      <formula>D7&gt;D$4</formula>
    </cfRule>
  </conditionalFormatting>
  <conditionalFormatting sqref="D9:P9">
    <cfRule type="expression" dxfId="77" priority="16">
      <formula>D9&gt;D$4</formula>
    </cfRule>
  </conditionalFormatting>
  <conditionalFormatting sqref="D11:P11">
    <cfRule type="expression" dxfId="76" priority="15">
      <formula>D11&gt;D$4</formula>
    </cfRule>
  </conditionalFormatting>
  <conditionalFormatting sqref="D13:P13">
    <cfRule type="expression" dxfId="75" priority="14">
      <formula>D13&gt;D$4</formula>
    </cfRule>
  </conditionalFormatting>
  <conditionalFormatting sqref="D15:P15">
    <cfRule type="expression" dxfId="74" priority="12">
      <formula>D15&gt;D$4</formula>
    </cfRule>
  </conditionalFormatting>
  <conditionalFormatting sqref="D17:P17">
    <cfRule type="expression" dxfId="73" priority="11">
      <formula>D17&gt;D$4</formula>
    </cfRule>
  </conditionalFormatting>
  <conditionalFormatting sqref="D19:P19">
    <cfRule type="expression" dxfId="72" priority="10">
      <formula>D19&gt;D$4</formula>
    </cfRule>
  </conditionalFormatting>
  <conditionalFormatting sqref="D21:P21">
    <cfRule type="expression" dxfId="71" priority="9">
      <formula>D21&gt;D$4</formula>
    </cfRule>
  </conditionalFormatting>
  <conditionalFormatting sqref="D23:P23">
    <cfRule type="expression" dxfId="70" priority="8">
      <formula>D23&gt;D$4</formula>
    </cfRule>
  </conditionalFormatting>
  <conditionalFormatting sqref="D25:P25">
    <cfRule type="expression" dxfId="69" priority="7">
      <formula>D25&gt;D$4</formula>
    </cfRule>
  </conditionalFormatting>
  <conditionalFormatting sqref="D27:P27">
    <cfRule type="expression" dxfId="68" priority="6">
      <formula>D27&gt;D$4</formula>
    </cfRule>
  </conditionalFormatting>
  <conditionalFormatting sqref="D29:P29">
    <cfRule type="expression" dxfId="67" priority="5">
      <formula>D29&gt;D$4</formula>
    </cfRule>
  </conditionalFormatting>
  <conditionalFormatting sqref="D31:P31">
    <cfRule type="expression" dxfId="66" priority="4">
      <formula>D31&gt;D$4</formula>
    </cfRule>
  </conditionalFormatting>
  <conditionalFormatting sqref="D33:P33">
    <cfRule type="expression" dxfId="65" priority="3">
      <formula>D33&gt;D$4</formula>
    </cfRule>
  </conditionalFormatting>
  <conditionalFormatting sqref="D35:P35">
    <cfRule type="expression" dxfId="64" priority="2">
      <formula>D35&gt;D$4</formula>
    </cfRule>
  </conditionalFormatting>
  <conditionalFormatting sqref="D37:P37">
    <cfRule type="expression" dxfId="63" priority="1">
      <formula>D37&gt;D$4</formula>
    </cfRule>
  </conditionalFormatting>
  <dataValidations count="2">
    <dataValidation type="list" allowBlank="1" showInputMessage="1" showErrorMessage="1" sqref="E3:P3" xr:uid="{851346B1-9BB8-4547-AF60-809053597C5D}">
      <formula1>"W.O.H,W.H"</formula1>
    </dataValidation>
    <dataValidation type="list" allowBlank="1" showInputMessage="1" showErrorMessage="1" sqref="E1:P1" xr:uid="{E11ECCE0-A424-4C0A-908F-46713AD91E64}">
      <formula1>"Expiry,N.Expiry"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FACC6-E21B-4AE1-86E3-36114C251762}">
  <sheetPr codeName="Sheet11" filterMode="1"/>
  <dimension ref="A1:T38"/>
  <sheetViews>
    <sheetView workbookViewId="0">
      <selection activeCell="B8" sqref="B8"/>
    </sheetView>
  </sheetViews>
  <sheetFormatPr defaultRowHeight="15" x14ac:dyDescent="0.25"/>
  <cols>
    <col min="1" max="1" width="2" bestFit="1" customWidth="1"/>
    <col min="2" max="2" width="13.5703125" style="4" bestFit="1" customWidth="1"/>
    <col min="3" max="3" width="10" style="4" bestFit="1" customWidth="1"/>
    <col min="4" max="4" width="7.140625" bestFit="1" customWidth="1"/>
    <col min="5" max="5" width="8.140625" bestFit="1" customWidth="1"/>
    <col min="6" max="6" width="7.5703125" bestFit="1" customWidth="1"/>
    <col min="7" max="9" width="16.85546875" bestFit="1" customWidth="1"/>
    <col min="10" max="10" width="13" bestFit="1" customWidth="1"/>
    <col min="11" max="11" width="12.85546875" bestFit="1" customWidth="1"/>
    <col min="12" max="12" width="13.7109375" bestFit="1" customWidth="1"/>
    <col min="13" max="13" width="15.28515625" bestFit="1" customWidth="1"/>
    <col min="14" max="14" width="15.140625" bestFit="1" customWidth="1"/>
    <col min="16" max="16" width="15.28515625" bestFit="1" customWidth="1"/>
  </cols>
  <sheetData>
    <row r="1" spans="1:20" x14ac:dyDescent="0.25">
      <c r="E1" s="4" t="s">
        <v>105</v>
      </c>
      <c r="F1" s="4" t="s">
        <v>104</v>
      </c>
      <c r="G1" s="4" t="s">
        <v>105</v>
      </c>
      <c r="H1" s="4" t="s">
        <v>105</v>
      </c>
      <c r="I1" s="4" t="s">
        <v>105</v>
      </c>
      <c r="J1" s="4" t="s">
        <v>105</v>
      </c>
      <c r="K1" s="4" t="s">
        <v>105</v>
      </c>
      <c r="L1" s="4" t="s">
        <v>105</v>
      </c>
      <c r="M1" s="4" t="s">
        <v>105</v>
      </c>
      <c r="N1" s="4" t="s">
        <v>105</v>
      </c>
    </row>
    <row r="2" spans="1:20" x14ac:dyDescent="0.25">
      <c r="B2"/>
      <c r="C2"/>
      <c r="E2" s="4" t="s">
        <v>14</v>
      </c>
      <c r="F2" s="4" t="s">
        <v>15</v>
      </c>
      <c r="G2" s="4" t="s">
        <v>15</v>
      </c>
      <c r="H2" s="4" t="s">
        <v>81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</row>
    <row r="3" spans="1:20" x14ac:dyDescent="0.25">
      <c r="B3"/>
      <c r="C3">
        <v>1.1499999999999999</v>
      </c>
      <c r="E3" s="4" t="s">
        <v>103</v>
      </c>
      <c r="F3" s="4" t="s">
        <v>103</v>
      </c>
      <c r="G3" s="4" t="s">
        <v>103</v>
      </c>
      <c r="H3" s="4" t="s">
        <v>102</v>
      </c>
      <c r="I3" s="4" t="s">
        <v>103</v>
      </c>
      <c r="J3" s="4" t="s">
        <v>103</v>
      </c>
      <c r="K3" s="4" t="s">
        <v>103</v>
      </c>
      <c r="L3" s="4" t="s">
        <v>103</v>
      </c>
      <c r="M3" s="4" t="s">
        <v>102</v>
      </c>
      <c r="N3" s="4" t="s">
        <v>102</v>
      </c>
      <c r="S3" s="4"/>
      <c r="T3" s="4"/>
    </row>
    <row r="4" spans="1:20" x14ac:dyDescent="0.25">
      <c r="D4" s="38">
        <f>SUM(E4:N4)</f>
        <v>0.45</v>
      </c>
      <c r="E4" s="39" cm="1">
        <f t="array" ref="E4">IF(Fri!E3="W.H",_xlfn._xlws.FILTER(Margin[Strategy allotment % with hedge],(Margin[Strategy]=Fri!E$5)*(Margin[Index]=Fri!E$2)),_xlfn._xlws.FILTER(Margin[Strategy allotment % without hedge],(Margin[Strategy]=Fri!E$5)*(Margin[Index]=Fri!E$2)))</f>
        <v>0</v>
      </c>
      <c r="F4" s="39" cm="1">
        <f t="array" ref="F4">IF(Fri!F3="W.H",_xlfn._xlws.FILTER(Margin[Strategy allotment % with hedge],(Margin[Strategy]=Fri!F$5)*(Margin[Index]=Fri!F$2)),_xlfn._xlws.FILTER(Margin[Strategy allotment % without hedge],(Margin[Strategy]=Fri!F$5)*(Margin[Index]=Fri!F$2)))</f>
        <v>0</v>
      </c>
      <c r="G4" s="39" cm="1">
        <f t="array" ref="G4">IF(Fri!G3="W.H",_xlfn._xlws.FILTER(Margin[Strategy allotment % with hedge],(Margin[Strategy]=Fri!G$5)*(Margin[Index]=Fri!G$2)),_xlfn._xlws.FILTER(Margin[Strategy allotment % without hedge],(Margin[Strategy]=Fri!G$5)*(Margin[Index]=Fri!G$2)))</f>
        <v>0.1</v>
      </c>
      <c r="H4" s="39" cm="1">
        <f t="array" ref="H4">IF(Fri!H3="W.H",_xlfn._xlws.FILTER(Margin[Strategy allotment % with hedge],(Margin[Strategy]=Fri!H$5)*(Margin[Index]=Fri!H$2)),_xlfn._xlws.FILTER(Margin[Strategy allotment % without hedge],(Margin[Strategy]=Fri!H$5)*(Margin[Index]=Fri!H$2)))</f>
        <v>0.1</v>
      </c>
      <c r="I4" s="39" cm="1">
        <f t="array" ref="I4">IF(Fri!I3="W.H",_xlfn._xlws.FILTER(Margin[Strategy allotment % with hedge],(Margin[Strategy]=Fri!I$5)*(Margin[Index]=Fri!I$2)),_xlfn._xlws.FILTER(Margin[Strategy allotment % without hedge],(Margin[Strategy]=Fri!I$5)*(Margin[Index]=Fri!I$2)))</f>
        <v>0.1</v>
      </c>
      <c r="J4" s="39" cm="1">
        <f t="array" ref="J4">IF(Fri!J3="W.H",_xlfn._xlws.FILTER(Margin[Strategy allotment % with hedge],(Margin[Strategy]=Fri!J$5)*(Margin[Index]=Fri!J$2)),_xlfn._xlws.FILTER(Margin[Strategy allotment % without hedge],(Margin[Strategy]=Fri!J$5)*(Margin[Index]=Fri!J$2)))</f>
        <v>0</v>
      </c>
      <c r="K4" s="39" cm="1">
        <f t="array" ref="K4">IF(Fri!K3="W.H",_xlfn._xlws.FILTER(Margin[Strategy allotment % with hedge],(Margin[Strategy]=Fri!K$5)*(Margin[Index]=Fri!K$2)),_xlfn._xlws.FILTER(Margin[Strategy allotment % without hedge],(Margin[Strategy]=Fri!K$5)*(Margin[Index]=Fri!K$2)))</f>
        <v>0</v>
      </c>
      <c r="L4" s="39" cm="1">
        <f t="array" ref="L4">IF(Fri!L3="W.H",_xlfn._xlws.FILTER(Margin[Strategy allotment % with hedge],(Margin[Strategy]=Fri!L$5)*(Margin[Index]=Fri!L$2)),_xlfn._xlws.FILTER(Margin[Strategy allotment % without hedge],(Margin[Strategy]=Fri!L$5)*(Margin[Index]=Fri!L$2)))</f>
        <v>0.05</v>
      </c>
      <c r="M4" s="39" cm="1">
        <f t="array" ref="M4">IF(Fri!M3="W.H",_xlfn._xlws.FILTER(Margin[Strategy allotment % with hedge],(Margin[Strategy]=Fri!M$5)*(Margin[Index]=Fri!M$2)),_xlfn._xlws.FILTER(Margin[Strategy allotment % without hedge],(Margin[Strategy]=Fri!M$5)*(Margin[Index]=Fri!M$2)))</f>
        <v>0.05</v>
      </c>
      <c r="N4" s="39" cm="1">
        <f t="array" ref="N4">IF(Fri!N3="W.H",_xlfn._xlws.FILTER(Margin[Strategy allotment % with hedge],(Margin[Strategy]=Fri!N$5)*(Margin[Index]=Fri!N$2)),_xlfn._xlws.FILTER(Margin[Strategy allotment % without hedge],(Margin[Strategy]=Fri!N$5)*(Margin[Index]=Fri!N$2)))</f>
        <v>0.05</v>
      </c>
    </row>
    <row r="5" spans="1:20" x14ac:dyDescent="0.25">
      <c r="B5" s="16" t="s">
        <v>50</v>
      </c>
      <c r="C5" s="16" t="s">
        <v>51</v>
      </c>
      <c r="D5" s="16" t="s">
        <v>52</v>
      </c>
      <c r="E5" s="16" t="s">
        <v>67</v>
      </c>
      <c r="F5" s="16" t="s">
        <v>66</v>
      </c>
      <c r="G5" s="16" t="s">
        <v>69</v>
      </c>
      <c r="H5" s="16" t="s">
        <v>69</v>
      </c>
      <c r="I5" s="16" t="s">
        <v>69</v>
      </c>
      <c r="J5" s="16" t="s">
        <v>2</v>
      </c>
      <c r="K5" s="16" t="s">
        <v>3</v>
      </c>
      <c r="L5" s="16" t="s">
        <v>4</v>
      </c>
      <c r="M5" s="16" t="s">
        <v>5</v>
      </c>
      <c r="N5" s="16" t="s">
        <v>6</v>
      </c>
    </row>
    <row r="6" spans="1:20" x14ac:dyDescent="0.25">
      <c r="A6">
        <f>IF(B6="",0,1)</f>
        <v>1</v>
      </c>
      <c r="B6" s="14" t="s">
        <v>20</v>
      </c>
      <c r="C6" s="14" cm="1">
        <f t="array" ref="C6">(_xlfn._xlws.FILTER(Fund[Margin],Fund[Client Id]=B6))/10000000</f>
        <v>7.5</v>
      </c>
      <c r="D6" s="14"/>
      <c r="E6" s="14" t="str" cm="1">
        <f t="array" ref="E6">IFERROR(IF(ROUNDUP((Client_Margin($B6)*Alloted(E$3,E$2,E$5)/Get_Margin(E$3,E$2,E$5,E$1)),0)*Get_Margin(E$3,E$2,E$5,E$1)&gt;((Client_Margin($B6)*Alloted(E$3,E$2,E$5)/Get_Margin(E$3,E$2,E$5,E$1))*Get_Margin(E$3,E$2,E$5,E$1))*$C$3,ROUNDDOWN((Client_Margin($B6)*Alloted(E$3,E$2,E$5)/Get_Margin(E$3,E$2,E$5,E$1)),0),ROUNDUP((Client_Margin($B6)*Alloted(E$3,E$2,E$5)/Get_Margin(E$3,E$2,E$5,E$1)),0)),"-")</f>
        <v>-</v>
      </c>
      <c r="F6" s="14" t="str" cm="1">
        <f t="array" ref="F6">IFERROR(IF(ROUNDUP((Client_Margin($B6)*Alloted(F$3,F$2,F$5)/Get_Margin(F$3,F$2,F$5,F$1)),0)*Get_Margin(F$3,F$2,F$5,F$1)&gt;((Client_Margin($B6)*Alloted(F$3,F$2,F$5)/Get_Margin(F$3,F$2,F$5,F$1))*Get_Margin(F$3,F$2,F$5,F$1))*$C$3,ROUNDDOWN((Client_Margin($B6)*Alloted(F$3,F$2,F$5)/Get_Margin(F$3,F$2,F$5,F$1)),0),ROUNDUP((Client_Margin($B6)*Alloted(F$3,F$2,F$5)/Get_Margin(F$3,F$2,F$5,F$1)),0)),"-")</f>
        <v>-</v>
      </c>
      <c r="G6" s="14" cm="1">
        <f t="array" ref="G6">IFERROR(IF(ROUNDUP((Client_Margin($B6)*Alloted(G$3,G$2,G$5)/Get_Margin(G$3,G$2,G$5,G$1)),0)*Get_Margin(G$3,G$2,G$5,G$1)&gt;((Client_Margin($B6)*Alloted(G$3,G$2,G$5)/Get_Margin(G$3,G$2,G$5,G$1))*Get_Margin(G$3,G$2,G$5,G$1))*$C$3,ROUNDDOWN((Client_Margin($B6)*Alloted(G$3,G$2,G$5)/Get_Margin(G$3,G$2,G$5,G$1)),0),ROUNDUP((Client_Margin($B6)*Alloted(G$3,G$2,G$5)/Get_Margin(G$3,G$2,G$5,G$1)),0)),"-")</f>
        <v>11</v>
      </c>
      <c r="H6" s="14" cm="1">
        <f t="array" ref="H6">IFERROR(IF(ROUNDUP((Client_Margin($B6)*Alloted(H$3,H$2,H$5)/Get_Margin(H$3,H$2,H$5,H$1)),0)*Get_Margin(H$3,H$2,H$5,H$1)&gt;((Client_Margin($B6)*Alloted(H$3,H$2,H$5)/Get_Margin(H$3,H$2,H$5,H$1))*Get_Margin(H$3,H$2,H$5,H$1))*$C$3,ROUNDDOWN((Client_Margin($B6)*Alloted(H$3,H$2,H$5)/Get_Margin(H$3,H$2,H$5,H$1)),0),ROUNDUP((Client_Margin($B6)*Alloted(H$3,H$2,H$5)/Get_Margin(H$3,H$2,H$5,H$1)),0)),"-")</f>
        <v>4</v>
      </c>
      <c r="I6" s="14" cm="1">
        <f t="array" ref="I6">IFERROR(IF(ROUNDUP((Client_Margin($B6)*Alloted(I$3,I$2,I$5)/Get_Margin(I$3,I$2,I$5,I$1)),0)*Get_Margin(I$3,I$2,I$5,I$1)&gt;((Client_Margin($B6)*Alloted(I$3,I$2,I$5)/Get_Margin(I$3,I$2,I$5,I$1))*Get_Margin(I$3,I$2,I$5,I$1))*$C$3,ROUNDDOWN((Client_Margin($B6)*Alloted(I$3,I$2,I$5)/Get_Margin(I$3,I$2,I$5,I$1)),0),ROUNDUP((Client_Margin($B6)*Alloted(I$3,I$2,I$5)/Get_Margin(I$3,I$2,I$5,I$1)),0)),"-")</f>
        <v>5</v>
      </c>
      <c r="J6" s="14" cm="1">
        <f t="array" ref="J6">IFERROR(IF(ROUNDUP((Client_Margin($B6)*Alloted(J$3,J$2,J$5)/Get_Margin(J$3,J$2,J$5,J$1)),0)*Get_Margin(J$3,J$2,J$5,J$1)&gt;((Client_Margin($B6)*Alloted(J$3,J$2,J$5)/Get_Margin(J$3,J$2,J$5,J$1))*Get_Margin(J$3,J$2,J$5,J$1))*$C$3,ROUNDDOWN((Client_Margin($B6)*Alloted(J$3,J$2,J$5)/Get_Margin(J$3,J$2,J$5,J$1)),0),ROUNDUP((Client_Margin($B6)*Alloted(J$3,J$2,J$5)/Get_Margin(J$3,J$2,J$5,J$1)),0)),"-")</f>
        <v>0</v>
      </c>
      <c r="K6" s="14" cm="1">
        <f t="array" ref="K6">IFERROR(IF(ROUNDUP((Client_Margin($B6)*Alloted(K$3,K$2,K$5)/Get_Margin(K$3,K$2,K$5,K$1)),0)*Get_Margin(K$3,K$2,K$5,K$1)&gt;((Client_Margin($B6)*Alloted(K$3,K$2,K$5)/Get_Margin(K$3,K$2,K$5,K$1))*Get_Margin(K$3,K$2,K$5,K$1))*$C$3,ROUNDDOWN((Client_Margin($B6)*Alloted(K$3,K$2,K$5)/Get_Margin(K$3,K$2,K$5,K$1)),0),ROUNDUP((Client_Margin($B6)*Alloted(K$3,K$2,K$5)/Get_Margin(K$3,K$2,K$5,K$1)),0)),"-")</f>
        <v>0</v>
      </c>
      <c r="L6" s="14" cm="1">
        <f t="array" ref="L6">IFERROR(IF(ROUNDUP((Client_Margin($B6)*Alloted(L$3,L$2,L$5)/Get_Margin(L$3,L$2,L$5,L$1)),0)*Get_Margin(L$3,L$2,L$5,L$1)&gt;((Client_Margin($B6)*Alloted(L$3,L$2,L$5)/Get_Margin(L$3,L$2,L$5,L$1))*Get_Margin(L$3,L$2,L$5,L$1))*$C$3,ROUNDDOWN((Client_Margin($B6)*Alloted(L$3,L$2,L$5)/Get_Margin(L$3,L$2,L$5,L$1)),0),ROUNDUP((Client_Margin($B6)*Alloted(L$3,L$2,L$5)/Get_Margin(L$3,L$2,L$5,L$1)),0)),"-")</f>
        <v>11</v>
      </c>
      <c r="M6" s="14" cm="1">
        <f t="array" ref="M6">IFERROR(IF(ROUNDUP((Client_Margin($B6)*Alloted(M$3,M$2,M$5)/Get_Margin(M$3,M$2,M$5,M$1)),0)*Get_Margin(M$3,M$2,M$5,M$1)&gt;((Client_Margin($B6)*Alloted(M$3,M$2,M$5)/Get_Margin(M$3,M$2,M$5,M$1))*Get_Margin(M$3,M$2,M$5,M$1))*$C$3,ROUNDDOWN((Client_Margin($B6)*Alloted(M$3,M$2,M$5)/Get_Margin(M$3,M$2,M$5,M$1)),0),ROUNDUP((Client_Margin($B6)*Alloted(M$3,M$2,M$5)/Get_Margin(M$3,M$2,M$5,M$1)),0)),"-")</f>
        <v>12</v>
      </c>
      <c r="N6" s="14" cm="1">
        <f t="array" ref="N6">IFERROR(IF(ROUNDUP((Client_Margin($B6)*Alloted(N$3,N$2,N$5)/Get_Margin(N$3,N$2,N$5,N$1)),0)*Get_Margin(N$3,N$2,N$5,N$1)&gt;((Client_Margin($B6)*Alloted(N$3,N$2,N$5)/Get_Margin(N$3,N$2,N$5,N$1))*Get_Margin(N$3,N$2,N$5,N$1))*$C$3,ROUNDDOWN((Client_Margin($B6)*Alloted(N$3,N$2,N$5)/Get_Margin(N$3,N$2,N$5,N$1)),0),ROUNDUP((Client_Margin($B6)*Alloted(N$3,N$2,N$5)/Get_Margin(N$3,N$2,N$5,N$1)),0)),"-")</f>
        <v>12</v>
      </c>
    </row>
    <row r="7" spans="1:20" hidden="1" x14ac:dyDescent="0.25">
      <c r="A7">
        <f t="shared" ref="A7:A11" si="0">IF(B7="",0,1)</f>
        <v>0</v>
      </c>
      <c r="B7" s="14"/>
      <c r="C7" s="14"/>
      <c r="D7" s="15">
        <f>SUM(E7:N7)</f>
        <v>0.46872000000000003</v>
      </c>
      <c r="E7" s="15" t="str" cm="1">
        <f t="array" ref="E7">IFERROR((_xlfn._xlws.FILTER(INDEX(Margin[],0,MATCH(E$1&amp;"_"&amp;E$3,Margin[#Headers],0)),(Margin[Index]=E$2)*(Margin[Strategy]=E$5))*E6)/Client_Margin($B6),"-")</f>
        <v>-</v>
      </c>
      <c r="F7" s="15" t="str" cm="1">
        <f t="array" ref="F7">IFERROR((_xlfn._xlws.FILTER(INDEX(Margin[],0,MATCH(F$1&amp;"_"&amp;F$3,Margin[#Headers],0)),(Margin[Index]=F$2)*(Margin[Strategy]=F$5))*F6)/Client_Margin($B6),"-")</f>
        <v>-</v>
      </c>
      <c r="G7" s="15" cm="1">
        <f t="array" ref="G7">IFERROR((_xlfn._xlws.FILTER(INDEX(Margin[],0,MATCH(G$1&amp;"_"&amp;G$3,Margin[#Headers],0)),(Margin[Index]=G$2)*(Margin[Strategy]=G$5))*G6)/Client_Margin($B6),"-")</f>
        <v>0.10208</v>
      </c>
      <c r="H7" s="15" cm="1">
        <f t="array" ref="H7">IFERROR((_xlfn._xlws.FILTER(INDEX(Margin[],0,MATCH(H$1&amp;"_"&amp;H$3,Margin[#Headers],0)),(Margin[Index]=H$2)*(Margin[Strategy]=H$5))*H6)/Client_Margin($B6),"-")</f>
        <v>9.9839999999999998E-2</v>
      </c>
      <c r="I7" s="15" cm="1">
        <f t="array" ref="I7">IFERROR((_xlfn._xlws.FILTER(INDEX(Margin[],0,MATCH(I$1&amp;"_"&amp;I$3,Margin[#Headers],0)),(Margin[Index]=I$2)*(Margin[Strategy]=I$5))*I6)/Client_Margin($B6),"-")</f>
        <v>0.10666666666666667</v>
      </c>
      <c r="J7" s="15" cm="1">
        <f t="array" ref="J7">IFERROR((_xlfn._xlws.FILTER(INDEX(Margin[],0,MATCH(J$1&amp;"_"&amp;J$3,Margin[#Headers],0)),(Margin[Index]=J$2)*(Margin[Strategy]=J$5))*J6)/Client_Margin($B6),"-")</f>
        <v>0</v>
      </c>
      <c r="K7" s="15" cm="1">
        <f t="array" ref="K7">IFERROR((_xlfn._xlws.FILTER(INDEX(Margin[],0,MATCH(K$1&amp;"_"&amp;K$3,Margin[#Headers],0)),(Margin[Index]=K$2)*(Margin[Strategy]=K$5))*K6)/Client_Margin($B6),"-")</f>
        <v>0</v>
      </c>
      <c r="L7" s="15" cm="1">
        <f t="array" ref="L7">IFERROR((_xlfn._xlws.FILTER(INDEX(Margin[],0,MATCH(L$1&amp;"_"&amp;L$3,Margin[#Headers],0)),(Margin[Index]=L$2)*(Margin[Strategy]=L$5))*L6)/Client_Margin($B6),"-")</f>
        <v>5.1333333333333335E-2</v>
      </c>
      <c r="M7" s="15" cm="1">
        <f t="array" ref="M7">IFERROR((_xlfn._xlws.FILTER(INDEX(Margin[],0,MATCH(M$1&amp;"_"&amp;M$3,Margin[#Headers],0)),(Margin[Index]=M$2)*(Margin[Strategy]=M$5))*M6)/Client_Margin($B6),"-")</f>
        <v>5.4399999999999997E-2</v>
      </c>
      <c r="N7" s="15" cm="1">
        <f t="array" ref="N7">IFERROR((_xlfn._xlws.FILTER(INDEX(Margin[],0,MATCH(N$1&amp;"_"&amp;N$3,Margin[#Headers],0)),(Margin[Index]=N$2)*(Margin[Strategy]=N$5))*N6)/Client_Margin($B6),"-")</f>
        <v>5.4399999999999997E-2</v>
      </c>
    </row>
    <row r="8" spans="1:20" x14ac:dyDescent="0.25">
      <c r="A8">
        <f t="shared" si="0"/>
        <v>1</v>
      </c>
      <c r="B8" s="14" t="s">
        <v>46</v>
      </c>
      <c r="C8" s="14" cm="1">
        <f t="array" ref="C8">(_xlfn._xlws.FILTER(Fund[Margin],Fund[Client Id]=B8))/10000000</f>
        <v>6.8</v>
      </c>
      <c r="D8" s="17"/>
      <c r="E8" s="14" t="str" cm="1">
        <f t="array" ref="E8">IFERROR(IF(ROUNDUP((Client_Margin($B8)*Alloted(E$3,E$2,E$5)/Get_Margin(E$3,E$2,E$5,E$1)),0)*Get_Margin(E$3,E$2,E$5,E$1)&gt;((Client_Margin($B8)*Alloted(E$3,E$2,E$5)/Get_Margin(E$3,E$2,E$5,E$1))*Get_Margin(E$3,E$2,E$5,E$1))*$C$3,ROUNDDOWN((Client_Margin($B8)*Alloted(E$3,E$2,E$5)/Get_Margin(E$3,E$2,E$5,E$1)),0),ROUNDUP((Client_Margin($B8)*Alloted(E$3,E$2,E$5)/Get_Margin(E$3,E$2,E$5,E$1)),0)),"-")</f>
        <v>-</v>
      </c>
      <c r="F8" s="14" t="str" cm="1">
        <f t="array" ref="F8">IFERROR(IF(ROUNDUP((Client_Margin($B8)*Alloted(F$3,F$2,F$5)/Get_Margin(F$3,F$2,F$5,F$1)),0)*Get_Margin(F$3,F$2,F$5,F$1)&gt;((Client_Margin($B8)*Alloted(F$3,F$2,F$5)/Get_Margin(F$3,F$2,F$5,F$1))*Get_Margin(F$3,F$2,F$5,F$1))*$C$3,ROUNDDOWN((Client_Margin($B8)*Alloted(F$3,F$2,F$5)/Get_Margin(F$3,F$2,F$5,F$1)),0),ROUNDUP((Client_Margin($B8)*Alloted(F$3,F$2,F$5)/Get_Margin(F$3,F$2,F$5,F$1)),0)),"-")</f>
        <v>-</v>
      </c>
      <c r="G8" s="14" cm="1">
        <f t="array" ref="G8">IFERROR(IF(ROUNDUP((Client_Margin($B8)*Alloted(G$3,G$2,G$5)/Get_Margin(G$3,G$2,G$5,G$1)),0)*Get_Margin(G$3,G$2,G$5,G$1)&gt;((Client_Margin($B8)*Alloted(G$3,G$2,G$5)/Get_Margin(G$3,G$2,G$5,G$1))*Get_Margin(G$3,G$2,G$5,G$1))*$C$3,ROUNDDOWN((Client_Margin($B8)*Alloted(G$3,G$2,G$5)/Get_Margin(G$3,G$2,G$5,G$1)),0),ROUNDUP((Client_Margin($B8)*Alloted(G$3,G$2,G$5)/Get_Margin(G$3,G$2,G$5,G$1)),0)),"-")</f>
        <v>10</v>
      </c>
      <c r="H8" s="14" cm="1">
        <f t="array" ref="H8">IFERROR(IF(ROUNDUP((Client_Margin($B8)*Alloted(H$3,H$2,H$5)/Get_Margin(H$3,H$2,H$5,H$1)),0)*Get_Margin(H$3,H$2,H$5,H$1)&gt;((Client_Margin($B8)*Alloted(H$3,H$2,H$5)/Get_Margin(H$3,H$2,H$5,H$1))*Get_Margin(H$3,H$2,H$5,H$1))*$C$3,ROUNDDOWN((Client_Margin($B8)*Alloted(H$3,H$2,H$5)/Get_Margin(H$3,H$2,H$5,H$1)),0),ROUNDUP((Client_Margin($B8)*Alloted(H$3,H$2,H$5)/Get_Margin(H$3,H$2,H$5,H$1)),0)),"-")</f>
        <v>4</v>
      </c>
      <c r="I8" s="14" cm="1">
        <f t="array" ref="I8">IFERROR(IF(ROUNDUP((Client_Margin($B8)*Alloted(I$3,I$2,I$5)/Get_Margin(I$3,I$2,I$5,I$1)),0)*Get_Margin(I$3,I$2,I$5,I$1)&gt;((Client_Margin($B8)*Alloted(I$3,I$2,I$5)/Get_Margin(I$3,I$2,I$5,I$1))*Get_Margin(I$3,I$2,I$5,I$1))*$C$3,ROUNDDOWN((Client_Margin($B8)*Alloted(I$3,I$2,I$5)/Get_Margin(I$3,I$2,I$5,I$1)),0),ROUNDUP((Client_Margin($B8)*Alloted(I$3,I$2,I$5)/Get_Margin(I$3,I$2,I$5,I$1)),0)),"-")</f>
        <v>4</v>
      </c>
      <c r="J8" s="14" cm="1">
        <f t="array" ref="J8">IFERROR(IF(ROUNDUP((Client_Margin($B8)*Alloted(J$3,J$2,J$5)/Get_Margin(J$3,J$2,J$5,J$1)),0)*Get_Margin(J$3,J$2,J$5,J$1)&gt;((Client_Margin($B8)*Alloted(J$3,J$2,J$5)/Get_Margin(J$3,J$2,J$5,J$1))*Get_Margin(J$3,J$2,J$5,J$1))*$C$3,ROUNDDOWN((Client_Margin($B8)*Alloted(J$3,J$2,J$5)/Get_Margin(J$3,J$2,J$5,J$1)),0),ROUNDUP((Client_Margin($B8)*Alloted(J$3,J$2,J$5)/Get_Margin(J$3,J$2,J$5,J$1)),0)),"-")</f>
        <v>0</v>
      </c>
      <c r="K8" s="14" cm="1">
        <f t="array" ref="K8">IFERROR(IF(ROUNDUP((Client_Margin($B8)*Alloted(K$3,K$2,K$5)/Get_Margin(K$3,K$2,K$5,K$1)),0)*Get_Margin(K$3,K$2,K$5,K$1)&gt;((Client_Margin($B8)*Alloted(K$3,K$2,K$5)/Get_Margin(K$3,K$2,K$5,K$1))*Get_Margin(K$3,K$2,K$5,K$1))*$C$3,ROUNDDOWN((Client_Margin($B8)*Alloted(K$3,K$2,K$5)/Get_Margin(K$3,K$2,K$5,K$1)),0),ROUNDUP((Client_Margin($B8)*Alloted(K$3,K$2,K$5)/Get_Margin(K$3,K$2,K$5,K$1)),0)),"-")</f>
        <v>0</v>
      </c>
      <c r="L8" s="14" cm="1">
        <f t="array" ref="L8">IFERROR(IF(ROUNDUP((Client_Margin($B8)*Alloted(L$3,L$2,L$5)/Get_Margin(L$3,L$2,L$5,L$1)),0)*Get_Margin(L$3,L$2,L$5,L$1)&gt;((Client_Margin($B8)*Alloted(L$3,L$2,L$5)/Get_Margin(L$3,L$2,L$5,L$1))*Get_Margin(L$3,L$2,L$5,L$1))*$C$3,ROUNDDOWN((Client_Margin($B8)*Alloted(L$3,L$2,L$5)/Get_Margin(L$3,L$2,L$5,L$1)),0),ROUNDUP((Client_Margin($B8)*Alloted(L$3,L$2,L$5)/Get_Margin(L$3,L$2,L$5,L$1)),0)),"-")</f>
        <v>10</v>
      </c>
      <c r="M8" s="14" cm="1">
        <f t="array" ref="M8">IFERROR(IF(ROUNDUP((Client_Margin($B8)*Alloted(M$3,M$2,M$5)/Get_Margin(M$3,M$2,M$5,M$1)),0)*Get_Margin(M$3,M$2,M$5,M$1)&gt;((Client_Margin($B8)*Alloted(M$3,M$2,M$5)/Get_Margin(M$3,M$2,M$5,M$1))*Get_Margin(M$3,M$2,M$5,M$1))*$C$3,ROUNDDOWN((Client_Margin($B8)*Alloted(M$3,M$2,M$5)/Get_Margin(M$3,M$2,M$5,M$1)),0),ROUNDUP((Client_Margin($B8)*Alloted(M$3,M$2,M$5)/Get_Margin(M$3,M$2,M$5,M$1)),0)),"-")</f>
        <v>10</v>
      </c>
      <c r="N8" s="14" cm="1">
        <f t="array" ref="N8">IFERROR(IF(ROUNDUP((Client_Margin($B8)*Alloted(N$3,N$2,N$5)/Get_Margin(N$3,N$2,N$5,N$1)),0)*Get_Margin(N$3,N$2,N$5,N$1)&gt;((Client_Margin($B8)*Alloted(N$3,N$2,N$5)/Get_Margin(N$3,N$2,N$5,N$1))*Get_Margin(N$3,N$2,N$5,N$1))*$C$3,ROUNDDOWN((Client_Margin($B8)*Alloted(N$3,N$2,N$5)/Get_Margin(N$3,N$2,N$5,N$1)),0),ROUNDUP((Client_Margin($B8)*Alloted(N$3,N$2,N$5)/Get_Margin(N$3,N$2,N$5,N$1)),0)),"-")</f>
        <v>10</v>
      </c>
    </row>
    <row r="9" spans="1:20" hidden="1" x14ac:dyDescent="0.25">
      <c r="A9">
        <f t="shared" si="0"/>
        <v>0</v>
      </c>
      <c r="B9" s="14"/>
      <c r="C9" s="14"/>
      <c r="D9" s="15">
        <f>SUM(E9:N9)</f>
        <v>0.45805882352941174</v>
      </c>
      <c r="E9" s="15" t="str" cm="1">
        <f t="array" ref="E9">IFERROR((_xlfn._xlws.FILTER(INDEX(Margin[],0,MATCH(E$1&amp;"_"&amp;E$3,Margin[#Headers],0)),(Margin[Index]=E$2)*(Margin[Strategy]=E$5))*E8)/Client_Margin($B8),"-")</f>
        <v>-</v>
      </c>
      <c r="F9" s="15" t="str" cm="1">
        <f t="array" ref="F9">IFERROR((_xlfn._xlws.FILTER(INDEX(Margin[],0,MATCH(F$1&amp;"_"&amp;F$3,Margin[#Headers],0)),(Margin[Index]=F$2)*(Margin[Strategy]=F$5))*F8)/Client_Margin($B8),"-")</f>
        <v>-</v>
      </c>
      <c r="G9" s="15" cm="1">
        <f t="array" ref="G9">IFERROR((_xlfn._xlws.FILTER(INDEX(Margin[],0,MATCH(G$1&amp;"_"&amp;G$3,Margin[#Headers],0)),(Margin[Index]=G$2)*(Margin[Strategy]=G$5))*G8)/Client_Margin($B8),"-")</f>
        <v>0.10235294117647059</v>
      </c>
      <c r="H9" s="15" cm="1">
        <f t="array" ref="H9">IFERROR((_xlfn._xlws.FILTER(INDEX(Margin[],0,MATCH(H$1&amp;"_"&amp;H$3,Margin[#Headers],0)),(Margin[Index]=H$2)*(Margin[Strategy]=H$5))*H8)/Client_Margin($B8),"-")</f>
        <v>0.11011764705882353</v>
      </c>
      <c r="I9" s="15" cm="1">
        <f t="array" ref="I9">IFERROR((_xlfn._xlws.FILTER(INDEX(Margin[],0,MATCH(I$1&amp;"_"&amp;I$3,Margin[#Headers],0)),(Margin[Index]=I$2)*(Margin[Strategy]=I$5))*I8)/Client_Margin($B8),"-")</f>
        <v>9.4117647058823528E-2</v>
      </c>
      <c r="J9" s="15" cm="1">
        <f t="array" ref="J9">IFERROR((_xlfn._xlws.FILTER(INDEX(Margin[],0,MATCH(J$1&amp;"_"&amp;J$3,Margin[#Headers],0)),(Margin[Index]=J$2)*(Margin[Strategy]=J$5))*J8)/Client_Margin($B8),"-")</f>
        <v>0</v>
      </c>
      <c r="K9" s="15" cm="1">
        <f t="array" ref="K9">IFERROR((_xlfn._xlws.FILTER(INDEX(Margin[],0,MATCH(K$1&amp;"_"&amp;K$3,Margin[#Headers],0)),(Margin[Index]=K$2)*(Margin[Strategy]=K$5))*K8)/Client_Margin($B8),"-")</f>
        <v>0</v>
      </c>
      <c r="L9" s="15" cm="1">
        <f t="array" ref="L9">IFERROR((_xlfn._xlws.FILTER(INDEX(Margin[],0,MATCH(L$1&amp;"_"&amp;L$3,Margin[#Headers],0)),(Margin[Index]=L$2)*(Margin[Strategy]=L$5))*L8)/Client_Margin($B8),"-")</f>
        <v>5.1470588235294115E-2</v>
      </c>
      <c r="M9" s="15" cm="1">
        <f t="array" ref="M9">IFERROR((_xlfn._xlws.FILTER(INDEX(Margin[],0,MATCH(M$1&amp;"_"&amp;M$3,Margin[#Headers],0)),(Margin[Index]=M$2)*(Margin[Strategy]=M$5))*M8)/Client_Margin($B8),"-")</f>
        <v>0.05</v>
      </c>
      <c r="N9" s="15" cm="1">
        <f t="array" ref="N9">IFERROR((_xlfn._xlws.FILTER(INDEX(Margin[],0,MATCH(N$1&amp;"_"&amp;N$3,Margin[#Headers],0)),(Margin[Index]=N$2)*(Margin[Strategy]=N$5))*N8)/Client_Margin($B8),"-")</f>
        <v>0.05</v>
      </c>
    </row>
    <row r="10" spans="1:20" x14ac:dyDescent="0.25">
      <c r="A10">
        <f t="shared" si="0"/>
        <v>1</v>
      </c>
      <c r="B10" s="14" t="s">
        <v>30</v>
      </c>
      <c r="C10" s="14" cm="1">
        <f t="array" ref="C10">(_xlfn._xlws.FILTER(Fund[Margin],Fund[Client Id]=B10))/10000000</f>
        <v>6</v>
      </c>
      <c r="D10" s="17"/>
      <c r="E10" s="14" t="str" cm="1">
        <f t="array" ref="E10">IFERROR(IF(ROUNDUP((Client_Margin($B10)*Alloted(E$3,E$2,E$5)/Get_Margin(E$3,E$2,E$5,E$1)),0)*Get_Margin(E$3,E$2,E$5,E$1)&gt;((Client_Margin($B10)*Alloted(E$3,E$2,E$5)/Get_Margin(E$3,E$2,E$5,E$1))*Get_Margin(E$3,E$2,E$5,E$1))*$C$3,ROUNDDOWN((Client_Margin($B10)*Alloted(E$3,E$2,E$5)/Get_Margin(E$3,E$2,E$5,E$1)),0),ROUNDUP((Client_Margin($B10)*Alloted(E$3,E$2,E$5)/Get_Margin(E$3,E$2,E$5,E$1)),0)),"-")</f>
        <v>-</v>
      </c>
      <c r="F10" s="14" t="str" cm="1">
        <f t="array" ref="F10">IFERROR(IF(ROUNDUP((Client_Margin($B10)*Alloted(F$3,F$2,F$5)/Get_Margin(F$3,F$2,F$5,F$1)),0)*Get_Margin(F$3,F$2,F$5,F$1)&gt;((Client_Margin($B10)*Alloted(F$3,F$2,F$5)/Get_Margin(F$3,F$2,F$5,F$1))*Get_Margin(F$3,F$2,F$5,F$1))*$C$3,ROUNDDOWN((Client_Margin($B10)*Alloted(F$3,F$2,F$5)/Get_Margin(F$3,F$2,F$5,F$1)),0),ROUNDUP((Client_Margin($B10)*Alloted(F$3,F$2,F$5)/Get_Margin(F$3,F$2,F$5,F$1)),0)),"-")</f>
        <v>-</v>
      </c>
      <c r="G10" s="14" cm="1">
        <f t="array" ref="G10">IFERROR(IF(ROUNDUP((Client_Margin($B10)*Alloted(G$3,G$2,G$5)/Get_Margin(G$3,G$2,G$5,G$1)),0)*Get_Margin(G$3,G$2,G$5,G$1)&gt;((Client_Margin($B10)*Alloted(G$3,G$2,G$5)/Get_Margin(G$3,G$2,G$5,G$1))*Get_Margin(G$3,G$2,G$5,G$1))*$C$3,ROUNDDOWN((Client_Margin($B10)*Alloted(G$3,G$2,G$5)/Get_Margin(G$3,G$2,G$5,G$1)),0),ROUNDUP((Client_Margin($B10)*Alloted(G$3,G$2,G$5)/Get_Margin(G$3,G$2,G$5,G$1)),0)),"-")</f>
        <v>9</v>
      </c>
      <c r="H10" s="14" cm="1">
        <f t="array" ref="H10">IFERROR(IF(ROUNDUP((Client_Margin($B10)*Alloted(H$3,H$2,H$5)/Get_Margin(H$3,H$2,H$5,H$1)),0)*Get_Margin(H$3,H$2,H$5,H$1)&gt;((Client_Margin($B10)*Alloted(H$3,H$2,H$5)/Get_Margin(H$3,H$2,H$5,H$1))*Get_Margin(H$3,H$2,H$5,H$1))*$C$3,ROUNDDOWN((Client_Margin($B10)*Alloted(H$3,H$2,H$5)/Get_Margin(H$3,H$2,H$5,H$1)),0),ROUNDUP((Client_Margin($B10)*Alloted(H$3,H$2,H$5)/Get_Margin(H$3,H$2,H$5,H$1)),0)),"-")</f>
        <v>3</v>
      </c>
      <c r="I10" s="14" cm="1">
        <f t="array" ref="I10">IFERROR(IF(ROUNDUP((Client_Margin($B10)*Alloted(I$3,I$2,I$5)/Get_Margin(I$3,I$2,I$5,I$1)),0)*Get_Margin(I$3,I$2,I$5,I$1)&gt;((Client_Margin($B10)*Alloted(I$3,I$2,I$5)/Get_Margin(I$3,I$2,I$5,I$1))*Get_Margin(I$3,I$2,I$5,I$1))*$C$3,ROUNDDOWN((Client_Margin($B10)*Alloted(I$3,I$2,I$5)/Get_Margin(I$3,I$2,I$5,I$1)),0),ROUNDUP((Client_Margin($B10)*Alloted(I$3,I$2,I$5)/Get_Margin(I$3,I$2,I$5,I$1)),0)),"-")</f>
        <v>4</v>
      </c>
      <c r="J10" s="14" cm="1">
        <f t="array" ref="J10">IFERROR(IF(ROUNDUP((Client_Margin($B10)*Alloted(J$3,J$2,J$5)/Get_Margin(J$3,J$2,J$5,J$1)),0)*Get_Margin(J$3,J$2,J$5,J$1)&gt;((Client_Margin($B10)*Alloted(J$3,J$2,J$5)/Get_Margin(J$3,J$2,J$5,J$1))*Get_Margin(J$3,J$2,J$5,J$1))*$C$3,ROUNDDOWN((Client_Margin($B10)*Alloted(J$3,J$2,J$5)/Get_Margin(J$3,J$2,J$5,J$1)),0),ROUNDUP((Client_Margin($B10)*Alloted(J$3,J$2,J$5)/Get_Margin(J$3,J$2,J$5,J$1)),0)),"-")</f>
        <v>0</v>
      </c>
      <c r="K10" s="14" cm="1">
        <f t="array" ref="K10">IFERROR(IF(ROUNDUP((Client_Margin($B10)*Alloted(K$3,K$2,K$5)/Get_Margin(K$3,K$2,K$5,K$1)),0)*Get_Margin(K$3,K$2,K$5,K$1)&gt;((Client_Margin($B10)*Alloted(K$3,K$2,K$5)/Get_Margin(K$3,K$2,K$5,K$1))*Get_Margin(K$3,K$2,K$5,K$1))*$C$3,ROUNDDOWN((Client_Margin($B10)*Alloted(K$3,K$2,K$5)/Get_Margin(K$3,K$2,K$5,K$1)),0),ROUNDUP((Client_Margin($B10)*Alloted(K$3,K$2,K$5)/Get_Margin(K$3,K$2,K$5,K$1)),0)),"-")</f>
        <v>0</v>
      </c>
      <c r="L10" s="14" cm="1">
        <f t="array" ref="L10">IFERROR(IF(ROUNDUP((Client_Margin($B10)*Alloted(L$3,L$2,L$5)/Get_Margin(L$3,L$2,L$5,L$1)),0)*Get_Margin(L$3,L$2,L$5,L$1)&gt;((Client_Margin($B10)*Alloted(L$3,L$2,L$5)/Get_Margin(L$3,L$2,L$5,L$1))*Get_Margin(L$3,L$2,L$5,L$1))*$C$3,ROUNDDOWN((Client_Margin($B10)*Alloted(L$3,L$2,L$5)/Get_Margin(L$3,L$2,L$5,L$1)),0),ROUNDUP((Client_Margin($B10)*Alloted(L$3,L$2,L$5)/Get_Margin(L$3,L$2,L$5,L$1)),0)),"-")</f>
        <v>9</v>
      </c>
      <c r="M10" s="14" cm="1">
        <f t="array" ref="M10">IFERROR(IF(ROUNDUP((Client_Margin($B10)*Alloted(M$3,M$2,M$5)/Get_Margin(M$3,M$2,M$5,M$1)),0)*Get_Margin(M$3,M$2,M$5,M$1)&gt;((Client_Margin($B10)*Alloted(M$3,M$2,M$5)/Get_Margin(M$3,M$2,M$5,M$1))*Get_Margin(M$3,M$2,M$5,M$1))*$C$3,ROUNDDOWN((Client_Margin($B10)*Alloted(M$3,M$2,M$5)/Get_Margin(M$3,M$2,M$5,M$1)),0),ROUNDUP((Client_Margin($B10)*Alloted(M$3,M$2,M$5)/Get_Margin(M$3,M$2,M$5,M$1)),0)),"-")</f>
        <v>9</v>
      </c>
      <c r="N10" s="14" cm="1">
        <f t="array" ref="N10">IFERROR(IF(ROUNDUP((Client_Margin($B10)*Alloted(N$3,N$2,N$5)/Get_Margin(N$3,N$2,N$5,N$1)),0)*Get_Margin(N$3,N$2,N$5,N$1)&gt;((Client_Margin($B10)*Alloted(N$3,N$2,N$5)/Get_Margin(N$3,N$2,N$5,N$1))*Get_Margin(N$3,N$2,N$5,N$1))*$C$3,ROUNDDOWN((Client_Margin($B10)*Alloted(N$3,N$2,N$5)/Get_Margin(N$3,N$2,N$5,N$1)),0),ROUNDUP((Client_Margin($B10)*Alloted(N$3,N$2,N$5)/Get_Margin(N$3,N$2,N$5,N$1)),0)),"-")</f>
        <v>9</v>
      </c>
    </row>
    <row r="11" spans="1:20" hidden="1" x14ac:dyDescent="0.25">
      <c r="A11">
        <f t="shared" si="0"/>
        <v>0</v>
      </c>
      <c r="B11" s="14"/>
      <c r="C11" s="14"/>
      <c r="D11" s="15">
        <f>SUM(E11:N11)</f>
        <v>0.45916666666666667</v>
      </c>
      <c r="E11" s="15" t="str" cm="1">
        <f t="array" ref="E11">IFERROR((_xlfn._xlws.FILTER(INDEX(Margin[],0,MATCH(E$1&amp;"_"&amp;E$3,Margin[#Headers],0)),(Margin[Index]=E$2)*(Margin[Strategy]=E$5))*E10)/Client_Margin($B10),"-")</f>
        <v>-</v>
      </c>
      <c r="F11" s="15" t="str" cm="1">
        <f t="array" ref="F11">IFERROR((_xlfn._xlws.FILTER(INDEX(Margin[],0,MATCH(F$1&amp;"_"&amp;F$3,Margin[#Headers],0)),(Margin[Index]=F$2)*(Margin[Strategy]=F$5))*F10)/Client_Margin($B10),"-")</f>
        <v>-</v>
      </c>
      <c r="G11" s="15" cm="1">
        <f t="array" ref="G11">IFERROR((_xlfn._xlws.FILTER(INDEX(Margin[],0,MATCH(G$1&amp;"_"&amp;G$3,Margin[#Headers],0)),(Margin[Index]=G$2)*(Margin[Strategy]=G$5))*G10)/Client_Margin($B10),"-")</f>
        <v>0.10440000000000001</v>
      </c>
      <c r="H11" s="15" cm="1">
        <f t="array" ref="H11">IFERROR((_xlfn._xlws.FILTER(INDEX(Margin[],0,MATCH(H$1&amp;"_"&amp;H$3,Margin[#Headers],0)),(Margin[Index]=H$2)*(Margin[Strategy]=H$5))*H10)/Client_Margin($B10),"-")</f>
        <v>9.3600000000000003E-2</v>
      </c>
      <c r="I11" s="15" cm="1">
        <f t="array" ref="I11">IFERROR((_xlfn._xlws.FILTER(INDEX(Margin[],0,MATCH(I$1&amp;"_"&amp;I$3,Margin[#Headers],0)),(Margin[Index]=I$2)*(Margin[Strategy]=I$5))*I10)/Client_Margin($B10),"-")</f>
        <v>0.10666666666666667</v>
      </c>
      <c r="J11" s="15" cm="1">
        <f t="array" ref="J11">IFERROR((_xlfn._xlws.FILTER(INDEX(Margin[],0,MATCH(J$1&amp;"_"&amp;J$3,Margin[#Headers],0)),(Margin[Index]=J$2)*(Margin[Strategy]=J$5))*J10)/Client_Margin($B10),"-")</f>
        <v>0</v>
      </c>
      <c r="K11" s="15" cm="1">
        <f t="array" ref="K11">IFERROR((_xlfn._xlws.FILTER(INDEX(Margin[],0,MATCH(K$1&amp;"_"&amp;K$3,Margin[#Headers],0)),(Margin[Index]=K$2)*(Margin[Strategy]=K$5))*K10)/Client_Margin($B10),"-")</f>
        <v>0</v>
      </c>
      <c r="L11" s="15" cm="1">
        <f t="array" ref="L11">IFERROR((_xlfn._xlws.FILTER(INDEX(Margin[],0,MATCH(L$1&amp;"_"&amp;L$3,Margin[#Headers],0)),(Margin[Index]=L$2)*(Margin[Strategy]=L$5))*L10)/Client_Margin($B10),"-")</f>
        <v>5.2499999999999998E-2</v>
      </c>
      <c r="M11" s="15" cm="1">
        <f t="array" ref="M11">IFERROR((_xlfn._xlws.FILTER(INDEX(Margin[],0,MATCH(M$1&amp;"_"&amp;M$3,Margin[#Headers],0)),(Margin[Index]=M$2)*(Margin[Strategy]=M$5))*M10)/Client_Margin($B10),"-")</f>
        <v>5.0999999999999997E-2</v>
      </c>
      <c r="N11" s="15" cm="1">
        <f t="array" ref="N11">IFERROR((_xlfn._xlws.FILTER(INDEX(Margin[],0,MATCH(N$1&amp;"_"&amp;N$3,Margin[#Headers],0)),(Margin[Index]=N$2)*(Margin[Strategy]=N$5))*N10)/Client_Margin($B10),"-")</f>
        <v>5.0999999999999997E-2</v>
      </c>
    </row>
    <row r="12" spans="1:20" x14ac:dyDescent="0.25">
      <c r="A12">
        <f>IF(B12="",0,1)</f>
        <v>1</v>
      </c>
      <c r="B12" s="14" t="s">
        <v>111</v>
      </c>
      <c r="C12" s="14" cm="1">
        <f t="array" ref="C12">(_xlfn._xlws.FILTER(Fund[Margin],Fund[Client Id]=B12))/10000000</f>
        <v>5.9</v>
      </c>
      <c r="D12" s="17"/>
      <c r="E12" s="14" t="str" cm="1">
        <f t="array" ref="E12">IFERROR(IF(ROUNDUP((Client_Margin($B12)*Alloted(E$3,E$2,E$5)/Get_Margin(E$3,E$2,E$5,E$1)),0)*Get_Margin(E$3,E$2,E$5,E$1)&gt;((Client_Margin($B12)*Alloted(E$3,E$2,E$5)/Get_Margin(E$3,E$2,E$5,E$1))*Get_Margin(E$3,E$2,E$5,E$1))*$C$3,ROUNDDOWN((Client_Margin($B12)*Alloted(E$3,E$2,E$5)/Get_Margin(E$3,E$2,E$5,E$1)),0),ROUNDUP((Client_Margin($B12)*Alloted(E$3,E$2,E$5)/Get_Margin(E$3,E$2,E$5,E$1)),0)),"-")</f>
        <v>-</v>
      </c>
      <c r="F12" s="14" t="str" cm="1">
        <f t="array" ref="F12">IFERROR(IF(ROUNDUP((Client_Margin($B12)*Alloted(F$3,F$2,F$5)/Get_Margin(F$3,F$2,F$5,F$1)),0)*Get_Margin(F$3,F$2,F$5,F$1)&gt;((Client_Margin($B12)*Alloted(F$3,F$2,F$5)/Get_Margin(F$3,F$2,F$5,F$1))*Get_Margin(F$3,F$2,F$5,F$1))*$C$3,ROUNDDOWN((Client_Margin($B12)*Alloted(F$3,F$2,F$5)/Get_Margin(F$3,F$2,F$5,F$1)),0),ROUNDUP((Client_Margin($B12)*Alloted(F$3,F$2,F$5)/Get_Margin(F$3,F$2,F$5,F$1)),0)),"-")</f>
        <v>-</v>
      </c>
      <c r="G12" s="14" cm="1">
        <f t="array" ref="G12">IFERROR(IF(ROUNDUP((Client_Margin($B12)*Alloted(G$3,G$2,G$5)/Get_Margin(G$3,G$2,G$5,G$1)),0)*Get_Margin(G$3,G$2,G$5,G$1)&gt;((Client_Margin($B12)*Alloted(G$3,G$2,G$5)/Get_Margin(G$3,G$2,G$5,G$1))*Get_Margin(G$3,G$2,G$5,G$1))*$C$3,ROUNDDOWN((Client_Margin($B12)*Alloted(G$3,G$2,G$5)/Get_Margin(G$3,G$2,G$5,G$1)),0),ROUNDUP((Client_Margin($B12)*Alloted(G$3,G$2,G$5)/Get_Margin(G$3,G$2,G$5,G$1)),0)),"-")</f>
        <v>9</v>
      </c>
      <c r="H12" s="14" cm="1">
        <f t="array" ref="H12">IFERROR(IF(ROUNDUP((Client_Margin($B12)*Alloted(H$3,H$2,H$5)/Get_Margin(H$3,H$2,H$5,H$1)),0)*Get_Margin(H$3,H$2,H$5,H$1)&gt;((Client_Margin($B12)*Alloted(H$3,H$2,H$5)/Get_Margin(H$3,H$2,H$5,H$1))*Get_Margin(H$3,H$2,H$5,H$1))*$C$3,ROUNDDOWN((Client_Margin($B12)*Alloted(H$3,H$2,H$5)/Get_Margin(H$3,H$2,H$5,H$1)),0),ROUNDUP((Client_Margin($B12)*Alloted(H$3,H$2,H$5)/Get_Margin(H$3,H$2,H$5,H$1)),0)),"-")</f>
        <v>3</v>
      </c>
      <c r="I12" s="14" cm="1">
        <f t="array" ref="I12">IFERROR(IF(ROUNDUP((Client_Margin($B12)*Alloted(I$3,I$2,I$5)/Get_Margin(I$3,I$2,I$5,I$1)),0)*Get_Margin(I$3,I$2,I$5,I$1)&gt;((Client_Margin($B12)*Alloted(I$3,I$2,I$5)/Get_Margin(I$3,I$2,I$5,I$1))*Get_Margin(I$3,I$2,I$5,I$1))*$C$3,ROUNDDOWN((Client_Margin($B12)*Alloted(I$3,I$2,I$5)/Get_Margin(I$3,I$2,I$5,I$1)),0),ROUNDUP((Client_Margin($B12)*Alloted(I$3,I$2,I$5)/Get_Margin(I$3,I$2,I$5,I$1)),0)),"-")</f>
        <v>4</v>
      </c>
      <c r="J12" s="14" cm="1">
        <f t="array" ref="J12">IFERROR(IF(ROUNDUP((Client_Margin($B12)*Alloted(J$3,J$2,J$5)/Get_Margin(J$3,J$2,J$5,J$1)),0)*Get_Margin(J$3,J$2,J$5,J$1)&gt;((Client_Margin($B12)*Alloted(J$3,J$2,J$5)/Get_Margin(J$3,J$2,J$5,J$1))*Get_Margin(J$3,J$2,J$5,J$1))*$C$3,ROUNDDOWN((Client_Margin($B12)*Alloted(J$3,J$2,J$5)/Get_Margin(J$3,J$2,J$5,J$1)),0),ROUNDUP((Client_Margin($B12)*Alloted(J$3,J$2,J$5)/Get_Margin(J$3,J$2,J$5,J$1)),0)),"-")</f>
        <v>0</v>
      </c>
      <c r="K12" s="14" cm="1">
        <f t="array" ref="K12">IFERROR(IF(ROUNDUP((Client_Margin($B12)*Alloted(K$3,K$2,K$5)/Get_Margin(K$3,K$2,K$5,K$1)),0)*Get_Margin(K$3,K$2,K$5,K$1)&gt;((Client_Margin($B12)*Alloted(K$3,K$2,K$5)/Get_Margin(K$3,K$2,K$5,K$1))*Get_Margin(K$3,K$2,K$5,K$1))*$C$3,ROUNDDOWN((Client_Margin($B12)*Alloted(K$3,K$2,K$5)/Get_Margin(K$3,K$2,K$5,K$1)),0),ROUNDUP((Client_Margin($B12)*Alloted(K$3,K$2,K$5)/Get_Margin(K$3,K$2,K$5,K$1)),0)),"-")</f>
        <v>0</v>
      </c>
      <c r="L12" s="14" cm="1">
        <f t="array" ref="L12">IFERROR(IF(ROUNDUP((Client_Margin($B12)*Alloted(L$3,L$2,L$5)/Get_Margin(L$3,L$2,L$5,L$1)),0)*Get_Margin(L$3,L$2,L$5,L$1)&gt;((Client_Margin($B12)*Alloted(L$3,L$2,L$5)/Get_Margin(L$3,L$2,L$5,L$1))*Get_Margin(L$3,L$2,L$5,L$1))*$C$3,ROUNDDOWN((Client_Margin($B12)*Alloted(L$3,L$2,L$5)/Get_Margin(L$3,L$2,L$5,L$1)),0),ROUNDUP((Client_Margin($B12)*Alloted(L$3,L$2,L$5)/Get_Margin(L$3,L$2,L$5,L$1)),0)),"-")</f>
        <v>9</v>
      </c>
      <c r="M12" s="14" cm="1">
        <f t="array" ref="M12">IFERROR(IF(ROUNDUP((Client_Margin($B12)*Alloted(M$3,M$2,M$5)/Get_Margin(M$3,M$2,M$5,M$1)),0)*Get_Margin(M$3,M$2,M$5,M$1)&gt;((Client_Margin($B12)*Alloted(M$3,M$2,M$5)/Get_Margin(M$3,M$2,M$5,M$1))*Get_Margin(M$3,M$2,M$5,M$1))*$C$3,ROUNDDOWN((Client_Margin($B12)*Alloted(M$3,M$2,M$5)/Get_Margin(M$3,M$2,M$5,M$1)),0),ROUNDUP((Client_Margin($B12)*Alloted(M$3,M$2,M$5)/Get_Margin(M$3,M$2,M$5,M$1)),0)),"-")</f>
        <v>9</v>
      </c>
      <c r="N12" s="14" cm="1">
        <f t="array" ref="N12">IFERROR(IF(ROUNDUP((Client_Margin($B12)*Alloted(N$3,N$2,N$5)/Get_Margin(N$3,N$2,N$5,N$1)),0)*Get_Margin(N$3,N$2,N$5,N$1)&gt;((Client_Margin($B12)*Alloted(N$3,N$2,N$5)/Get_Margin(N$3,N$2,N$5,N$1))*Get_Margin(N$3,N$2,N$5,N$1))*$C$3,ROUNDDOWN((Client_Margin($B12)*Alloted(N$3,N$2,N$5)/Get_Margin(N$3,N$2,N$5,N$1)),0),ROUNDUP((Client_Margin($B12)*Alloted(N$3,N$2,N$5)/Get_Margin(N$3,N$2,N$5,N$1)),0)),"-")</f>
        <v>9</v>
      </c>
    </row>
    <row r="13" spans="1:20" hidden="1" x14ac:dyDescent="0.25">
      <c r="A13">
        <f>IF(B13="",0,1)</f>
        <v>0</v>
      </c>
      <c r="B13" s="14"/>
      <c r="C13" s="14"/>
      <c r="D13" s="15">
        <f>SUM(E13:N13)</f>
        <v>0.4669491525423729</v>
      </c>
      <c r="E13" s="15" t="str" cm="1">
        <f t="array" ref="E13">IFERROR((_xlfn._xlws.FILTER(INDEX(Margin[],0,MATCH(E$1&amp;"_"&amp;E$3,Margin[#Headers],0)),(Margin[Index]=E$2)*(Margin[Strategy]=E$5))*E12)/Client_Margin($B12),"-")</f>
        <v>-</v>
      </c>
      <c r="F13" s="15" t="str" cm="1">
        <f t="array" ref="F13">IFERROR((_xlfn._xlws.FILTER(INDEX(Margin[],0,MATCH(F$1&amp;"_"&amp;F$3,Margin[#Headers],0)),(Margin[Index]=F$2)*(Margin[Strategy]=F$5))*F12)/Client_Margin($B12),"-")</f>
        <v>-</v>
      </c>
      <c r="G13" s="15" cm="1">
        <f t="array" ref="G13">IFERROR((_xlfn._xlws.FILTER(INDEX(Margin[],0,MATCH(G$1&amp;"_"&amp;G$3,Margin[#Headers],0)),(Margin[Index]=G$2)*(Margin[Strategy]=G$5))*G12)/Client_Margin($B12),"-")</f>
        <v>0.10616949152542372</v>
      </c>
      <c r="H13" s="15" cm="1">
        <f t="array" ref="H13">IFERROR((_xlfn._xlws.FILTER(INDEX(Margin[],0,MATCH(H$1&amp;"_"&amp;H$3,Margin[#Headers],0)),(Margin[Index]=H$2)*(Margin[Strategy]=H$5))*H12)/Client_Margin($B12),"-")</f>
        <v>9.5186440677966097E-2</v>
      </c>
      <c r="I13" s="15" cm="1">
        <f t="array" ref="I13">IFERROR((_xlfn._xlws.FILTER(INDEX(Margin[],0,MATCH(I$1&amp;"_"&amp;I$3,Margin[#Headers],0)),(Margin[Index]=I$2)*(Margin[Strategy]=I$5))*I12)/Client_Margin($B12),"-")</f>
        <v>0.10847457627118644</v>
      </c>
      <c r="J13" s="15" cm="1">
        <f t="array" ref="J13">IFERROR((_xlfn._xlws.FILTER(INDEX(Margin[],0,MATCH(J$1&amp;"_"&amp;J$3,Margin[#Headers],0)),(Margin[Index]=J$2)*(Margin[Strategy]=J$5))*J12)/Client_Margin($B12),"-")</f>
        <v>0</v>
      </c>
      <c r="K13" s="15" cm="1">
        <f t="array" ref="K13">IFERROR((_xlfn._xlws.FILTER(INDEX(Margin[],0,MATCH(K$1&amp;"_"&amp;K$3,Margin[#Headers],0)),(Margin[Index]=K$2)*(Margin[Strategy]=K$5))*K12)/Client_Margin($B12),"-")</f>
        <v>0</v>
      </c>
      <c r="L13" s="15" cm="1">
        <f t="array" ref="L13">IFERROR((_xlfn._xlws.FILTER(INDEX(Margin[],0,MATCH(L$1&amp;"_"&amp;L$3,Margin[#Headers],0)),(Margin[Index]=L$2)*(Margin[Strategy]=L$5))*L12)/Client_Margin($B12),"-")</f>
        <v>5.3389830508474574E-2</v>
      </c>
      <c r="M13" s="15" cm="1">
        <f t="array" ref="M13">IFERROR((_xlfn._xlws.FILTER(INDEX(Margin[],0,MATCH(M$1&amp;"_"&amp;M$3,Margin[#Headers],0)),(Margin[Index]=M$2)*(Margin[Strategy]=M$5))*M12)/Client_Margin($B12),"-")</f>
        <v>5.1864406779661018E-2</v>
      </c>
      <c r="N13" s="15" cm="1">
        <f t="array" ref="N13">IFERROR((_xlfn._xlws.FILTER(INDEX(Margin[],0,MATCH(N$1&amp;"_"&amp;N$3,Margin[#Headers],0)),(Margin[Index]=N$2)*(Margin[Strategy]=N$5))*N12)/Client_Margin($B12),"-")</f>
        <v>5.1864406779661018E-2</v>
      </c>
    </row>
    <row r="14" spans="1:20" x14ac:dyDescent="0.25">
      <c r="A14">
        <f t="shared" ref="A14:A23" si="1">IF(B14="",0,1)</f>
        <v>1</v>
      </c>
      <c r="B14" s="14" t="s">
        <v>22</v>
      </c>
      <c r="C14" s="14" cm="1">
        <f t="array" ref="C14">(_xlfn._xlws.FILTER(Fund[Margin],Fund[Client Id]=B14))/10000000</f>
        <v>5.0999999999999996</v>
      </c>
      <c r="D14" s="17"/>
      <c r="E14" s="14" t="str" cm="1">
        <f t="array" ref="E14">IFERROR(IF(ROUNDUP((Client_Margin($B14)*Alloted(E$3,E$2,E$5)/Get_Margin(E$3,E$2,E$5,E$1)),0)*Get_Margin(E$3,E$2,E$5,E$1)&gt;((Client_Margin($B14)*Alloted(E$3,E$2,E$5)/Get_Margin(E$3,E$2,E$5,E$1))*Get_Margin(E$3,E$2,E$5,E$1))*$C$3,ROUNDDOWN((Client_Margin($B14)*Alloted(E$3,E$2,E$5)/Get_Margin(E$3,E$2,E$5,E$1)),0),ROUNDUP((Client_Margin($B14)*Alloted(E$3,E$2,E$5)/Get_Margin(E$3,E$2,E$5,E$1)),0)),"-")</f>
        <v>-</v>
      </c>
      <c r="F14" s="14" t="str" cm="1">
        <f t="array" ref="F14">IFERROR(IF(ROUNDUP((Client_Margin($B14)*Alloted(F$3,F$2,F$5)/Get_Margin(F$3,F$2,F$5,F$1)),0)*Get_Margin(F$3,F$2,F$5,F$1)&gt;((Client_Margin($B14)*Alloted(F$3,F$2,F$5)/Get_Margin(F$3,F$2,F$5,F$1))*Get_Margin(F$3,F$2,F$5,F$1))*$C$3,ROUNDDOWN((Client_Margin($B14)*Alloted(F$3,F$2,F$5)/Get_Margin(F$3,F$2,F$5,F$1)),0),ROUNDUP((Client_Margin($B14)*Alloted(F$3,F$2,F$5)/Get_Margin(F$3,F$2,F$5,F$1)),0)),"-")</f>
        <v>-</v>
      </c>
      <c r="G14" s="14" cm="1">
        <f t="array" ref="G14">IFERROR(IF(ROUNDUP((Client_Margin($B14)*Alloted(G$3,G$2,G$5)/Get_Margin(G$3,G$2,G$5,G$1)),0)*Get_Margin(G$3,G$2,G$5,G$1)&gt;((Client_Margin($B14)*Alloted(G$3,G$2,G$5)/Get_Margin(G$3,G$2,G$5,G$1))*Get_Margin(G$3,G$2,G$5,G$1))*$C$3,ROUNDDOWN((Client_Margin($B14)*Alloted(G$3,G$2,G$5)/Get_Margin(G$3,G$2,G$5,G$1)),0),ROUNDUP((Client_Margin($B14)*Alloted(G$3,G$2,G$5)/Get_Margin(G$3,G$2,G$5,G$1)),0)),"-")</f>
        <v>8</v>
      </c>
      <c r="H14" s="14" cm="1">
        <f t="array" ref="H14">IFERROR(IF(ROUNDUP((Client_Margin($B14)*Alloted(H$3,H$2,H$5)/Get_Margin(H$3,H$2,H$5,H$1)),0)*Get_Margin(H$3,H$2,H$5,H$1)&gt;((Client_Margin($B14)*Alloted(H$3,H$2,H$5)/Get_Margin(H$3,H$2,H$5,H$1))*Get_Margin(H$3,H$2,H$5,H$1))*$C$3,ROUNDDOWN((Client_Margin($B14)*Alloted(H$3,H$2,H$5)/Get_Margin(H$3,H$2,H$5,H$1)),0),ROUNDUP((Client_Margin($B14)*Alloted(H$3,H$2,H$5)/Get_Margin(H$3,H$2,H$5,H$1)),0)),"-")</f>
        <v>3</v>
      </c>
      <c r="I14" s="14" cm="1">
        <f t="array" ref="I14">IFERROR(IF(ROUNDUP((Client_Margin($B14)*Alloted(I$3,I$2,I$5)/Get_Margin(I$3,I$2,I$5,I$1)),0)*Get_Margin(I$3,I$2,I$5,I$1)&gt;((Client_Margin($B14)*Alloted(I$3,I$2,I$5)/Get_Margin(I$3,I$2,I$5,I$1))*Get_Margin(I$3,I$2,I$5,I$1))*$C$3,ROUNDDOWN((Client_Margin($B14)*Alloted(I$3,I$2,I$5)/Get_Margin(I$3,I$2,I$5,I$1)),0),ROUNDUP((Client_Margin($B14)*Alloted(I$3,I$2,I$5)/Get_Margin(I$3,I$2,I$5,I$1)),0)),"-")</f>
        <v>3</v>
      </c>
      <c r="J14" s="14" cm="1">
        <f t="array" ref="J14">IFERROR(IF(ROUNDUP((Client_Margin($B14)*Alloted(J$3,J$2,J$5)/Get_Margin(J$3,J$2,J$5,J$1)),0)*Get_Margin(J$3,J$2,J$5,J$1)&gt;((Client_Margin($B14)*Alloted(J$3,J$2,J$5)/Get_Margin(J$3,J$2,J$5,J$1))*Get_Margin(J$3,J$2,J$5,J$1))*$C$3,ROUNDDOWN((Client_Margin($B14)*Alloted(J$3,J$2,J$5)/Get_Margin(J$3,J$2,J$5,J$1)),0),ROUNDUP((Client_Margin($B14)*Alloted(J$3,J$2,J$5)/Get_Margin(J$3,J$2,J$5,J$1)),0)),"-")</f>
        <v>0</v>
      </c>
      <c r="K14" s="14" cm="1">
        <f t="array" ref="K14">IFERROR(IF(ROUNDUP((Client_Margin($B14)*Alloted(K$3,K$2,K$5)/Get_Margin(K$3,K$2,K$5,K$1)),0)*Get_Margin(K$3,K$2,K$5,K$1)&gt;((Client_Margin($B14)*Alloted(K$3,K$2,K$5)/Get_Margin(K$3,K$2,K$5,K$1))*Get_Margin(K$3,K$2,K$5,K$1))*$C$3,ROUNDDOWN((Client_Margin($B14)*Alloted(K$3,K$2,K$5)/Get_Margin(K$3,K$2,K$5,K$1)),0),ROUNDUP((Client_Margin($B14)*Alloted(K$3,K$2,K$5)/Get_Margin(K$3,K$2,K$5,K$1)),0)),"-")</f>
        <v>0</v>
      </c>
      <c r="L14" s="14" cm="1">
        <f t="array" ref="L14">IFERROR(IF(ROUNDUP((Client_Margin($B14)*Alloted(L$3,L$2,L$5)/Get_Margin(L$3,L$2,L$5,L$1)),0)*Get_Margin(L$3,L$2,L$5,L$1)&gt;((Client_Margin($B14)*Alloted(L$3,L$2,L$5)/Get_Margin(L$3,L$2,L$5,L$1))*Get_Margin(L$3,L$2,L$5,L$1))*$C$3,ROUNDDOWN((Client_Margin($B14)*Alloted(L$3,L$2,L$5)/Get_Margin(L$3,L$2,L$5,L$1)),0),ROUNDUP((Client_Margin($B14)*Alloted(L$3,L$2,L$5)/Get_Margin(L$3,L$2,L$5,L$1)),0)),"-")</f>
        <v>8</v>
      </c>
      <c r="M14" s="14" cm="1">
        <f t="array" ref="M14">IFERROR(IF(ROUNDUP((Client_Margin($B14)*Alloted(M$3,M$2,M$5)/Get_Margin(M$3,M$2,M$5,M$1)),0)*Get_Margin(M$3,M$2,M$5,M$1)&gt;((Client_Margin($B14)*Alloted(M$3,M$2,M$5)/Get_Margin(M$3,M$2,M$5,M$1))*Get_Margin(M$3,M$2,M$5,M$1))*$C$3,ROUNDDOWN((Client_Margin($B14)*Alloted(M$3,M$2,M$5)/Get_Margin(M$3,M$2,M$5,M$1)),0),ROUNDUP((Client_Margin($B14)*Alloted(M$3,M$2,M$5)/Get_Margin(M$3,M$2,M$5,M$1)),0)),"-")</f>
        <v>8</v>
      </c>
      <c r="N14" s="14" cm="1">
        <f t="array" ref="N14">IFERROR(IF(ROUNDUP((Client_Margin($B14)*Alloted(N$3,N$2,N$5)/Get_Margin(N$3,N$2,N$5,N$1)),0)*Get_Margin(N$3,N$2,N$5,N$1)&gt;((Client_Margin($B14)*Alloted(N$3,N$2,N$5)/Get_Margin(N$3,N$2,N$5,N$1))*Get_Margin(N$3,N$2,N$5,N$1))*$C$3,ROUNDDOWN((Client_Margin($B14)*Alloted(N$3,N$2,N$5)/Get_Margin(N$3,N$2,N$5,N$1)),0),ROUNDUP((Client_Margin($B14)*Alloted(N$3,N$2,N$5)/Get_Margin(N$3,N$2,N$5,N$1)),0)),"-")</f>
        <v>8</v>
      </c>
    </row>
    <row r="15" spans="1:20" hidden="1" x14ac:dyDescent="0.25">
      <c r="A15">
        <f t="shared" si="1"/>
        <v>0</v>
      </c>
      <c r="B15" s="14"/>
      <c r="C15" s="14"/>
      <c r="D15" s="15">
        <f>SUM(E15:N15)</f>
        <v>0.47498039215686272</v>
      </c>
      <c r="E15" s="15" t="str" cm="1">
        <f t="array" ref="E15">IFERROR((_xlfn._xlws.FILTER(INDEX(Margin[],0,MATCH(E$1&amp;"_"&amp;E$3,Margin[#Headers],0)),(Margin[Index]=E$2)*(Margin[Strategy]=E$5))*E14)/Client_Margin($B14),"-")</f>
        <v>-</v>
      </c>
      <c r="F15" s="15" t="str" cm="1">
        <f t="array" ref="F15">IFERROR((_xlfn._xlws.FILTER(INDEX(Margin[],0,MATCH(F$1&amp;"_"&amp;F$3,Margin[#Headers],0)),(Margin[Index]=F$2)*(Margin[Strategy]=F$5))*F14)/Client_Margin($B14),"-")</f>
        <v>-</v>
      </c>
      <c r="G15" s="15" cm="1">
        <f t="array" ref="G15">IFERROR((_xlfn._xlws.FILTER(INDEX(Margin[],0,MATCH(G$1&amp;"_"&amp;G$3,Margin[#Headers],0)),(Margin[Index]=G$2)*(Margin[Strategy]=G$5))*G14)/Client_Margin($B14),"-")</f>
        <v>0.10917647058823529</v>
      </c>
      <c r="H15" s="15" cm="1">
        <f t="array" ref="H15">IFERROR((_xlfn._xlws.FILTER(INDEX(Margin[],0,MATCH(H$1&amp;"_"&amp;H$3,Margin[#Headers],0)),(Margin[Index]=H$2)*(Margin[Strategy]=H$5))*H14)/Client_Margin($B14),"-")</f>
        <v>0.11011764705882353</v>
      </c>
      <c r="I15" s="15" cm="1">
        <f t="array" ref="I15">IFERROR((_xlfn._xlws.FILTER(INDEX(Margin[],0,MATCH(I$1&amp;"_"&amp;I$3,Margin[#Headers],0)),(Margin[Index]=I$2)*(Margin[Strategy]=I$5))*I14)/Client_Margin($B14),"-")</f>
        <v>9.4117647058823528E-2</v>
      </c>
      <c r="J15" s="15" cm="1">
        <f t="array" ref="J15">IFERROR((_xlfn._xlws.FILTER(INDEX(Margin[],0,MATCH(J$1&amp;"_"&amp;J$3,Margin[#Headers],0)),(Margin[Index]=J$2)*(Margin[Strategy]=J$5))*J14)/Client_Margin($B14),"-")</f>
        <v>0</v>
      </c>
      <c r="K15" s="15" cm="1">
        <f t="array" ref="K15">IFERROR((_xlfn._xlws.FILTER(INDEX(Margin[],0,MATCH(K$1&amp;"_"&amp;K$3,Margin[#Headers],0)),(Margin[Index]=K$2)*(Margin[Strategy]=K$5))*K14)/Client_Margin($B14),"-")</f>
        <v>0</v>
      </c>
      <c r="L15" s="15" cm="1">
        <f t="array" ref="L15">IFERROR((_xlfn._xlws.FILTER(INDEX(Margin[],0,MATCH(L$1&amp;"_"&amp;L$3,Margin[#Headers],0)),(Margin[Index]=L$2)*(Margin[Strategy]=L$5))*L14)/Client_Margin($B14),"-")</f>
        <v>5.4901960784313725E-2</v>
      </c>
      <c r="M15" s="15" cm="1">
        <f t="array" ref="M15">IFERROR((_xlfn._xlws.FILTER(INDEX(Margin[],0,MATCH(M$1&amp;"_"&amp;M$3,Margin[#Headers],0)),(Margin[Index]=M$2)*(Margin[Strategy]=M$5))*M14)/Client_Margin($B14),"-")</f>
        <v>5.3333333333333337E-2</v>
      </c>
      <c r="N15" s="15" cm="1">
        <f t="array" ref="N15">IFERROR((_xlfn._xlws.FILTER(INDEX(Margin[],0,MATCH(N$1&amp;"_"&amp;N$3,Margin[#Headers],0)),(Margin[Index]=N$2)*(Margin[Strategy]=N$5))*N14)/Client_Margin($B14),"-")</f>
        <v>5.3333333333333337E-2</v>
      </c>
    </row>
    <row r="16" spans="1:20" x14ac:dyDescent="0.25">
      <c r="A16">
        <f t="shared" si="1"/>
        <v>1</v>
      </c>
      <c r="B16" s="14" t="s">
        <v>34</v>
      </c>
      <c r="C16" s="14" cm="1">
        <f t="array" ref="C16">(_xlfn._xlws.FILTER(Fund[Margin],Fund[Client Id]=B16))/10000000</f>
        <v>3.5</v>
      </c>
      <c r="D16" s="17"/>
      <c r="E16" s="14" t="str" cm="1">
        <f t="array" ref="E16">IFERROR(IF(ROUNDUP((Client_Margin($B16)*Alloted(E$3,E$2,E$5)/Get_Margin(E$3,E$2,E$5,E$1)),0)*Get_Margin(E$3,E$2,E$5,E$1)&gt;((Client_Margin($B16)*Alloted(E$3,E$2,E$5)/Get_Margin(E$3,E$2,E$5,E$1))*Get_Margin(E$3,E$2,E$5,E$1))*$C$3,ROUNDDOWN((Client_Margin($B16)*Alloted(E$3,E$2,E$5)/Get_Margin(E$3,E$2,E$5,E$1)),0),ROUNDUP((Client_Margin($B16)*Alloted(E$3,E$2,E$5)/Get_Margin(E$3,E$2,E$5,E$1)),0)),"-")</f>
        <v>-</v>
      </c>
      <c r="F16" s="14" t="str" cm="1">
        <f t="array" ref="F16">IFERROR(IF(ROUNDUP((Client_Margin($B16)*Alloted(F$3,F$2,F$5)/Get_Margin(F$3,F$2,F$5,F$1)),0)*Get_Margin(F$3,F$2,F$5,F$1)&gt;((Client_Margin($B16)*Alloted(F$3,F$2,F$5)/Get_Margin(F$3,F$2,F$5,F$1))*Get_Margin(F$3,F$2,F$5,F$1))*$C$3,ROUNDDOWN((Client_Margin($B16)*Alloted(F$3,F$2,F$5)/Get_Margin(F$3,F$2,F$5,F$1)),0),ROUNDUP((Client_Margin($B16)*Alloted(F$3,F$2,F$5)/Get_Margin(F$3,F$2,F$5,F$1)),0)),"-")</f>
        <v>-</v>
      </c>
      <c r="G16" s="14" cm="1">
        <f t="array" ref="G16">IFERROR(IF(ROUNDUP((Client_Margin($B16)*Alloted(G$3,G$2,G$5)/Get_Margin(G$3,G$2,G$5,G$1)),0)*Get_Margin(G$3,G$2,G$5,G$1)&gt;((Client_Margin($B16)*Alloted(G$3,G$2,G$5)/Get_Margin(G$3,G$2,G$5,G$1))*Get_Margin(G$3,G$2,G$5,G$1))*$C$3,ROUNDDOWN((Client_Margin($B16)*Alloted(G$3,G$2,G$5)/Get_Margin(G$3,G$2,G$5,G$1)),0),ROUNDUP((Client_Margin($B16)*Alloted(G$3,G$2,G$5)/Get_Margin(G$3,G$2,G$5,G$1)),0)),"-")</f>
        <v>5</v>
      </c>
      <c r="H16" s="14" cm="1">
        <f t="array" ref="H16">IFERROR(IF(ROUNDUP((Client_Margin($B16)*Alloted(H$3,H$2,H$5)/Get_Margin(H$3,H$2,H$5,H$1)),0)*Get_Margin(H$3,H$2,H$5,H$1)&gt;((Client_Margin($B16)*Alloted(H$3,H$2,H$5)/Get_Margin(H$3,H$2,H$5,H$1))*Get_Margin(H$3,H$2,H$5,H$1))*$C$3,ROUNDDOWN((Client_Margin($B16)*Alloted(H$3,H$2,H$5)/Get_Margin(H$3,H$2,H$5,H$1)),0),ROUNDUP((Client_Margin($B16)*Alloted(H$3,H$2,H$5)/Get_Margin(H$3,H$2,H$5,H$1)),0)),"-")</f>
        <v>2</v>
      </c>
      <c r="I16" s="14" cm="1">
        <f t="array" ref="I16">IFERROR(IF(ROUNDUP((Client_Margin($B16)*Alloted(I$3,I$2,I$5)/Get_Margin(I$3,I$2,I$5,I$1)),0)*Get_Margin(I$3,I$2,I$5,I$1)&gt;((Client_Margin($B16)*Alloted(I$3,I$2,I$5)/Get_Margin(I$3,I$2,I$5,I$1))*Get_Margin(I$3,I$2,I$5,I$1))*$C$3,ROUNDDOWN((Client_Margin($B16)*Alloted(I$3,I$2,I$5)/Get_Margin(I$3,I$2,I$5,I$1)),0),ROUNDUP((Client_Margin($B16)*Alloted(I$3,I$2,I$5)/Get_Margin(I$3,I$2,I$5,I$1)),0)),"-")</f>
        <v>2</v>
      </c>
      <c r="J16" s="14" cm="1">
        <f t="array" ref="J16">IFERROR(IF(ROUNDUP((Client_Margin($B16)*Alloted(J$3,J$2,J$5)/Get_Margin(J$3,J$2,J$5,J$1)),0)*Get_Margin(J$3,J$2,J$5,J$1)&gt;((Client_Margin($B16)*Alloted(J$3,J$2,J$5)/Get_Margin(J$3,J$2,J$5,J$1))*Get_Margin(J$3,J$2,J$5,J$1))*$C$3,ROUNDDOWN((Client_Margin($B16)*Alloted(J$3,J$2,J$5)/Get_Margin(J$3,J$2,J$5,J$1)),0),ROUNDUP((Client_Margin($B16)*Alloted(J$3,J$2,J$5)/Get_Margin(J$3,J$2,J$5,J$1)),0)),"-")</f>
        <v>0</v>
      </c>
      <c r="K16" s="14" cm="1">
        <f t="array" ref="K16">IFERROR(IF(ROUNDUP((Client_Margin($B16)*Alloted(K$3,K$2,K$5)/Get_Margin(K$3,K$2,K$5,K$1)),0)*Get_Margin(K$3,K$2,K$5,K$1)&gt;((Client_Margin($B16)*Alloted(K$3,K$2,K$5)/Get_Margin(K$3,K$2,K$5,K$1))*Get_Margin(K$3,K$2,K$5,K$1))*$C$3,ROUNDDOWN((Client_Margin($B16)*Alloted(K$3,K$2,K$5)/Get_Margin(K$3,K$2,K$5,K$1)),0),ROUNDUP((Client_Margin($B16)*Alloted(K$3,K$2,K$5)/Get_Margin(K$3,K$2,K$5,K$1)),0)),"-")</f>
        <v>0</v>
      </c>
      <c r="L16" s="14" cm="1">
        <f t="array" ref="L16">IFERROR(IF(ROUNDUP((Client_Margin($B16)*Alloted(L$3,L$2,L$5)/Get_Margin(L$3,L$2,L$5,L$1)),0)*Get_Margin(L$3,L$2,L$5,L$1)&gt;((Client_Margin($B16)*Alloted(L$3,L$2,L$5)/Get_Margin(L$3,L$2,L$5,L$1))*Get_Margin(L$3,L$2,L$5,L$1))*$C$3,ROUNDDOWN((Client_Margin($B16)*Alloted(L$3,L$2,L$5)/Get_Margin(L$3,L$2,L$5,L$1)),0),ROUNDUP((Client_Margin($B16)*Alloted(L$3,L$2,L$5)/Get_Margin(L$3,L$2,L$5,L$1)),0)),"-")</f>
        <v>5</v>
      </c>
      <c r="M16" s="14" cm="1">
        <f t="array" ref="M16">IFERROR(IF(ROUNDUP((Client_Margin($B16)*Alloted(M$3,M$2,M$5)/Get_Margin(M$3,M$2,M$5,M$1)),0)*Get_Margin(M$3,M$2,M$5,M$1)&gt;((Client_Margin($B16)*Alloted(M$3,M$2,M$5)/Get_Margin(M$3,M$2,M$5,M$1))*Get_Margin(M$3,M$2,M$5,M$1))*$C$3,ROUNDDOWN((Client_Margin($B16)*Alloted(M$3,M$2,M$5)/Get_Margin(M$3,M$2,M$5,M$1)),0),ROUNDUP((Client_Margin($B16)*Alloted(M$3,M$2,M$5)/Get_Margin(M$3,M$2,M$5,M$1)),0)),"-")</f>
        <v>5</v>
      </c>
      <c r="N16" s="14" cm="1">
        <f t="array" ref="N16">IFERROR(IF(ROUNDUP((Client_Margin($B16)*Alloted(N$3,N$2,N$5)/Get_Margin(N$3,N$2,N$5,N$1)),0)*Get_Margin(N$3,N$2,N$5,N$1)&gt;((Client_Margin($B16)*Alloted(N$3,N$2,N$5)/Get_Margin(N$3,N$2,N$5,N$1))*Get_Margin(N$3,N$2,N$5,N$1))*$C$3,ROUNDDOWN((Client_Margin($B16)*Alloted(N$3,N$2,N$5)/Get_Margin(N$3,N$2,N$5,N$1)),0),ROUNDUP((Client_Margin($B16)*Alloted(N$3,N$2,N$5)/Get_Margin(N$3,N$2,N$5,N$1)),0)),"-")</f>
        <v>5</v>
      </c>
    </row>
    <row r="17" spans="1:14" hidden="1" x14ac:dyDescent="0.25">
      <c r="A17">
        <f t="shared" si="1"/>
        <v>0</v>
      </c>
      <c r="B17" s="14"/>
      <c r="C17" s="14"/>
      <c r="D17" s="15">
        <f>SUM(E17:N17)</f>
        <v>0.44497142857142857</v>
      </c>
      <c r="E17" s="15" t="str" cm="1">
        <f t="array" ref="E17">IFERROR((_xlfn._xlws.FILTER(INDEX(Margin[],0,MATCH(E$1&amp;"_"&amp;E$3,Margin[#Headers],0)),(Margin[Index]=E$2)*(Margin[Strategy]=E$5))*E16)/Client_Margin($B16),"-")</f>
        <v>-</v>
      </c>
      <c r="F17" s="15" t="str" cm="1">
        <f t="array" ref="F17">IFERROR((_xlfn._xlws.FILTER(INDEX(Margin[],0,MATCH(F$1&amp;"_"&amp;F$3,Margin[#Headers],0)),(Margin[Index]=F$2)*(Margin[Strategy]=F$5))*F16)/Client_Margin($B16),"-")</f>
        <v>-</v>
      </c>
      <c r="G17" s="15" cm="1">
        <f t="array" ref="G17">IFERROR((_xlfn._xlws.FILTER(INDEX(Margin[],0,MATCH(G$1&amp;"_"&amp;G$3,Margin[#Headers],0)),(Margin[Index]=G$2)*(Margin[Strategy]=G$5))*G16)/Client_Margin($B16),"-")</f>
        <v>9.9428571428571422E-2</v>
      </c>
      <c r="H17" s="15" cm="1">
        <f t="array" ref="H17">IFERROR((_xlfn._xlws.FILTER(INDEX(Margin[],0,MATCH(H$1&amp;"_"&amp;H$3,Margin[#Headers],0)),(Margin[Index]=H$2)*(Margin[Strategy]=H$5))*H16)/Client_Margin($B16),"-")</f>
        <v>0.10697142857142856</v>
      </c>
      <c r="I17" s="15" cm="1">
        <f t="array" ref="I17">IFERROR((_xlfn._xlws.FILTER(INDEX(Margin[],0,MATCH(I$1&amp;"_"&amp;I$3,Margin[#Headers],0)),(Margin[Index]=I$2)*(Margin[Strategy]=I$5))*I16)/Client_Margin($B16),"-")</f>
        <v>9.1428571428571428E-2</v>
      </c>
      <c r="J17" s="15" cm="1">
        <f t="array" ref="J17">IFERROR((_xlfn._xlws.FILTER(INDEX(Margin[],0,MATCH(J$1&amp;"_"&amp;J$3,Margin[#Headers],0)),(Margin[Index]=J$2)*(Margin[Strategy]=J$5))*J16)/Client_Margin($B16),"-")</f>
        <v>0</v>
      </c>
      <c r="K17" s="15" cm="1">
        <f t="array" ref="K17">IFERROR((_xlfn._xlws.FILTER(INDEX(Margin[],0,MATCH(K$1&amp;"_"&amp;K$3,Margin[#Headers],0)),(Margin[Index]=K$2)*(Margin[Strategy]=K$5))*K16)/Client_Margin($B16),"-")</f>
        <v>0</v>
      </c>
      <c r="L17" s="15" cm="1">
        <f t="array" ref="L17">IFERROR((_xlfn._xlws.FILTER(INDEX(Margin[],0,MATCH(L$1&amp;"_"&amp;L$3,Margin[#Headers],0)),(Margin[Index]=L$2)*(Margin[Strategy]=L$5))*L16)/Client_Margin($B16),"-")</f>
        <v>0.05</v>
      </c>
      <c r="M17" s="15" cm="1">
        <f t="array" ref="M17">IFERROR((_xlfn._xlws.FILTER(INDEX(Margin[],0,MATCH(M$1&amp;"_"&amp;M$3,Margin[#Headers],0)),(Margin[Index]=M$2)*(Margin[Strategy]=M$5))*M16)/Client_Margin($B16),"-")</f>
        <v>4.8571428571428571E-2</v>
      </c>
      <c r="N17" s="15" cm="1">
        <f t="array" ref="N17">IFERROR((_xlfn._xlws.FILTER(INDEX(Margin[],0,MATCH(N$1&amp;"_"&amp;N$3,Margin[#Headers],0)),(Margin[Index]=N$2)*(Margin[Strategy]=N$5))*N16)/Client_Margin($B16),"-")</f>
        <v>4.8571428571428571E-2</v>
      </c>
    </row>
    <row r="18" spans="1:14" x14ac:dyDescent="0.25">
      <c r="A18">
        <f t="shared" si="1"/>
        <v>1</v>
      </c>
      <c r="B18" s="14" t="s">
        <v>28</v>
      </c>
      <c r="C18" s="14" cm="1">
        <f t="array" ref="C18">(_xlfn._xlws.FILTER(Fund[Margin],Fund[Client Id]=B18))/10000000</f>
        <v>2.8</v>
      </c>
      <c r="D18" s="17"/>
      <c r="E18" s="14" t="str" cm="1">
        <f t="array" ref="E18">IFERROR(IF(ROUNDUP((Client_Margin($B18)*Alloted(E$3,E$2,E$5)/Get_Margin(E$3,E$2,E$5,E$1)),0)*Get_Margin(E$3,E$2,E$5,E$1)&gt;((Client_Margin($B18)*Alloted(E$3,E$2,E$5)/Get_Margin(E$3,E$2,E$5,E$1))*Get_Margin(E$3,E$2,E$5,E$1))*$C$3,ROUNDDOWN((Client_Margin($B18)*Alloted(E$3,E$2,E$5)/Get_Margin(E$3,E$2,E$5,E$1)),0),ROUNDUP((Client_Margin($B18)*Alloted(E$3,E$2,E$5)/Get_Margin(E$3,E$2,E$5,E$1)),0)),"-")</f>
        <v>-</v>
      </c>
      <c r="F18" s="14" t="str" cm="1">
        <f t="array" ref="F18">IFERROR(IF(ROUNDUP((Client_Margin($B18)*Alloted(F$3,F$2,F$5)/Get_Margin(F$3,F$2,F$5,F$1)),0)*Get_Margin(F$3,F$2,F$5,F$1)&gt;((Client_Margin($B18)*Alloted(F$3,F$2,F$5)/Get_Margin(F$3,F$2,F$5,F$1))*Get_Margin(F$3,F$2,F$5,F$1))*$C$3,ROUNDDOWN((Client_Margin($B18)*Alloted(F$3,F$2,F$5)/Get_Margin(F$3,F$2,F$5,F$1)),0),ROUNDUP((Client_Margin($B18)*Alloted(F$3,F$2,F$5)/Get_Margin(F$3,F$2,F$5,F$1)),0)),"-")</f>
        <v>-</v>
      </c>
      <c r="G18" s="14" cm="1">
        <f t="array" ref="G18">IFERROR(IF(ROUNDUP((Client_Margin($B18)*Alloted(G$3,G$2,G$5)/Get_Margin(G$3,G$2,G$5,G$1)),0)*Get_Margin(G$3,G$2,G$5,G$1)&gt;((Client_Margin($B18)*Alloted(G$3,G$2,G$5)/Get_Margin(G$3,G$2,G$5,G$1))*Get_Margin(G$3,G$2,G$5,G$1))*$C$3,ROUNDDOWN((Client_Margin($B18)*Alloted(G$3,G$2,G$5)/Get_Margin(G$3,G$2,G$5,G$1)),0),ROUNDUP((Client_Margin($B18)*Alloted(G$3,G$2,G$5)/Get_Margin(G$3,G$2,G$5,G$1)),0)),"-")</f>
        <v>4</v>
      </c>
      <c r="H18" s="14" cm="1">
        <f t="array" ref="H18">IFERROR(IF(ROUNDUP((Client_Margin($B18)*Alloted(H$3,H$2,H$5)/Get_Margin(H$3,H$2,H$5,H$1)),0)*Get_Margin(H$3,H$2,H$5,H$1)&gt;((Client_Margin($B18)*Alloted(H$3,H$2,H$5)/Get_Margin(H$3,H$2,H$5,H$1))*Get_Margin(H$3,H$2,H$5,H$1))*$C$3,ROUNDDOWN((Client_Margin($B18)*Alloted(H$3,H$2,H$5)/Get_Margin(H$3,H$2,H$5,H$1)),0),ROUNDUP((Client_Margin($B18)*Alloted(H$3,H$2,H$5)/Get_Margin(H$3,H$2,H$5,H$1)),0)),"-")</f>
        <v>1</v>
      </c>
      <c r="I18" s="14" cm="1">
        <f t="array" ref="I18">IFERROR(IF(ROUNDUP((Client_Margin($B18)*Alloted(I$3,I$2,I$5)/Get_Margin(I$3,I$2,I$5,I$1)),0)*Get_Margin(I$3,I$2,I$5,I$1)&gt;((Client_Margin($B18)*Alloted(I$3,I$2,I$5)/Get_Margin(I$3,I$2,I$5,I$1))*Get_Margin(I$3,I$2,I$5,I$1))*$C$3,ROUNDDOWN((Client_Margin($B18)*Alloted(I$3,I$2,I$5)/Get_Margin(I$3,I$2,I$5,I$1)),0),ROUNDUP((Client_Margin($B18)*Alloted(I$3,I$2,I$5)/Get_Margin(I$3,I$2,I$5,I$1)),0)),"-")</f>
        <v>2</v>
      </c>
      <c r="J18" s="14" cm="1">
        <f t="array" ref="J18">IFERROR(IF(ROUNDUP((Client_Margin($B18)*Alloted(J$3,J$2,J$5)/Get_Margin(J$3,J$2,J$5,J$1)),0)*Get_Margin(J$3,J$2,J$5,J$1)&gt;((Client_Margin($B18)*Alloted(J$3,J$2,J$5)/Get_Margin(J$3,J$2,J$5,J$1))*Get_Margin(J$3,J$2,J$5,J$1))*$C$3,ROUNDDOWN((Client_Margin($B18)*Alloted(J$3,J$2,J$5)/Get_Margin(J$3,J$2,J$5,J$1)),0),ROUNDUP((Client_Margin($B18)*Alloted(J$3,J$2,J$5)/Get_Margin(J$3,J$2,J$5,J$1)),0)),"-")</f>
        <v>0</v>
      </c>
      <c r="K18" s="14" cm="1">
        <f t="array" ref="K18">IFERROR(IF(ROUNDUP((Client_Margin($B18)*Alloted(K$3,K$2,K$5)/Get_Margin(K$3,K$2,K$5,K$1)),0)*Get_Margin(K$3,K$2,K$5,K$1)&gt;((Client_Margin($B18)*Alloted(K$3,K$2,K$5)/Get_Margin(K$3,K$2,K$5,K$1))*Get_Margin(K$3,K$2,K$5,K$1))*$C$3,ROUNDDOWN((Client_Margin($B18)*Alloted(K$3,K$2,K$5)/Get_Margin(K$3,K$2,K$5,K$1)),0),ROUNDUP((Client_Margin($B18)*Alloted(K$3,K$2,K$5)/Get_Margin(K$3,K$2,K$5,K$1)),0)),"-")</f>
        <v>0</v>
      </c>
      <c r="L18" s="14" cm="1">
        <f t="array" ref="L18">IFERROR(IF(ROUNDUP((Client_Margin($B18)*Alloted(L$3,L$2,L$5)/Get_Margin(L$3,L$2,L$5,L$1)),0)*Get_Margin(L$3,L$2,L$5,L$1)&gt;((Client_Margin($B18)*Alloted(L$3,L$2,L$5)/Get_Margin(L$3,L$2,L$5,L$1))*Get_Margin(L$3,L$2,L$5,L$1))*$C$3,ROUNDDOWN((Client_Margin($B18)*Alloted(L$3,L$2,L$5)/Get_Margin(L$3,L$2,L$5,L$1)),0),ROUNDUP((Client_Margin($B18)*Alloted(L$3,L$2,L$5)/Get_Margin(L$3,L$2,L$5,L$1)),0)),"-")</f>
        <v>4</v>
      </c>
      <c r="M18" s="14" cm="1">
        <f t="array" ref="M18">IFERROR(IF(ROUNDUP((Client_Margin($B18)*Alloted(M$3,M$2,M$5)/Get_Margin(M$3,M$2,M$5,M$1)),0)*Get_Margin(M$3,M$2,M$5,M$1)&gt;((Client_Margin($B18)*Alloted(M$3,M$2,M$5)/Get_Margin(M$3,M$2,M$5,M$1))*Get_Margin(M$3,M$2,M$5,M$1))*$C$3,ROUNDDOWN((Client_Margin($B18)*Alloted(M$3,M$2,M$5)/Get_Margin(M$3,M$2,M$5,M$1)),0),ROUNDUP((Client_Margin($B18)*Alloted(M$3,M$2,M$5)/Get_Margin(M$3,M$2,M$5,M$1)),0)),"-")</f>
        <v>4</v>
      </c>
      <c r="N18" s="14" cm="1">
        <f t="array" ref="N18">IFERROR(IF(ROUNDUP((Client_Margin($B18)*Alloted(N$3,N$2,N$5)/Get_Margin(N$3,N$2,N$5,N$1)),0)*Get_Margin(N$3,N$2,N$5,N$1)&gt;((Client_Margin($B18)*Alloted(N$3,N$2,N$5)/Get_Margin(N$3,N$2,N$5,N$1))*Get_Margin(N$3,N$2,N$5,N$1))*$C$3,ROUNDDOWN((Client_Margin($B18)*Alloted(N$3,N$2,N$5)/Get_Margin(N$3,N$2,N$5,N$1)),0),ROUNDUP((Client_Margin($B18)*Alloted(N$3,N$2,N$5)/Get_Margin(N$3,N$2,N$5,N$1)),0)),"-")</f>
        <v>4</v>
      </c>
    </row>
    <row r="19" spans="1:14" hidden="1" x14ac:dyDescent="0.25">
      <c r="A19">
        <f t="shared" si="1"/>
        <v>0</v>
      </c>
      <c r="B19" s="14"/>
      <c r="C19" s="14"/>
      <c r="D19" s="15">
        <f>SUM(E19:N19)</f>
        <v>0.42771428571428571</v>
      </c>
      <c r="E19" s="15" t="str" cm="1">
        <f t="array" ref="E19">IFERROR((_xlfn._xlws.FILTER(INDEX(Margin[],0,MATCH(E$1&amp;"_"&amp;E$3,Margin[#Headers],0)),(Margin[Index]=E$2)*(Margin[Strategy]=E$5))*E18)/Client_Margin($B18),"-")</f>
        <v>-</v>
      </c>
      <c r="F19" s="15" t="str" cm="1">
        <f t="array" ref="F19">IFERROR((_xlfn._xlws.FILTER(INDEX(Margin[],0,MATCH(F$1&amp;"_"&amp;F$3,Margin[#Headers],0)),(Margin[Index]=F$2)*(Margin[Strategy]=F$5))*F18)/Client_Margin($B18),"-")</f>
        <v>-</v>
      </c>
      <c r="G19" s="15" cm="1">
        <f t="array" ref="G19">IFERROR((_xlfn._xlws.FILTER(INDEX(Margin[],0,MATCH(G$1&amp;"_"&amp;G$3,Margin[#Headers],0)),(Margin[Index]=G$2)*(Margin[Strategy]=G$5))*G18)/Client_Margin($B18),"-")</f>
        <v>9.9428571428571422E-2</v>
      </c>
      <c r="H19" s="15" cm="1">
        <f t="array" ref="H19">IFERROR((_xlfn._xlws.FILTER(INDEX(Margin[],0,MATCH(H$1&amp;"_"&amp;H$3,Margin[#Headers],0)),(Margin[Index]=H$2)*(Margin[Strategy]=H$5))*H18)/Client_Margin($B18),"-")</f>
        <v>6.6857142857142851E-2</v>
      </c>
      <c r="I19" s="15" cm="1">
        <f t="array" ref="I19">IFERROR((_xlfn._xlws.FILTER(INDEX(Margin[],0,MATCH(I$1&amp;"_"&amp;I$3,Margin[#Headers],0)),(Margin[Index]=I$2)*(Margin[Strategy]=I$5))*I18)/Client_Margin($B18),"-")</f>
        <v>0.11428571428571428</v>
      </c>
      <c r="J19" s="15" cm="1">
        <f t="array" ref="J19">IFERROR((_xlfn._xlws.FILTER(INDEX(Margin[],0,MATCH(J$1&amp;"_"&amp;J$3,Margin[#Headers],0)),(Margin[Index]=J$2)*(Margin[Strategy]=J$5))*J18)/Client_Margin($B18),"-")</f>
        <v>0</v>
      </c>
      <c r="K19" s="15" cm="1">
        <f t="array" ref="K19">IFERROR((_xlfn._xlws.FILTER(INDEX(Margin[],0,MATCH(K$1&amp;"_"&amp;K$3,Margin[#Headers],0)),(Margin[Index]=K$2)*(Margin[Strategy]=K$5))*K18)/Client_Margin($B18),"-")</f>
        <v>0</v>
      </c>
      <c r="L19" s="15" cm="1">
        <f t="array" ref="L19">IFERROR((_xlfn._xlws.FILTER(INDEX(Margin[],0,MATCH(L$1&amp;"_"&amp;L$3,Margin[#Headers],0)),(Margin[Index]=L$2)*(Margin[Strategy]=L$5))*L18)/Client_Margin($B18),"-")</f>
        <v>0.05</v>
      </c>
      <c r="M19" s="15" cm="1">
        <f t="array" ref="M19">IFERROR((_xlfn._xlws.FILTER(INDEX(Margin[],0,MATCH(M$1&amp;"_"&amp;M$3,Margin[#Headers],0)),(Margin[Index]=M$2)*(Margin[Strategy]=M$5))*M18)/Client_Margin($B18),"-")</f>
        <v>4.8571428571428571E-2</v>
      </c>
      <c r="N19" s="15" cm="1">
        <f t="array" ref="N19">IFERROR((_xlfn._xlws.FILTER(INDEX(Margin[],0,MATCH(N$1&amp;"_"&amp;N$3,Margin[#Headers],0)),(Margin[Index]=N$2)*(Margin[Strategy]=N$5))*N18)/Client_Margin($B18),"-")</f>
        <v>4.8571428571428571E-2</v>
      </c>
    </row>
    <row r="20" spans="1:14" x14ac:dyDescent="0.25">
      <c r="A20">
        <f t="shared" si="1"/>
        <v>1</v>
      </c>
      <c r="B20" s="14" t="s">
        <v>48</v>
      </c>
      <c r="C20" s="14" cm="1">
        <f t="array" ref="C20">(_xlfn._xlws.FILTER(Fund[Margin],Fund[Client Id]=B20))/10000000</f>
        <v>2.9</v>
      </c>
      <c r="D20" s="17"/>
      <c r="E20" s="14" t="str" cm="1">
        <f t="array" ref="E20">IFERROR(IF(ROUNDUP((Client_Margin($B20)*Alloted(E$3,E$2,E$5)/Get_Margin(E$3,E$2,E$5,E$1)),0)*Get_Margin(E$3,E$2,E$5,E$1)&gt;((Client_Margin($B20)*Alloted(E$3,E$2,E$5)/Get_Margin(E$3,E$2,E$5,E$1))*Get_Margin(E$3,E$2,E$5,E$1))*$C$3,ROUNDDOWN((Client_Margin($B20)*Alloted(E$3,E$2,E$5)/Get_Margin(E$3,E$2,E$5,E$1)),0),ROUNDUP((Client_Margin($B20)*Alloted(E$3,E$2,E$5)/Get_Margin(E$3,E$2,E$5,E$1)),0)),"-")</f>
        <v>-</v>
      </c>
      <c r="F20" s="14" t="str" cm="1">
        <f t="array" ref="F20">IFERROR(IF(ROUNDUP((Client_Margin($B20)*Alloted(F$3,F$2,F$5)/Get_Margin(F$3,F$2,F$5,F$1)),0)*Get_Margin(F$3,F$2,F$5,F$1)&gt;((Client_Margin($B20)*Alloted(F$3,F$2,F$5)/Get_Margin(F$3,F$2,F$5,F$1))*Get_Margin(F$3,F$2,F$5,F$1))*$C$3,ROUNDDOWN((Client_Margin($B20)*Alloted(F$3,F$2,F$5)/Get_Margin(F$3,F$2,F$5,F$1)),0),ROUNDUP((Client_Margin($B20)*Alloted(F$3,F$2,F$5)/Get_Margin(F$3,F$2,F$5,F$1)),0)),"-")</f>
        <v>-</v>
      </c>
      <c r="G20" s="14" cm="1">
        <f t="array" ref="G20">IFERROR(IF(ROUNDUP((Client_Margin($B20)*Alloted(G$3,G$2,G$5)/Get_Margin(G$3,G$2,G$5,G$1)),0)*Get_Margin(G$3,G$2,G$5,G$1)&gt;((Client_Margin($B20)*Alloted(G$3,G$2,G$5)/Get_Margin(G$3,G$2,G$5,G$1))*Get_Margin(G$3,G$2,G$5,G$1))*$C$3,ROUNDDOWN((Client_Margin($B20)*Alloted(G$3,G$2,G$5)/Get_Margin(G$3,G$2,G$5,G$1)),0),ROUNDUP((Client_Margin($B20)*Alloted(G$3,G$2,G$5)/Get_Margin(G$3,G$2,G$5,G$1)),0)),"-")</f>
        <v>4</v>
      </c>
      <c r="H20" s="14" cm="1">
        <f t="array" ref="H20">IFERROR(IF(ROUNDUP((Client_Margin($B20)*Alloted(H$3,H$2,H$5)/Get_Margin(H$3,H$2,H$5,H$1)),0)*Get_Margin(H$3,H$2,H$5,H$1)&gt;((Client_Margin($B20)*Alloted(H$3,H$2,H$5)/Get_Margin(H$3,H$2,H$5,H$1))*Get_Margin(H$3,H$2,H$5,H$1))*$C$3,ROUNDDOWN((Client_Margin($B20)*Alloted(H$3,H$2,H$5)/Get_Margin(H$3,H$2,H$5,H$1)),0),ROUNDUP((Client_Margin($B20)*Alloted(H$3,H$2,H$5)/Get_Margin(H$3,H$2,H$5,H$1)),0)),"-")</f>
        <v>1</v>
      </c>
      <c r="I20" s="14" cm="1">
        <f t="array" ref="I20">IFERROR(IF(ROUNDUP((Client_Margin($B20)*Alloted(I$3,I$2,I$5)/Get_Margin(I$3,I$2,I$5,I$1)),0)*Get_Margin(I$3,I$2,I$5,I$1)&gt;((Client_Margin($B20)*Alloted(I$3,I$2,I$5)/Get_Margin(I$3,I$2,I$5,I$1))*Get_Margin(I$3,I$2,I$5,I$1))*$C$3,ROUNDDOWN((Client_Margin($B20)*Alloted(I$3,I$2,I$5)/Get_Margin(I$3,I$2,I$5,I$1)),0),ROUNDUP((Client_Margin($B20)*Alloted(I$3,I$2,I$5)/Get_Margin(I$3,I$2,I$5,I$1)),0)),"-")</f>
        <v>2</v>
      </c>
      <c r="J20" s="14" cm="1">
        <f t="array" ref="J20">IFERROR(IF(ROUNDUP((Client_Margin($B20)*Alloted(J$3,J$2,J$5)/Get_Margin(J$3,J$2,J$5,J$1)),0)*Get_Margin(J$3,J$2,J$5,J$1)&gt;((Client_Margin($B20)*Alloted(J$3,J$2,J$5)/Get_Margin(J$3,J$2,J$5,J$1))*Get_Margin(J$3,J$2,J$5,J$1))*$C$3,ROUNDDOWN((Client_Margin($B20)*Alloted(J$3,J$2,J$5)/Get_Margin(J$3,J$2,J$5,J$1)),0),ROUNDUP((Client_Margin($B20)*Alloted(J$3,J$2,J$5)/Get_Margin(J$3,J$2,J$5,J$1)),0)),"-")</f>
        <v>0</v>
      </c>
      <c r="K20" s="14" cm="1">
        <f t="array" ref="K20">IFERROR(IF(ROUNDUP((Client_Margin($B20)*Alloted(K$3,K$2,K$5)/Get_Margin(K$3,K$2,K$5,K$1)),0)*Get_Margin(K$3,K$2,K$5,K$1)&gt;((Client_Margin($B20)*Alloted(K$3,K$2,K$5)/Get_Margin(K$3,K$2,K$5,K$1))*Get_Margin(K$3,K$2,K$5,K$1))*$C$3,ROUNDDOWN((Client_Margin($B20)*Alloted(K$3,K$2,K$5)/Get_Margin(K$3,K$2,K$5,K$1)),0),ROUNDUP((Client_Margin($B20)*Alloted(K$3,K$2,K$5)/Get_Margin(K$3,K$2,K$5,K$1)),0)),"-")</f>
        <v>0</v>
      </c>
      <c r="L20" s="14" cm="1">
        <f t="array" ref="L20">IFERROR(IF(ROUNDUP((Client_Margin($B20)*Alloted(L$3,L$2,L$5)/Get_Margin(L$3,L$2,L$5,L$1)),0)*Get_Margin(L$3,L$2,L$5,L$1)&gt;((Client_Margin($B20)*Alloted(L$3,L$2,L$5)/Get_Margin(L$3,L$2,L$5,L$1))*Get_Margin(L$3,L$2,L$5,L$1))*$C$3,ROUNDDOWN((Client_Margin($B20)*Alloted(L$3,L$2,L$5)/Get_Margin(L$3,L$2,L$5,L$1)),0),ROUNDUP((Client_Margin($B20)*Alloted(L$3,L$2,L$5)/Get_Margin(L$3,L$2,L$5,L$1)),0)),"-")</f>
        <v>4</v>
      </c>
      <c r="M20" s="14" cm="1">
        <f t="array" ref="M20">IFERROR(IF(ROUNDUP((Client_Margin($B20)*Alloted(M$3,M$2,M$5)/Get_Margin(M$3,M$2,M$5,M$1)),0)*Get_Margin(M$3,M$2,M$5,M$1)&gt;((Client_Margin($B20)*Alloted(M$3,M$2,M$5)/Get_Margin(M$3,M$2,M$5,M$1))*Get_Margin(M$3,M$2,M$5,M$1))*$C$3,ROUNDDOWN((Client_Margin($B20)*Alloted(M$3,M$2,M$5)/Get_Margin(M$3,M$2,M$5,M$1)),0),ROUNDUP((Client_Margin($B20)*Alloted(M$3,M$2,M$5)/Get_Margin(M$3,M$2,M$5,M$1)),0)),"-")</f>
        <v>4</v>
      </c>
      <c r="N20" s="14" cm="1">
        <f t="array" ref="N20">IFERROR(IF(ROUNDUP((Client_Margin($B20)*Alloted(N$3,N$2,N$5)/Get_Margin(N$3,N$2,N$5,N$1)),0)*Get_Margin(N$3,N$2,N$5,N$1)&gt;((Client_Margin($B20)*Alloted(N$3,N$2,N$5)/Get_Margin(N$3,N$2,N$5,N$1))*Get_Margin(N$3,N$2,N$5,N$1))*$C$3,ROUNDDOWN((Client_Margin($B20)*Alloted(N$3,N$2,N$5)/Get_Margin(N$3,N$2,N$5,N$1)),0),ROUNDUP((Client_Margin($B20)*Alloted(N$3,N$2,N$5)/Get_Margin(N$3,N$2,N$5,N$1)),0)),"-")</f>
        <v>4</v>
      </c>
    </row>
    <row r="21" spans="1:14" hidden="1" x14ac:dyDescent="0.25">
      <c r="A21">
        <f t="shared" si="1"/>
        <v>0</v>
      </c>
      <c r="B21" s="14"/>
      <c r="C21" s="14"/>
      <c r="D21" s="15">
        <f>SUM(E21:N21)</f>
        <v>0.41296551724137931</v>
      </c>
      <c r="E21" s="15" t="str" cm="1">
        <f t="array" ref="E21">IFERROR((_xlfn._xlws.FILTER(INDEX(Margin[],0,MATCH(E$1&amp;"_"&amp;E$3,Margin[#Headers],0)),(Margin[Index]=E$2)*(Margin[Strategy]=E$5))*E20)/Client_Margin($B20),"-")</f>
        <v>-</v>
      </c>
      <c r="F21" s="15" t="str" cm="1">
        <f t="array" ref="F21">IFERROR((_xlfn._xlws.FILTER(INDEX(Margin[],0,MATCH(F$1&amp;"_"&amp;F$3,Margin[#Headers],0)),(Margin[Index]=F$2)*(Margin[Strategy]=F$5))*F20)/Client_Margin($B20),"-")</f>
        <v>-</v>
      </c>
      <c r="G21" s="15" cm="1">
        <f t="array" ref="G21">IFERROR((_xlfn._xlws.FILTER(INDEX(Margin[],0,MATCH(G$1&amp;"_"&amp;G$3,Margin[#Headers],0)),(Margin[Index]=G$2)*(Margin[Strategy]=G$5))*G20)/Client_Margin($B20),"-")</f>
        <v>9.6000000000000002E-2</v>
      </c>
      <c r="H21" s="15" cm="1">
        <f t="array" ref="H21">IFERROR((_xlfn._xlws.FILTER(INDEX(Margin[],0,MATCH(H$1&amp;"_"&amp;H$3,Margin[#Headers],0)),(Margin[Index]=H$2)*(Margin[Strategy]=H$5))*H20)/Client_Margin($B20),"-")</f>
        <v>6.4551724137931032E-2</v>
      </c>
      <c r="I21" s="15" cm="1">
        <f t="array" ref="I21">IFERROR((_xlfn._xlws.FILTER(INDEX(Margin[],0,MATCH(I$1&amp;"_"&amp;I$3,Margin[#Headers],0)),(Margin[Index]=I$2)*(Margin[Strategy]=I$5))*I20)/Client_Margin($B20),"-")</f>
        <v>0.1103448275862069</v>
      </c>
      <c r="J21" s="15" cm="1">
        <f t="array" ref="J21">IFERROR((_xlfn._xlws.FILTER(INDEX(Margin[],0,MATCH(J$1&amp;"_"&amp;J$3,Margin[#Headers],0)),(Margin[Index]=J$2)*(Margin[Strategy]=J$5))*J20)/Client_Margin($B20),"-")</f>
        <v>0</v>
      </c>
      <c r="K21" s="15" cm="1">
        <f t="array" ref="K21">IFERROR((_xlfn._xlws.FILTER(INDEX(Margin[],0,MATCH(K$1&amp;"_"&amp;K$3,Margin[#Headers],0)),(Margin[Index]=K$2)*(Margin[Strategy]=K$5))*K20)/Client_Margin($B20),"-")</f>
        <v>0</v>
      </c>
      <c r="L21" s="15" cm="1">
        <f t="array" ref="L21">IFERROR((_xlfn._xlws.FILTER(INDEX(Margin[],0,MATCH(L$1&amp;"_"&amp;L$3,Margin[#Headers],0)),(Margin[Index]=L$2)*(Margin[Strategy]=L$5))*L20)/Client_Margin($B20),"-")</f>
        <v>4.8275862068965517E-2</v>
      </c>
      <c r="M21" s="15" cm="1">
        <f t="array" ref="M21">IFERROR((_xlfn._xlws.FILTER(INDEX(Margin[],0,MATCH(M$1&amp;"_"&amp;M$3,Margin[#Headers],0)),(Margin[Index]=M$2)*(Margin[Strategy]=M$5))*M20)/Client_Margin($B20),"-")</f>
        <v>4.6896551724137932E-2</v>
      </c>
      <c r="N21" s="15" cm="1">
        <f t="array" ref="N21">IFERROR((_xlfn._xlws.FILTER(INDEX(Margin[],0,MATCH(N$1&amp;"_"&amp;N$3,Margin[#Headers],0)),(Margin[Index]=N$2)*(Margin[Strategy]=N$5))*N20)/Client_Margin($B20),"-")</f>
        <v>4.6896551724137932E-2</v>
      </c>
    </row>
    <row r="22" spans="1:14" x14ac:dyDescent="0.25">
      <c r="A22">
        <f t="shared" si="1"/>
        <v>1</v>
      </c>
      <c r="B22" s="14" t="s">
        <v>53</v>
      </c>
      <c r="C22" s="14" cm="1">
        <f t="array" ref="C22">(_xlfn._xlws.FILTER(Fund[Margin],Fund[Client Id]=B22))/10000000</f>
        <v>2.4</v>
      </c>
      <c r="D22" s="17"/>
      <c r="E22" s="14" t="str" cm="1">
        <f t="array" ref="E22">IFERROR(IF(ROUNDUP((Client_Margin($B22)*Alloted(E$3,E$2,E$5)/Get_Margin(E$3,E$2,E$5,E$1)),0)*Get_Margin(E$3,E$2,E$5,E$1)&gt;((Client_Margin($B22)*Alloted(E$3,E$2,E$5)/Get_Margin(E$3,E$2,E$5,E$1))*Get_Margin(E$3,E$2,E$5,E$1))*$C$3,ROUNDDOWN((Client_Margin($B22)*Alloted(E$3,E$2,E$5)/Get_Margin(E$3,E$2,E$5,E$1)),0),ROUNDUP((Client_Margin($B22)*Alloted(E$3,E$2,E$5)/Get_Margin(E$3,E$2,E$5,E$1)),0)),"-")</f>
        <v>-</v>
      </c>
      <c r="F22" s="14" t="str" cm="1">
        <f t="array" ref="F22">IFERROR(IF(ROUNDUP((Client_Margin($B22)*Alloted(F$3,F$2,F$5)/Get_Margin(F$3,F$2,F$5,F$1)),0)*Get_Margin(F$3,F$2,F$5,F$1)&gt;((Client_Margin($B22)*Alloted(F$3,F$2,F$5)/Get_Margin(F$3,F$2,F$5,F$1))*Get_Margin(F$3,F$2,F$5,F$1))*$C$3,ROUNDDOWN((Client_Margin($B22)*Alloted(F$3,F$2,F$5)/Get_Margin(F$3,F$2,F$5,F$1)),0),ROUNDUP((Client_Margin($B22)*Alloted(F$3,F$2,F$5)/Get_Margin(F$3,F$2,F$5,F$1)),0)),"-")</f>
        <v>-</v>
      </c>
      <c r="G22" s="14" cm="1">
        <f t="array" ref="G22">IFERROR(IF(ROUNDUP((Client_Margin($B22)*Alloted(G$3,G$2,G$5)/Get_Margin(G$3,G$2,G$5,G$1)),0)*Get_Margin(G$3,G$2,G$5,G$1)&gt;((Client_Margin($B22)*Alloted(G$3,G$2,G$5)/Get_Margin(G$3,G$2,G$5,G$1))*Get_Margin(G$3,G$2,G$5,G$1))*$C$3,ROUNDDOWN((Client_Margin($B22)*Alloted(G$3,G$2,G$5)/Get_Margin(G$3,G$2,G$5,G$1)),0),ROUNDUP((Client_Margin($B22)*Alloted(G$3,G$2,G$5)/Get_Margin(G$3,G$2,G$5,G$1)),0)),"-")</f>
        <v>3</v>
      </c>
      <c r="H22" s="14" cm="1">
        <f t="array" ref="H22">IFERROR(IF(ROUNDUP((Client_Margin($B22)*Alloted(H$3,H$2,H$5)/Get_Margin(H$3,H$2,H$5,H$1)),0)*Get_Margin(H$3,H$2,H$5,H$1)&gt;((Client_Margin($B22)*Alloted(H$3,H$2,H$5)/Get_Margin(H$3,H$2,H$5,H$1))*Get_Margin(H$3,H$2,H$5,H$1))*$C$3,ROUNDDOWN((Client_Margin($B22)*Alloted(H$3,H$2,H$5)/Get_Margin(H$3,H$2,H$5,H$1)),0),ROUNDUP((Client_Margin($B22)*Alloted(H$3,H$2,H$5)/Get_Margin(H$3,H$2,H$5,H$1)),0)),"-")</f>
        <v>1</v>
      </c>
      <c r="I22" s="14" cm="1">
        <f t="array" ref="I22">IFERROR(IF(ROUNDUP((Client_Margin($B22)*Alloted(I$3,I$2,I$5)/Get_Margin(I$3,I$2,I$5,I$1)),0)*Get_Margin(I$3,I$2,I$5,I$1)&gt;((Client_Margin($B22)*Alloted(I$3,I$2,I$5)/Get_Margin(I$3,I$2,I$5,I$1))*Get_Margin(I$3,I$2,I$5,I$1))*$C$3,ROUNDDOWN((Client_Margin($B22)*Alloted(I$3,I$2,I$5)/Get_Margin(I$3,I$2,I$5,I$1)),0),ROUNDUP((Client_Margin($B22)*Alloted(I$3,I$2,I$5)/Get_Margin(I$3,I$2,I$5,I$1)),0)),"-")</f>
        <v>1</v>
      </c>
      <c r="J22" s="14" cm="1">
        <f t="array" ref="J22">IFERROR(IF(ROUNDUP((Client_Margin($B22)*Alloted(J$3,J$2,J$5)/Get_Margin(J$3,J$2,J$5,J$1)),0)*Get_Margin(J$3,J$2,J$5,J$1)&gt;((Client_Margin($B22)*Alloted(J$3,J$2,J$5)/Get_Margin(J$3,J$2,J$5,J$1))*Get_Margin(J$3,J$2,J$5,J$1))*$C$3,ROUNDDOWN((Client_Margin($B22)*Alloted(J$3,J$2,J$5)/Get_Margin(J$3,J$2,J$5,J$1)),0),ROUNDUP((Client_Margin($B22)*Alloted(J$3,J$2,J$5)/Get_Margin(J$3,J$2,J$5,J$1)),0)),"-")</f>
        <v>0</v>
      </c>
      <c r="K22" s="14" cm="1">
        <f t="array" ref="K22">IFERROR(IF(ROUNDUP((Client_Margin($B22)*Alloted(K$3,K$2,K$5)/Get_Margin(K$3,K$2,K$5,K$1)),0)*Get_Margin(K$3,K$2,K$5,K$1)&gt;((Client_Margin($B22)*Alloted(K$3,K$2,K$5)/Get_Margin(K$3,K$2,K$5,K$1))*Get_Margin(K$3,K$2,K$5,K$1))*$C$3,ROUNDDOWN((Client_Margin($B22)*Alloted(K$3,K$2,K$5)/Get_Margin(K$3,K$2,K$5,K$1)),0),ROUNDUP((Client_Margin($B22)*Alloted(K$3,K$2,K$5)/Get_Margin(K$3,K$2,K$5,K$1)),0)),"-")</f>
        <v>0</v>
      </c>
      <c r="L22" s="14" cm="1">
        <f t="array" ref="L22">IFERROR(IF(ROUNDUP((Client_Margin($B22)*Alloted(L$3,L$2,L$5)/Get_Margin(L$3,L$2,L$5,L$1)),0)*Get_Margin(L$3,L$2,L$5,L$1)&gt;((Client_Margin($B22)*Alloted(L$3,L$2,L$5)/Get_Margin(L$3,L$2,L$5,L$1))*Get_Margin(L$3,L$2,L$5,L$1))*$C$3,ROUNDDOWN((Client_Margin($B22)*Alloted(L$3,L$2,L$5)/Get_Margin(L$3,L$2,L$5,L$1)),0),ROUNDUP((Client_Margin($B22)*Alloted(L$3,L$2,L$5)/Get_Margin(L$3,L$2,L$5,L$1)),0)),"-")</f>
        <v>3</v>
      </c>
      <c r="M22" s="14" cm="1">
        <f t="array" ref="M22">IFERROR(IF(ROUNDUP((Client_Margin($B22)*Alloted(M$3,M$2,M$5)/Get_Margin(M$3,M$2,M$5,M$1)),0)*Get_Margin(M$3,M$2,M$5,M$1)&gt;((Client_Margin($B22)*Alloted(M$3,M$2,M$5)/Get_Margin(M$3,M$2,M$5,M$1))*Get_Margin(M$3,M$2,M$5,M$1))*$C$3,ROUNDDOWN((Client_Margin($B22)*Alloted(M$3,M$2,M$5)/Get_Margin(M$3,M$2,M$5,M$1)),0),ROUNDUP((Client_Margin($B22)*Alloted(M$3,M$2,M$5)/Get_Margin(M$3,M$2,M$5,M$1)),0)),"-")</f>
        <v>4</v>
      </c>
      <c r="N22" s="14" cm="1">
        <f t="array" ref="N22">IFERROR(IF(ROUNDUP((Client_Margin($B22)*Alloted(N$3,N$2,N$5)/Get_Margin(N$3,N$2,N$5,N$1)),0)*Get_Margin(N$3,N$2,N$5,N$1)&gt;((Client_Margin($B22)*Alloted(N$3,N$2,N$5)/Get_Margin(N$3,N$2,N$5,N$1))*Get_Margin(N$3,N$2,N$5,N$1))*$C$3,ROUNDDOWN((Client_Margin($B22)*Alloted(N$3,N$2,N$5)/Get_Margin(N$3,N$2,N$5,N$1)),0),ROUNDUP((Client_Margin($B22)*Alloted(N$3,N$2,N$5)/Get_Margin(N$3,N$2,N$5,N$1)),0)),"-")</f>
        <v>4</v>
      </c>
    </row>
    <row r="23" spans="1:14" hidden="1" x14ac:dyDescent="0.25">
      <c r="A23">
        <f t="shared" si="1"/>
        <v>0</v>
      </c>
      <c r="B23" s="14"/>
      <c r="C23" s="14"/>
      <c r="D23" s="15">
        <f>SUM(E23:N23)</f>
        <v>0.38874999999999993</v>
      </c>
      <c r="E23" s="15" t="str" cm="1">
        <f t="array" ref="E23">IFERROR((_xlfn._xlws.FILTER(INDEX(Margin[],0,MATCH(E$1&amp;"_"&amp;E$3,Margin[#Headers],0)),(Margin[Index]=E$2)*(Margin[Strategy]=E$5))*E22)/Client_Margin($B22),"-")</f>
        <v>-</v>
      </c>
      <c r="F23" s="15" t="str" cm="1">
        <f t="array" ref="F23">IFERROR((_xlfn._xlws.FILTER(INDEX(Margin[],0,MATCH(F$1&amp;"_"&amp;F$3,Margin[#Headers],0)),(Margin[Index]=F$2)*(Margin[Strategy]=F$5))*F22)/Client_Margin($B22),"-")</f>
        <v>-</v>
      </c>
      <c r="G23" s="15" cm="1">
        <f t="array" ref="G23">IFERROR((_xlfn._xlws.FILTER(INDEX(Margin[],0,MATCH(G$1&amp;"_"&amp;G$3,Margin[#Headers],0)),(Margin[Index]=G$2)*(Margin[Strategy]=G$5))*G22)/Client_Margin($B22),"-")</f>
        <v>8.6999999999999994E-2</v>
      </c>
      <c r="H23" s="15" cm="1">
        <f t="array" ref="H23">IFERROR((_xlfn._xlws.FILTER(INDEX(Margin[],0,MATCH(H$1&amp;"_"&amp;H$3,Margin[#Headers],0)),(Margin[Index]=H$2)*(Margin[Strategy]=H$5))*H22)/Client_Margin($B22),"-")</f>
        <v>7.8E-2</v>
      </c>
      <c r="I23" s="15" cm="1">
        <f t="array" ref="I23">IFERROR((_xlfn._xlws.FILTER(INDEX(Margin[],0,MATCH(I$1&amp;"_"&amp;I$3,Margin[#Headers],0)),(Margin[Index]=I$2)*(Margin[Strategy]=I$5))*I22)/Client_Margin($B22),"-")</f>
        <v>6.6666666666666666E-2</v>
      </c>
      <c r="J23" s="15" cm="1">
        <f t="array" ref="J23">IFERROR((_xlfn._xlws.FILTER(INDEX(Margin[],0,MATCH(J$1&amp;"_"&amp;J$3,Margin[#Headers],0)),(Margin[Index]=J$2)*(Margin[Strategy]=J$5))*J22)/Client_Margin($B22),"-")</f>
        <v>0</v>
      </c>
      <c r="K23" s="15" cm="1">
        <f t="array" ref="K23">IFERROR((_xlfn._xlws.FILTER(INDEX(Margin[],0,MATCH(K$1&amp;"_"&amp;K$3,Margin[#Headers],0)),(Margin[Index]=K$2)*(Margin[Strategy]=K$5))*K22)/Client_Margin($B22),"-")</f>
        <v>0</v>
      </c>
      <c r="L23" s="15" cm="1">
        <f t="array" ref="L23">IFERROR((_xlfn._xlws.FILTER(INDEX(Margin[],0,MATCH(L$1&amp;"_"&amp;L$3,Margin[#Headers],0)),(Margin[Index]=L$2)*(Margin[Strategy]=L$5))*L22)/Client_Margin($B22),"-")</f>
        <v>4.3749999999999997E-2</v>
      </c>
      <c r="M23" s="15" cm="1">
        <f t="array" ref="M23">IFERROR((_xlfn._xlws.FILTER(INDEX(Margin[],0,MATCH(M$1&amp;"_"&amp;M$3,Margin[#Headers],0)),(Margin[Index]=M$2)*(Margin[Strategy]=M$5))*M22)/Client_Margin($B22),"-")</f>
        <v>5.6666666666666664E-2</v>
      </c>
      <c r="N23" s="15" cm="1">
        <f t="array" ref="N23">IFERROR((_xlfn._xlws.FILTER(INDEX(Margin[],0,MATCH(N$1&amp;"_"&amp;N$3,Margin[#Headers],0)),(Margin[Index]=N$2)*(Margin[Strategy]=N$5))*N22)/Client_Margin($B22),"-")</f>
        <v>5.6666666666666664E-2</v>
      </c>
    </row>
    <row r="24" spans="1:14" x14ac:dyDescent="0.25">
      <c r="A24">
        <f>IF(B24="",0,1)</f>
        <v>1</v>
      </c>
      <c r="B24" s="14" t="s">
        <v>44</v>
      </c>
      <c r="C24" s="14" cm="1">
        <f t="array" ref="C24">(_xlfn._xlws.FILTER(Fund[Margin],Fund[Client Id]=B24))/10000000</f>
        <v>2.4</v>
      </c>
      <c r="D24" s="17"/>
      <c r="E24" s="14" t="str" cm="1">
        <f t="array" ref="E24">IFERROR(IF(ROUNDUP((Client_Margin($B24)*Alloted(E$3,E$2,E$5)/Get_Margin(E$3,E$2,E$5,E$1)),0)*Get_Margin(E$3,E$2,E$5,E$1)&gt;((Client_Margin($B24)*Alloted(E$3,E$2,E$5)/Get_Margin(E$3,E$2,E$5,E$1))*Get_Margin(E$3,E$2,E$5,E$1))*$C$3,ROUNDDOWN((Client_Margin($B24)*Alloted(E$3,E$2,E$5)/Get_Margin(E$3,E$2,E$5,E$1)),0),ROUNDUP((Client_Margin($B24)*Alloted(E$3,E$2,E$5)/Get_Margin(E$3,E$2,E$5,E$1)),0)),"-")</f>
        <v>-</v>
      </c>
      <c r="F24" s="14" t="str" cm="1">
        <f t="array" ref="F24">IFERROR(IF(ROUNDUP((Client_Margin($B24)*Alloted(F$3,F$2,F$5)/Get_Margin(F$3,F$2,F$5,F$1)),0)*Get_Margin(F$3,F$2,F$5,F$1)&gt;((Client_Margin($B24)*Alloted(F$3,F$2,F$5)/Get_Margin(F$3,F$2,F$5,F$1))*Get_Margin(F$3,F$2,F$5,F$1))*$C$3,ROUNDDOWN((Client_Margin($B24)*Alloted(F$3,F$2,F$5)/Get_Margin(F$3,F$2,F$5,F$1)),0),ROUNDUP((Client_Margin($B24)*Alloted(F$3,F$2,F$5)/Get_Margin(F$3,F$2,F$5,F$1)),0)),"-")</f>
        <v>-</v>
      </c>
      <c r="G24" s="14" cm="1">
        <f t="array" ref="G24">IFERROR(IF(ROUNDUP((Client_Margin($B24)*Alloted(G$3,G$2,G$5)/Get_Margin(G$3,G$2,G$5,G$1)),0)*Get_Margin(G$3,G$2,G$5,G$1)&gt;((Client_Margin($B24)*Alloted(G$3,G$2,G$5)/Get_Margin(G$3,G$2,G$5,G$1))*Get_Margin(G$3,G$2,G$5,G$1))*$C$3,ROUNDDOWN((Client_Margin($B24)*Alloted(G$3,G$2,G$5)/Get_Margin(G$3,G$2,G$5,G$1)),0),ROUNDUP((Client_Margin($B24)*Alloted(G$3,G$2,G$5)/Get_Margin(G$3,G$2,G$5,G$1)),0)),"-")</f>
        <v>3</v>
      </c>
      <c r="H24" s="14" cm="1">
        <f t="array" ref="H24">IFERROR(IF(ROUNDUP((Client_Margin($B24)*Alloted(H$3,H$2,H$5)/Get_Margin(H$3,H$2,H$5,H$1)),0)*Get_Margin(H$3,H$2,H$5,H$1)&gt;((Client_Margin($B24)*Alloted(H$3,H$2,H$5)/Get_Margin(H$3,H$2,H$5,H$1))*Get_Margin(H$3,H$2,H$5,H$1))*$C$3,ROUNDDOWN((Client_Margin($B24)*Alloted(H$3,H$2,H$5)/Get_Margin(H$3,H$2,H$5,H$1)),0),ROUNDUP((Client_Margin($B24)*Alloted(H$3,H$2,H$5)/Get_Margin(H$3,H$2,H$5,H$1)),0)),"-")</f>
        <v>1</v>
      </c>
      <c r="I24" s="14" cm="1">
        <f t="array" ref="I24">IFERROR(IF(ROUNDUP((Client_Margin($B24)*Alloted(I$3,I$2,I$5)/Get_Margin(I$3,I$2,I$5,I$1)),0)*Get_Margin(I$3,I$2,I$5,I$1)&gt;((Client_Margin($B24)*Alloted(I$3,I$2,I$5)/Get_Margin(I$3,I$2,I$5,I$1))*Get_Margin(I$3,I$2,I$5,I$1))*$C$3,ROUNDDOWN((Client_Margin($B24)*Alloted(I$3,I$2,I$5)/Get_Margin(I$3,I$2,I$5,I$1)),0),ROUNDUP((Client_Margin($B24)*Alloted(I$3,I$2,I$5)/Get_Margin(I$3,I$2,I$5,I$1)),0)),"-")</f>
        <v>1</v>
      </c>
      <c r="J24" s="14" cm="1">
        <f t="array" ref="J24">IFERROR(IF(ROUNDUP((Client_Margin($B24)*Alloted(J$3,J$2,J$5)/Get_Margin(J$3,J$2,J$5,J$1)),0)*Get_Margin(J$3,J$2,J$5,J$1)&gt;((Client_Margin($B24)*Alloted(J$3,J$2,J$5)/Get_Margin(J$3,J$2,J$5,J$1))*Get_Margin(J$3,J$2,J$5,J$1))*$C$3,ROUNDDOWN((Client_Margin($B24)*Alloted(J$3,J$2,J$5)/Get_Margin(J$3,J$2,J$5,J$1)),0),ROUNDUP((Client_Margin($B24)*Alloted(J$3,J$2,J$5)/Get_Margin(J$3,J$2,J$5,J$1)),0)),"-")</f>
        <v>0</v>
      </c>
      <c r="K24" s="14" cm="1">
        <f t="array" ref="K24">IFERROR(IF(ROUNDUP((Client_Margin($B24)*Alloted(K$3,K$2,K$5)/Get_Margin(K$3,K$2,K$5,K$1)),0)*Get_Margin(K$3,K$2,K$5,K$1)&gt;((Client_Margin($B24)*Alloted(K$3,K$2,K$5)/Get_Margin(K$3,K$2,K$5,K$1))*Get_Margin(K$3,K$2,K$5,K$1))*$C$3,ROUNDDOWN((Client_Margin($B24)*Alloted(K$3,K$2,K$5)/Get_Margin(K$3,K$2,K$5,K$1)),0),ROUNDUP((Client_Margin($B24)*Alloted(K$3,K$2,K$5)/Get_Margin(K$3,K$2,K$5,K$1)),0)),"-")</f>
        <v>0</v>
      </c>
      <c r="L24" s="14" cm="1">
        <f t="array" ref="L24">IFERROR(IF(ROUNDUP((Client_Margin($B24)*Alloted(L$3,L$2,L$5)/Get_Margin(L$3,L$2,L$5,L$1)),0)*Get_Margin(L$3,L$2,L$5,L$1)&gt;((Client_Margin($B24)*Alloted(L$3,L$2,L$5)/Get_Margin(L$3,L$2,L$5,L$1))*Get_Margin(L$3,L$2,L$5,L$1))*$C$3,ROUNDDOWN((Client_Margin($B24)*Alloted(L$3,L$2,L$5)/Get_Margin(L$3,L$2,L$5,L$1)),0),ROUNDUP((Client_Margin($B24)*Alloted(L$3,L$2,L$5)/Get_Margin(L$3,L$2,L$5,L$1)),0)),"-")</f>
        <v>3</v>
      </c>
      <c r="M24" s="14" cm="1">
        <f t="array" ref="M24">IFERROR(IF(ROUNDUP((Client_Margin($B24)*Alloted(M$3,M$2,M$5)/Get_Margin(M$3,M$2,M$5,M$1)),0)*Get_Margin(M$3,M$2,M$5,M$1)&gt;((Client_Margin($B24)*Alloted(M$3,M$2,M$5)/Get_Margin(M$3,M$2,M$5,M$1))*Get_Margin(M$3,M$2,M$5,M$1))*$C$3,ROUNDDOWN((Client_Margin($B24)*Alloted(M$3,M$2,M$5)/Get_Margin(M$3,M$2,M$5,M$1)),0),ROUNDUP((Client_Margin($B24)*Alloted(M$3,M$2,M$5)/Get_Margin(M$3,M$2,M$5,M$1)),0)),"-")</f>
        <v>4</v>
      </c>
      <c r="N24" s="14" cm="1">
        <f t="array" ref="N24">IFERROR(IF(ROUNDUP((Client_Margin($B24)*Alloted(N$3,N$2,N$5)/Get_Margin(N$3,N$2,N$5,N$1)),0)*Get_Margin(N$3,N$2,N$5,N$1)&gt;((Client_Margin($B24)*Alloted(N$3,N$2,N$5)/Get_Margin(N$3,N$2,N$5,N$1))*Get_Margin(N$3,N$2,N$5,N$1))*$C$3,ROUNDDOWN((Client_Margin($B24)*Alloted(N$3,N$2,N$5)/Get_Margin(N$3,N$2,N$5,N$1)),0),ROUNDUP((Client_Margin($B24)*Alloted(N$3,N$2,N$5)/Get_Margin(N$3,N$2,N$5,N$1)),0)),"-")</f>
        <v>4</v>
      </c>
    </row>
    <row r="25" spans="1:14" hidden="1" x14ac:dyDescent="0.25">
      <c r="A25">
        <f>IF(B25="",0,1)</f>
        <v>0</v>
      </c>
      <c r="B25" s="14"/>
      <c r="C25" s="14"/>
      <c r="D25" s="15">
        <f>SUM(E25:N25)</f>
        <v>0.38874999999999993</v>
      </c>
      <c r="E25" s="15" t="str" cm="1">
        <f t="array" ref="E25">IFERROR((_xlfn._xlws.FILTER(INDEX(Margin[],0,MATCH(E$1&amp;"_"&amp;E$3,Margin[#Headers],0)),(Margin[Index]=E$2)*(Margin[Strategy]=E$5))*E24)/Client_Margin($B24),"-")</f>
        <v>-</v>
      </c>
      <c r="F25" s="15" t="str" cm="1">
        <f t="array" ref="F25">IFERROR((_xlfn._xlws.FILTER(INDEX(Margin[],0,MATCH(F$1&amp;"_"&amp;F$3,Margin[#Headers],0)),(Margin[Index]=F$2)*(Margin[Strategy]=F$5))*F24)/Client_Margin($B24),"-")</f>
        <v>-</v>
      </c>
      <c r="G25" s="15" cm="1">
        <f t="array" ref="G25">IFERROR((_xlfn._xlws.FILTER(INDEX(Margin[],0,MATCH(G$1&amp;"_"&amp;G$3,Margin[#Headers],0)),(Margin[Index]=G$2)*(Margin[Strategy]=G$5))*G24)/Client_Margin($B24),"-")</f>
        <v>8.6999999999999994E-2</v>
      </c>
      <c r="H25" s="15" cm="1">
        <f t="array" ref="H25">IFERROR((_xlfn._xlws.FILTER(INDEX(Margin[],0,MATCH(H$1&amp;"_"&amp;H$3,Margin[#Headers],0)),(Margin[Index]=H$2)*(Margin[Strategy]=H$5))*H24)/Client_Margin($B24),"-")</f>
        <v>7.8E-2</v>
      </c>
      <c r="I25" s="15" cm="1">
        <f t="array" ref="I25">IFERROR((_xlfn._xlws.FILTER(INDEX(Margin[],0,MATCH(I$1&amp;"_"&amp;I$3,Margin[#Headers],0)),(Margin[Index]=I$2)*(Margin[Strategy]=I$5))*I24)/Client_Margin($B24),"-")</f>
        <v>6.6666666666666666E-2</v>
      </c>
      <c r="J25" s="15" cm="1">
        <f t="array" ref="J25">IFERROR((_xlfn._xlws.FILTER(INDEX(Margin[],0,MATCH(J$1&amp;"_"&amp;J$3,Margin[#Headers],0)),(Margin[Index]=J$2)*(Margin[Strategy]=J$5))*J24)/Client_Margin($B24),"-")</f>
        <v>0</v>
      </c>
      <c r="K25" s="15" cm="1">
        <f t="array" ref="K25">IFERROR((_xlfn._xlws.FILTER(INDEX(Margin[],0,MATCH(K$1&amp;"_"&amp;K$3,Margin[#Headers],0)),(Margin[Index]=K$2)*(Margin[Strategy]=K$5))*K24)/Client_Margin($B24),"-")</f>
        <v>0</v>
      </c>
      <c r="L25" s="15" cm="1">
        <f t="array" ref="L25">IFERROR((_xlfn._xlws.FILTER(INDEX(Margin[],0,MATCH(L$1&amp;"_"&amp;L$3,Margin[#Headers],0)),(Margin[Index]=L$2)*(Margin[Strategy]=L$5))*L24)/Client_Margin($B24),"-")</f>
        <v>4.3749999999999997E-2</v>
      </c>
      <c r="M25" s="15" cm="1">
        <f t="array" ref="M25">IFERROR((_xlfn._xlws.FILTER(INDEX(Margin[],0,MATCH(M$1&amp;"_"&amp;M$3,Margin[#Headers],0)),(Margin[Index]=M$2)*(Margin[Strategy]=M$5))*M24)/Client_Margin($B24),"-")</f>
        <v>5.6666666666666664E-2</v>
      </c>
      <c r="N25" s="15" cm="1">
        <f t="array" ref="N25">IFERROR((_xlfn._xlws.FILTER(INDEX(Margin[],0,MATCH(N$1&amp;"_"&amp;N$3,Margin[#Headers],0)),(Margin[Index]=N$2)*(Margin[Strategy]=N$5))*N24)/Client_Margin($B24),"-")</f>
        <v>5.6666666666666664E-2</v>
      </c>
    </row>
    <row r="26" spans="1:14" x14ac:dyDescent="0.25">
      <c r="A26">
        <f t="shared" ref="A26:A27" si="2">IF(B26="",0,1)</f>
        <v>1</v>
      </c>
      <c r="B26" s="14" t="s">
        <v>113</v>
      </c>
      <c r="C26" s="14" cm="1">
        <f t="array" ref="C26">(_xlfn._xlws.FILTER(Fund[Margin],Fund[Client Id]=B26))/10000000</f>
        <v>1.95</v>
      </c>
      <c r="D26" s="17"/>
      <c r="E26" s="14" t="str" cm="1">
        <f t="array" ref="E26">IFERROR(IF(ROUNDUP((Client_Margin($B26)*Alloted(E$3,E$2,E$5)/Get_Margin(E$3,E$2,E$5,E$1)),0)*Get_Margin(E$3,E$2,E$5,E$1)&gt;((Client_Margin($B26)*Alloted(E$3,E$2,E$5)/Get_Margin(E$3,E$2,E$5,E$1))*Get_Margin(E$3,E$2,E$5,E$1))*$C$3,ROUNDDOWN((Client_Margin($B26)*Alloted(E$3,E$2,E$5)/Get_Margin(E$3,E$2,E$5,E$1)),0),ROUNDUP((Client_Margin($B26)*Alloted(E$3,E$2,E$5)/Get_Margin(E$3,E$2,E$5,E$1)),0)),"-")</f>
        <v>-</v>
      </c>
      <c r="F26" s="14" t="str" cm="1">
        <f t="array" ref="F26">IFERROR(IF(ROUNDUP((Client_Margin($B26)*Alloted(F$3,F$2,F$5)/Get_Margin(F$3,F$2,F$5,F$1)),0)*Get_Margin(F$3,F$2,F$5,F$1)&gt;((Client_Margin($B26)*Alloted(F$3,F$2,F$5)/Get_Margin(F$3,F$2,F$5,F$1))*Get_Margin(F$3,F$2,F$5,F$1))*$C$3,ROUNDDOWN((Client_Margin($B26)*Alloted(F$3,F$2,F$5)/Get_Margin(F$3,F$2,F$5,F$1)),0),ROUNDUP((Client_Margin($B26)*Alloted(F$3,F$2,F$5)/Get_Margin(F$3,F$2,F$5,F$1)),0)),"-")</f>
        <v>-</v>
      </c>
      <c r="G26" s="14" cm="1">
        <f t="array" ref="G26">IFERROR(IF(ROUNDUP((Client_Margin($B26)*Alloted(G$3,G$2,G$5)/Get_Margin(G$3,G$2,G$5,G$1)),0)*Get_Margin(G$3,G$2,G$5,G$1)&gt;((Client_Margin($B26)*Alloted(G$3,G$2,G$5)/Get_Margin(G$3,G$2,G$5,G$1))*Get_Margin(G$3,G$2,G$5,G$1))*$C$3,ROUNDDOWN((Client_Margin($B26)*Alloted(G$3,G$2,G$5)/Get_Margin(G$3,G$2,G$5,G$1)),0),ROUNDUP((Client_Margin($B26)*Alloted(G$3,G$2,G$5)/Get_Margin(G$3,G$2,G$5,G$1)),0)),"-")</f>
        <v>3</v>
      </c>
      <c r="H26" s="14" cm="1">
        <f t="array" ref="H26">IFERROR(IF(ROUNDUP((Client_Margin($B26)*Alloted(H$3,H$2,H$5)/Get_Margin(H$3,H$2,H$5,H$1)),0)*Get_Margin(H$3,H$2,H$5,H$1)&gt;((Client_Margin($B26)*Alloted(H$3,H$2,H$5)/Get_Margin(H$3,H$2,H$5,H$1))*Get_Margin(H$3,H$2,H$5,H$1))*$C$3,ROUNDDOWN((Client_Margin($B26)*Alloted(H$3,H$2,H$5)/Get_Margin(H$3,H$2,H$5,H$1)),0),ROUNDUP((Client_Margin($B26)*Alloted(H$3,H$2,H$5)/Get_Margin(H$3,H$2,H$5,H$1)),0)),"-")</f>
        <v>1</v>
      </c>
      <c r="I26" s="14" cm="1">
        <f t="array" ref="I26">IFERROR(IF(ROUNDUP((Client_Margin($B26)*Alloted(I$3,I$2,I$5)/Get_Margin(I$3,I$2,I$5,I$1)),0)*Get_Margin(I$3,I$2,I$5,I$1)&gt;((Client_Margin($B26)*Alloted(I$3,I$2,I$5)/Get_Margin(I$3,I$2,I$5,I$1))*Get_Margin(I$3,I$2,I$5,I$1))*$C$3,ROUNDDOWN((Client_Margin($B26)*Alloted(I$3,I$2,I$5)/Get_Margin(I$3,I$2,I$5,I$1)),0),ROUNDUP((Client_Margin($B26)*Alloted(I$3,I$2,I$5)/Get_Margin(I$3,I$2,I$5,I$1)),0)),"-")</f>
        <v>1</v>
      </c>
      <c r="J26" s="14" cm="1">
        <f t="array" ref="J26">IFERROR(IF(ROUNDUP((Client_Margin($B26)*Alloted(J$3,J$2,J$5)/Get_Margin(J$3,J$2,J$5,J$1)),0)*Get_Margin(J$3,J$2,J$5,J$1)&gt;((Client_Margin($B26)*Alloted(J$3,J$2,J$5)/Get_Margin(J$3,J$2,J$5,J$1))*Get_Margin(J$3,J$2,J$5,J$1))*$C$3,ROUNDDOWN((Client_Margin($B26)*Alloted(J$3,J$2,J$5)/Get_Margin(J$3,J$2,J$5,J$1)),0),ROUNDUP((Client_Margin($B26)*Alloted(J$3,J$2,J$5)/Get_Margin(J$3,J$2,J$5,J$1)),0)),"-")</f>
        <v>0</v>
      </c>
      <c r="K26" s="14" cm="1">
        <f t="array" ref="K26">IFERROR(IF(ROUNDUP((Client_Margin($B26)*Alloted(K$3,K$2,K$5)/Get_Margin(K$3,K$2,K$5,K$1)),0)*Get_Margin(K$3,K$2,K$5,K$1)&gt;((Client_Margin($B26)*Alloted(K$3,K$2,K$5)/Get_Margin(K$3,K$2,K$5,K$1))*Get_Margin(K$3,K$2,K$5,K$1))*$C$3,ROUNDDOWN((Client_Margin($B26)*Alloted(K$3,K$2,K$5)/Get_Margin(K$3,K$2,K$5,K$1)),0),ROUNDUP((Client_Margin($B26)*Alloted(K$3,K$2,K$5)/Get_Margin(K$3,K$2,K$5,K$1)),0)),"-")</f>
        <v>0</v>
      </c>
      <c r="L26" s="43">
        <v>0</v>
      </c>
      <c r="M26" s="14" cm="1">
        <f t="array" ref="M26">IFERROR(IF(ROUNDUP((Client_Margin($B26)*Alloted(M$3,M$2,M$5)/Get_Margin(M$3,M$2,M$5,M$1)),0)*Get_Margin(M$3,M$2,M$5,M$1)&gt;((Client_Margin($B26)*Alloted(M$3,M$2,M$5)/Get_Margin(M$3,M$2,M$5,M$1))*Get_Margin(M$3,M$2,M$5,M$1))*$C$3,ROUNDDOWN((Client_Margin($B26)*Alloted(M$3,M$2,M$5)/Get_Margin(M$3,M$2,M$5,M$1)),0),ROUNDUP((Client_Margin($B26)*Alloted(M$3,M$2,M$5)/Get_Margin(M$3,M$2,M$5,M$1)),0)),"-")</f>
        <v>3</v>
      </c>
      <c r="N26" s="14" cm="1">
        <f t="array" ref="N26">IFERROR(IF(ROUNDUP((Client_Margin($B26)*Alloted(N$3,N$2,N$5)/Get_Margin(N$3,N$2,N$5,N$1)),0)*Get_Margin(N$3,N$2,N$5,N$1)&gt;((Client_Margin($B26)*Alloted(N$3,N$2,N$5)/Get_Margin(N$3,N$2,N$5,N$1))*Get_Margin(N$3,N$2,N$5,N$1))*$C$3,ROUNDDOWN((Client_Margin($B26)*Alloted(N$3,N$2,N$5)/Get_Margin(N$3,N$2,N$5,N$1)),0),ROUNDUP((Client_Margin($B26)*Alloted(N$3,N$2,N$5)/Get_Margin(N$3,N$2,N$5,N$1)),0)),"-")</f>
        <v>3</v>
      </c>
    </row>
    <row r="27" spans="1:14" hidden="1" x14ac:dyDescent="0.25">
      <c r="A27">
        <f t="shared" si="2"/>
        <v>0</v>
      </c>
      <c r="B27" s="14"/>
      <c r="C27" s="14"/>
      <c r="D27" s="15">
        <f>SUM(E27:N27)</f>
        <v>0.38974358974358969</v>
      </c>
      <c r="E27" s="15" t="str" cm="1">
        <f t="array" ref="E27">IFERROR((_xlfn._xlws.FILTER(INDEX(Margin[],0,MATCH(E$1&amp;"_"&amp;E$3,Margin[#Headers],0)),(Margin[Index]=E$2)*(Margin[Strategy]=E$5))*E26)/Client_Margin($B26),"-")</f>
        <v>-</v>
      </c>
      <c r="F27" s="15" t="str" cm="1">
        <f t="array" ref="F27">IFERROR((_xlfn._xlws.FILTER(INDEX(Margin[],0,MATCH(F$1&amp;"_"&amp;F$3,Margin[#Headers],0)),(Margin[Index]=F$2)*(Margin[Strategy]=F$5))*F26)/Client_Margin($B26),"-")</f>
        <v>-</v>
      </c>
      <c r="G27" s="15" cm="1">
        <f t="array" ref="G27">IFERROR((_xlfn._xlws.FILTER(INDEX(Margin[],0,MATCH(G$1&amp;"_"&amp;G$3,Margin[#Headers],0)),(Margin[Index]=G$2)*(Margin[Strategy]=G$5))*G26)/Client_Margin($B26),"-")</f>
        <v>0.10707692307692308</v>
      </c>
      <c r="H27" s="15" cm="1">
        <f t="array" ref="H27">IFERROR((_xlfn._xlws.FILTER(INDEX(Margin[],0,MATCH(H$1&amp;"_"&amp;H$3,Margin[#Headers],0)),(Margin[Index]=H$2)*(Margin[Strategy]=H$5))*H26)/Client_Margin($B26),"-")</f>
        <v>9.6000000000000002E-2</v>
      </c>
      <c r="I27" s="15" cm="1">
        <f t="array" ref="I27">IFERROR((_xlfn._xlws.FILTER(INDEX(Margin[],0,MATCH(I$1&amp;"_"&amp;I$3,Margin[#Headers],0)),(Margin[Index]=I$2)*(Margin[Strategy]=I$5))*I26)/Client_Margin($B26),"-")</f>
        <v>8.2051282051282051E-2</v>
      </c>
      <c r="J27" s="15" cm="1">
        <f t="array" ref="J27">IFERROR((_xlfn._xlws.FILTER(INDEX(Margin[],0,MATCH(J$1&amp;"_"&amp;J$3,Margin[#Headers],0)),(Margin[Index]=J$2)*(Margin[Strategy]=J$5))*J26)/Client_Margin($B26),"-")</f>
        <v>0</v>
      </c>
      <c r="K27" s="15" cm="1">
        <f t="array" ref="K27">IFERROR((_xlfn._xlws.FILTER(INDEX(Margin[],0,MATCH(K$1&amp;"_"&amp;K$3,Margin[#Headers],0)),(Margin[Index]=K$2)*(Margin[Strategy]=K$5))*K26)/Client_Margin($B26),"-")</f>
        <v>0</v>
      </c>
      <c r="L27" s="15" cm="1">
        <f t="array" ref="L27">IFERROR((_xlfn._xlws.FILTER(INDEX(Margin[],0,MATCH(L$1&amp;"_"&amp;L$3,Margin[#Headers],0)),(Margin[Index]=L$2)*(Margin[Strategy]=L$5))*L26)/Client_Margin($B26),"-")</f>
        <v>0</v>
      </c>
      <c r="M27" s="15" cm="1">
        <f t="array" ref="M27">IFERROR((_xlfn._xlws.FILTER(INDEX(Margin[],0,MATCH(M$1&amp;"_"&amp;M$3,Margin[#Headers],0)),(Margin[Index]=M$2)*(Margin[Strategy]=M$5))*M26)/Client_Margin($B26),"-")</f>
        <v>5.2307692307692305E-2</v>
      </c>
      <c r="N27" s="15" cm="1">
        <f t="array" ref="N27">IFERROR((_xlfn._xlws.FILTER(INDEX(Margin[],0,MATCH(N$1&amp;"_"&amp;N$3,Margin[#Headers],0)),(Margin[Index]=N$2)*(Margin[Strategy]=N$5))*N26)/Client_Margin($B26),"-")</f>
        <v>5.2307692307692305E-2</v>
      </c>
    </row>
    <row r="28" spans="1:14" x14ac:dyDescent="0.25">
      <c r="A28">
        <f>IF(B28="",0,1)</f>
        <v>1</v>
      </c>
      <c r="B28" s="14" t="s">
        <v>36</v>
      </c>
      <c r="C28" s="14" cm="1">
        <f t="array" ref="C28">(_xlfn._xlws.FILTER(Fund[Margin],Fund[Client Id]=B28))/10000000</f>
        <v>1.8</v>
      </c>
      <c r="D28" s="17"/>
      <c r="E28" s="14" t="str" cm="1">
        <f t="array" ref="E28">IFERROR(IF(ROUNDUP((Client_Margin($B28)*Alloted(E$3,E$2,E$5)/Get_Margin(E$3,E$2,E$5,E$1)),0)*Get_Margin(E$3,E$2,E$5,E$1)&gt;((Client_Margin($B28)*Alloted(E$3,E$2,E$5)/Get_Margin(E$3,E$2,E$5,E$1))*Get_Margin(E$3,E$2,E$5,E$1))*$C$3,ROUNDDOWN((Client_Margin($B28)*Alloted(E$3,E$2,E$5)/Get_Margin(E$3,E$2,E$5,E$1)),0),ROUNDUP((Client_Margin($B28)*Alloted(E$3,E$2,E$5)/Get_Margin(E$3,E$2,E$5,E$1)),0)),"-")</f>
        <v>-</v>
      </c>
      <c r="F28" s="14" t="str" cm="1">
        <f t="array" ref="F28">IFERROR(IF(ROUNDUP((Client_Margin($B28)*Alloted(F$3,F$2,F$5)/Get_Margin(F$3,F$2,F$5,F$1)),0)*Get_Margin(F$3,F$2,F$5,F$1)&gt;((Client_Margin($B28)*Alloted(F$3,F$2,F$5)/Get_Margin(F$3,F$2,F$5,F$1))*Get_Margin(F$3,F$2,F$5,F$1))*$C$3,ROUNDDOWN((Client_Margin($B28)*Alloted(F$3,F$2,F$5)/Get_Margin(F$3,F$2,F$5,F$1)),0),ROUNDUP((Client_Margin($B28)*Alloted(F$3,F$2,F$5)/Get_Margin(F$3,F$2,F$5,F$1)),0)),"-")</f>
        <v>-</v>
      </c>
      <c r="G28" s="14" cm="1">
        <f t="array" ref="G28">IFERROR(IF(ROUNDUP((Client_Margin($B28)*Alloted(G$3,G$2,G$5)/Get_Margin(G$3,G$2,G$5,G$1)),0)*Get_Margin(G$3,G$2,G$5,G$1)&gt;((Client_Margin($B28)*Alloted(G$3,G$2,G$5)/Get_Margin(G$3,G$2,G$5,G$1))*Get_Margin(G$3,G$2,G$5,G$1))*$C$3,ROUNDDOWN((Client_Margin($B28)*Alloted(G$3,G$2,G$5)/Get_Margin(G$3,G$2,G$5,G$1)),0),ROUNDUP((Client_Margin($B28)*Alloted(G$3,G$2,G$5)/Get_Margin(G$3,G$2,G$5,G$1)),0)),"-")</f>
        <v>2</v>
      </c>
      <c r="H28" s="14" cm="1">
        <f t="array" ref="H28">IFERROR(IF(ROUNDUP((Client_Margin($B28)*Alloted(H$3,H$2,H$5)/Get_Margin(H$3,H$2,H$5,H$1)),0)*Get_Margin(H$3,H$2,H$5,H$1)&gt;((Client_Margin($B28)*Alloted(H$3,H$2,H$5)/Get_Margin(H$3,H$2,H$5,H$1))*Get_Margin(H$3,H$2,H$5,H$1))*$C$3,ROUNDDOWN((Client_Margin($B28)*Alloted(H$3,H$2,H$5)/Get_Margin(H$3,H$2,H$5,H$1)),0),ROUNDUP((Client_Margin($B28)*Alloted(H$3,H$2,H$5)/Get_Margin(H$3,H$2,H$5,H$1)),0)),"-")</f>
        <v>1</v>
      </c>
      <c r="I28" s="14" cm="1">
        <f t="array" ref="I28">IFERROR(IF(ROUNDUP((Client_Margin($B28)*Alloted(I$3,I$2,I$5)/Get_Margin(I$3,I$2,I$5,I$1)),0)*Get_Margin(I$3,I$2,I$5,I$1)&gt;((Client_Margin($B28)*Alloted(I$3,I$2,I$5)/Get_Margin(I$3,I$2,I$5,I$1))*Get_Margin(I$3,I$2,I$5,I$1))*$C$3,ROUNDDOWN((Client_Margin($B28)*Alloted(I$3,I$2,I$5)/Get_Margin(I$3,I$2,I$5,I$1)),0),ROUNDUP((Client_Margin($B28)*Alloted(I$3,I$2,I$5)/Get_Margin(I$3,I$2,I$5,I$1)),0)),"-")</f>
        <v>1</v>
      </c>
      <c r="J28" s="14" cm="1">
        <f t="array" ref="J28">IFERROR(IF(ROUNDUP((Client_Margin($B28)*Alloted(J$3,J$2,J$5)/Get_Margin(J$3,J$2,J$5,J$1)),0)*Get_Margin(J$3,J$2,J$5,J$1)&gt;((Client_Margin($B28)*Alloted(J$3,J$2,J$5)/Get_Margin(J$3,J$2,J$5,J$1))*Get_Margin(J$3,J$2,J$5,J$1))*$C$3,ROUNDDOWN((Client_Margin($B28)*Alloted(J$3,J$2,J$5)/Get_Margin(J$3,J$2,J$5,J$1)),0),ROUNDUP((Client_Margin($B28)*Alloted(J$3,J$2,J$5)/Get_Margin(J$3,J$2,J$5,J$1)),0)),"-")</f>
        <v>0</v>
      </c>
      <c r="K28" s="14" cm="1">
        <f t="array" ref="K28">IFERROR(IF(ROUNDUP((Client_Margin($B28)*Alloted(K$3,K$2,K$5)/Get_Margin(K$3,K$2,K$5,K$1)),0)*Get_Margin(K$3,K$2,K$5,K$1)&gt;((Client_Margin($B28)*Alloted(K$3,K$2,K$5)/Get_Margin(K$3,K$2,K$5,K$1))*Get_Margin(K$3,K$2,K$5,K$1))*$C$3,ROUNDDOWN((Client_Margin($B28)*Alloted(K$3,K$2,K$5)/Get_Margin(K$3,K$2,K$5,K$1)),0),ROUNDUP((Client_Margin($B28)*Alloted(K$3,K$2,K$5)/Get_Margin(K$3,K$2,K$5,K$1)),0)),"-")</f>
        <v>0</v>
      </c>
      <c r="L28" s="43">
        <v>0</v>
      </c>
      <c r="M28" s="14" cm="1">
        <f t="array" ref="M28">IFERROR(IF(ROUNDUP((Client_Margin($B28)*Alloted(M$3,M$2,M$5)/Get_Margin(M$3,M$2,M$5,M$1)),0)*Get_Margin(M$3,M$2,M$5,M$1)&gt;((Client_Margin($B28)*Alloted(M$3,M$2,M$5)/Get_Margin(M$3,M$2,M$5,M$1))*Get_Margin(M$3,M$2,M$5,M$1))*$C$3,ROUNDDOWN((Client_Margin($B28)*Alloted(M$3,M$2,M$5)/Get_Margin(M$3,M$2,M$5,M$1)),0),ROUNDUP((Client_Margin($B28)*Alloted(M$3,M$2,M$5)/Get_Margin(M$3,M$2,M$5,M$1)),0)),"-")</f>
        <v>3</v>
      </c>
      <c r="N28" s="14" cm="1">
        <f t="array" ref="N28">IFERROR(IF(ROUNDUP((Client_Margin($B28)*Alloted(N$3,N$2,N$5)/Get_Margin(N$3,N$2,N$5,N$1)),0)*Get_Margin(N$3,N$2,N$5,N$1)&gt;((Client_Margin($B28)*Alloted(N$3,N$2,N$5)/Get_Margin(N$3,N$2,N$5,N$1))*Get_Margin(N$3,N$2,N$5,N$1))*$C$3,ROUNDDOWN((Client_Margin($B28)*Alloted(N$3,N$2,N$5)/Get_Margin(N$3,N$2,N$5,N$1)),0),ROUNDUP((Client_Margin($B28)*Alloted(N$3,N$2,N$5)/Get_Margin(N$3,N$2,N$5,N$1)),0)),"-")</f>
        <v>3</v>
      </c>
    </row>
    <row r="29" spans="1:14" hidden="1" x14ac:dyDescent="0.25">
      <c r="A29">
        <f>IF(B29="",0,1)</f>
        <v>0</v>
      </c>
      <c r="B29" s="14"/>
      <c r="C29" s="14"/>
      <c r="D29" s="15">
        <f>SUM(E29:N29)</f>
        <v>0.38355555555555554</v>
      </c>
      <c r="E29" s="15" t="str" cm="1">
        <f t="array" ref="E29">IFERROR((_xlfn._xlws.FILTER(INDEX(Margin[],0,MATCH(E$1&amp;"_"&amp;E$3,Margin[#Headers],0)),(Margin[Index]=E$2)*(Margin[Strategy]=E$5))*E28)/Client_Margin($B28),"-")</f>
        <v>-</v>
      </c>
      <c r="F29" s="15" t="str" cm="1">
        <f t="array" ref="F29">IFERROR((_xlfn._xlws.FILTER(INDEX(Margin[],0,MATCH(F$1&amp;"_"&amp;F$3,Margin[#Headers],0)),(Margin[Index]=F$2)*(Margin[Strategy]=F$5))*F28)/Client_Margin($B28),"-")</f>
        <v>-</v>
      </c>
      <c r="G29" s="15" cm="1">
        <f t="array" ref="G29">IFERROR((_xlfn._xlws.FILTER(INDEX(Margin[],0,MATCH(G$1&amp;"_"&amp;G$3,Margin[#Headers],0)),(Margin[Index]=G$2)*(Margin[Strategy]=G$5))*G28)/Client_Margin($B28),"-")</f>
        <v>7.7333333333333337E-2</v>
      </c>
      <c r="H29" s="15" cm="1">
        <f t="array" ref="H29">IFERROR((_xlfn._xlws.FILTER(INDEX(Margin[],0,MATCH(H$1&amp;"_"&amp;H$3,Margin[#Headers],0)),(Margin[Index]=H$2)*(Margin[Strategy]=H$5))*H28)/Client_Margin($B28),"-")</f>
        <v>0.104</v>
      </c>
      <c r="I29" s="15" cm="1">
        <f t="array" ref="I29">IFERROR((_xlfn._xlws.FILTER(INDEX(Margin[],0,MATCH(I$1&amp;"_"&amp;I$3,Margin[#Headers],0)),(Margin[Index]=I$2)*(Margin[Strategy]=I$5))*I28)/Client_Margin($B28),"-")</f>
        <v>8.8888888888888892E-2</v>
      </c>
      <c r="J29" s="15" cm="1">
        <f t="array" ref="J29">IFERROR((_xlfn._xlws.FILTER(INDEX(Margin[],0,MATCH(J$1&amp;"_"&amp;J$3,Margin[#Headers],0)),(Margin[Index]=J$2)*(Margin[Strategy]=J$5))*J28)/Client_Margin($B28),"-")</f>
        <v>0</v>
      </c>
      <c r="K29" s="15" cm="1">
        <f t="array" ref="K29">IFERROR((_xlfn._xlws.FILTER(INDEX(Margin[],0,MATCH(K$1&amp;"_"&amp;K$3,Margin[#Headers],0)),(Margin[Index]=K$2)*(Margin[Strategy]=K$5))*K28)/Client_Margin($B28),"-")</f>
        <v>0</v>
      </c>
      <c r="L29" s="15" cm="1">
        <f t="array" ref="L29">IFERROR((_xlfn._xlws.FILTER(INDEX(Margin[],0,MATCH(L$1&amp;"_"&amp;L$3,Margin[#Headers],0)),(Margin[Index]=L$2)*(Margin[Strategy]=L$5))*L28)/Client_Margin($B28),"-")</f>
        <v>0</v>
      </c>
      <c r="M29" s="15" cm="1">
        <f t="array" ref="M29">IFERROR((_xlfn._xlws.FILTER(INDEX(Margin[],0,MATCH(M$1&amp;"_"&amp;M$3,Margin[#Headers],0)),(Margin[Index]=M$2)*(Margin[Strategy]=M$5))*M28)/Client_Margin($B28),"-")</f>
        <v>5.6666666666666664E-2</v>
      </c>
      <c r="N29" s="15" cm="1">
        <f t="array" ref="N29">IFERROR((_xlfn._xlws.FILTER(INDEX(Margin[],0,MATCH(N$1&amp;"_"&amp;N$3,Margin[#Headers],0)),(Margin[Index]=N$2)*(Margin[Strategy]=N$5))*N28)/Client_Margin($B28),"-")</f>
        <v>5.6666666666666664E-2</v>
      </c>
    </row>
    <row r="30" spans="1:14" x14ac:dyDescent="0.25">
      <c r="A30">
        <f t="shared" ref="A30:A37" si="3">IF(B30="",0,1)</f>
        <v>1</v>
      </c>
      <c r="B30" s="14" t="s">
        <v>32</v>
      </c>
      <c r="C30" s="14" cm="1">
        <f t="array" ref="C30">(_xlfn._xlws.FILTER(Fund[Margin],Fund[Client Id]=B30))/10000000</f>
        <v>1.8</v>
      </c>
      <c r="D30" s="17"/>
      <c r="E30" s="14" t="str" cm="1">
        <f t="array" ref="E30">IFERROR(IF(ROUNDUP((Client_Margin($B30)*Alloted(E$3,E$2,E$5)/Get_Margin(E$3,E$2,E$5,E$1)),0)*Get_Margin(E$3,E$2,E$5,E$1)&gt;((Client_Margin($B30)*Alloted(E$3,E$2,E$5)/Get_Margin(E$3,E$2,E$5,E$1))*Get_Margin(E$3,E$2,E$5,E$1))*$C$3,ROUNDDOWN((Client_Margin($B30)*Alloted(E$3,E$2,E$5)/Get_Margin(E$3,E$2,E$5,E$1)),0),ROUNDUP((Client_Margin($B30)*Alloted(E$3,E$2,E$5)/Get_Margin(E$3,E$2,E$5,E$1)),0)),"-")</f>
        <v>-</v>
      </c>
      <c r="F30" s="14" t="str" cm="1">
        <f t="array" ref="F30">IFERROR(IF(ROUNDUP((Client_Margin($B30)*Alloted(F$3,F$2,F$5)/Get_Margin(F$3,F$2,F$5,F$1)),0)*Get_Margin(F$3,F$2,F$5,F$1)&gt;((Client_Margin($B30)*Alloted(F$3,F$2,F$5)/Get_Margin(F$3,F$2,F$5,F$1))*Get_Margin(F$3,F$2,F$5,F$1))*$C$3,ROUNDDOWN((Client_Margin($B30)*Alloted(F$3,F$2,F$5)/Get_Margin(F$3,F$2,F$5,F$1)),0),ROUNDUP((Client_Margin($B30)*Alloted(F$3,F$2,F$5)/Get_Margin(F$3,F$2,F$5,F$1)),0)),"-")</f>
        <v>-</v>
      </c>
      <c r="G30" s="14" cm="1">
        <f t="array" ref="G30">IFERROR(IF(ROUNDUP((Client_Margin($B30)*Alloted(G$3,G$2,G$5)/Get_Margin(G$3,G$2,G$5,G$1)),0)*Get_Margin(G$3,G$2,G$5,G$1)&gt;((Client_Margin($B30)*Alloted(G$3,G$2,G$5)/Get_Margin(G$3,G$2,G$5,G$1))*Get_Margin(G$3,G$2,G$5,G$1))*$C$3,ROUNDDOWN((Client_Margin($B30)*Alloted(G$3,G$2,G$5)/Get_Margin(G$3,G$2,G$5,G$1)),0),ROUNDUP((Client_Margin($B30)*Alloted(G$3,G$2,G$5)/Get_Margin(G$3,G$2,G$5,G$1)),0)),"-")</f>
        <v>2</v>
      </c>
      <c r="H30" s="14" cm="1">
        <f t="array" ref="H30">IFERROR(IF(ROUNDUP((Client_Margin($B30)*Alloted(H$3,H$2,H$5)/Get_Margin(H$3,H$2,H$5,H$1)),0)*Get_Margin(H$3,H$2,H$5,H$1)&gt;((Client_Margin($B30)*Alloted(H$3,H$2,H$5)/Get_Margin(H$3,H$2,H$5,H$1))*Get_Margin(H$3,H$2,H$5,H$1))*$C$3,ROUNDDOWN((Client_Margin($B30)*Alloted(H$3,H$2,H$5)/Get_Margin(H$3,H$2,H$5,H$1)),0),ROUNDUP((Client_Margin($B30)*Alloted(H$3,H$2,H$5)/Get_Margin(H$3,H$2,H$5,H$1)),0)),"-")</f>
        <v>1</v>
      </c>
      <c r="I30" s="14" cm="1">
        <f t="array" ref="I30">IFERROR(IF(ROUNDUP((Client_Margin($B30)*Alloted(I$3,I$2,I$5)/Get_Margin(I$3,I$2,I$5,I$1)),0)*Get_Margin(I$3,I$2,I$5,I$1)&gt;((Client_Margin($B30)*Alloted(I$3,I$2,I$5)/Get_Margin(I$3,I$2,I$5,I$1))*Get_Margin(I$3,I$2,I$5,I$1))*$C$3,ROUNDDOWN((Client_Margin($B30)*Alloted(I$3,I$2,I$5)/Get_Margin(I$3,I$2,I$5,I$1)),0),ROUNDUP((Client_Margin($B30)*Alloted(I$3,I$2,I$5)/Get_Margin(I$3,I$2,I$5,I$1)),0)),"-")</f>
        <v>1</v>
      </c>
      <c r="J30" s="14" cm="1">
        <f t="array" ref="J30">IFERROR(IF(ROUNDUP((Client_Margin($B30)*Alloted(J$3,J$2,J$5)/Get_Margin(J$3,J$2,J$5,J$1)),0)*Get_Margin(J$3,J$2,J$5,J$1)&gt;((Client_Margin($B30)*Alloted(J$3,J$2,J$5)/Get_Margin(J$3,J$2,J$5,J$1))*Get_Margin(J$3,J$2,J$5,J$1))*$C$3,ROUNDDOWN((Client_Margin($B30)*Alloted(J$3,J$2,J$5)/Get_Margin(J$3,J$2,J$5,J$1)),0),ROUNDUP((Client_Margin($B30)*Alloted(J$3,J$2,J$5)/Get_Margin(J$3,J$2,J$5,J$1)),0)),"-")</f>
        <v>0</v>
      </c>
      <c r="K30" s="14" cm="1">
        <f t="array" ref="K30">IFERROR(IF(ROUNDUP((Client_Margin($B30)*Alloted(K$3,K$2,K$5)/Get_Margin(K$3,K$2,K$5,K$1)),0)*Get_Margin(K$3,K$2,K$5,K$1)&gt;((Client_Margin($B30)*Alloted(K$3,K$2,K$5)/Get_Margin(K$3,K$2,K$5,K$1))*Get_Margin(K$3,K$2,K$5,K$1))*$C$3,ROUNDDOWN((Client_Margin($B30)*Alloted(K$3,K$2,K$5)/Get_Margin(K$3,K$2,K$5,K$1)),0),ROUNDUP((Client_Margin($B30)*Alloted(K$3,K$2,K$5)/Get_Margin(K$3,K$2,K$5,K$1)),0)),"-")</f>
        <v>0</v>
      </c>
      <c r="L30" s="43">
        <v>0</v>
      </c>
      <c r="M30" s="14" cm="1">
        <f t="array" ref="M30">IFERROR(IF(ROUNDUP((Client_Margin($B30)*Alloted(M$3,M$2,M$5)/Get_Margin(M$3,M$2,M$5,M$1)),0)*Get_Margin(M$3,M$2,M$5,M$1)&gt;((Client_Margin($B30)*Alloted(M$3,M$2,M$5)/Get_Margin(M$3,M$2,M$5,M$1))*Get_Margin(M$3,M$2,M$5,M$1))*$C$3,ROUNDDOWN((Client_Margin($B30)*Alloted(M$3,M$2,M$5)/Get_Margin(M$3,M$2,M$5,M$1)),0),ROUNDUP((Client_Margin($B30)*Alloted(M$3,M$2,M$5)/Get_Margin(M$3,M$2,M$5,M$1)),0)),"-")</f>
        <v>3</v>
      </c>
      <c r="N30" s="14" cm="1">
        <f t="array" ref="N30">IFERROR(IF(ROUNDUP((Client_Margin($B30)*Alloted(N$3,N$2,N$5)/Get_Margin(N$3,N$2,N$5,N$1)),0)*Get_Margin(N$3,N$2,N$5,N$1)&gt;((Client_Margin($B30)*Alloted(N$3,N$2,N$5)/Get_Margin(N$3,N$2,N$5,N$1))*Get_Margin(N$3,N$2,N$5,N$1))*$C$3,ROUNDDOWN((Client_Margin($B30)*Alloted(N$3,N$2,N$5)/Get_Margin(N$3,N$2,N$5,N$1)),0),ROUNDUP((Client_Margin($B30)*Alloted(N$3,N$2,N$5)/Get_Margin(N$3,N$2,N$5,N$1)),0)),"-")</f>
        <v>3</v>
      </c>
    </row>
    <row r="31" spans="1:14" hidden="1" x14ac:dyDescent="0.25">
      <c r="A31">
        <f t="shared" si="3"/>
        <v>0</v>
      </c>
      <c r="B31" s="14"/>
      <c r="C31" s="14"/>
      <c r="D31" s="15">
        <f>SUM(E31:N31)</f>
        <v>0.38355555555555554</v>
      </c>
      <c r="E31" s="15" t="str" cm="1">
        <f t="array" ref="E31">IFERROR((_xlfn._xlws.FILTER(INDEX(Margin[],0,MATCH(E$1&amp;"_"&amp;E$3,Margin[#Headers],0)),(Margin[Index]=E$2)*(Margin[Strategy]=E$5))*E30)/Client_Margin($B30),"-")</f>
        <v>-</v>
      </c>
      <c r="F31" s="15" t="str" cm="1">
        <f t="array" ref="F31">IFERROR((_xlfn._xlws.FILTER(INDEX(Margin[],0,MATCH(F$1&amp;"_"&amp;F$3,Margin[#Headers],0)),(Margin[Index]=F$2)*(Margin[Strategy]=F$5))*F30)/Client_Margin($B30),"-")</f>
        <v>-</v>
      </c>
      <c r="G31" s="15" cm="1">
        <f t="array" ref="G31">IFERROR((_xlfn._xlws.FILTER(INDEX(Margin[],0,MATCH(G$1&amp;"_"&amp;G$3,Margin[#Headers],0)),(Margin[Index]=G$2)*(Margin[Strategy]=G$5))*G30)/Client_Margin($B30),"-")</f>
        <v>7.7333333333333337E-2</v>
      </c>
      <c r="H31" s="15" cm="1">
        <f t="array" ref="H31">IFERROR((_xlfn._xlws.FILTER(INDEX(Margin[],0,MATCH(H$1&amp;"_"&amp;H$3,Margin[#Headers],0)),(Margin[Index]=H$2)*(Margin[Strategy]=H$5))*H30)/Client_Margin($B30),"-")</f>
        <v>0.104</v>
      </c>
      <c r="I31" s="15" cm="1">
        <f t="array" ref="I31">IFERROR((_xlfn._xlws.FILTER(INDEX(Margin[],0,MATCH(I$1&amp;"_"&amp;I$3,Margin[#Headers],0)),(Margin[Index]=I$2)*(Margin[Strategy]=I$5))*I30)/Client_Margin($B30),"-")</f>
        <v>8.8888888888888892E-2</v>
      </c>
      <c r="J31" s="15" cm="1">
        <f t="array" ref="J31">IFERROR((_xlfn._xlws.FILTER(INDEX(Margin[],0,MATCH(J$1&amp;"_"&amp;J$3,Margin[#Headers],0)),(Margin[Index]=J$2)*(Margin[Strategy]=J$5))*J30)/Client_Margin($B30),"-")</f>
        <v>0</v>
      </c>
      <c r="K31" s="15" cm="1">
        <f t="array" ref="K31">IFERROR((_xlfn._xlws.FILTER(INDEX(Margin[],0,MATCH(K$1&amp;"_"&amp;K$3,Margin[#Headers],0)),(Margin[Index]=K$2)*(Margin[Strategy]=K$5))*K30)/Client_Margin($B30),"-")</f>
        <v>0</v>
      </c>
      <c r="L31" s="15" cm="1">
        <f t="array" ref="L31">IFERROR((_xlfn._xlws.FILTER(INDEX(Margin[],0,MATCH(L$1&amp;"_"&amp;L$3,Margin[#Headers],0)),(Margin[Index]=L$2)*(Margin[Strategy]=L$5))*L30)/Client_Margin($B30),"-")</f>
        <v>0</v>
      </c>
      <c r="M31" s="15" cm="1">
        <f t="array" ref="M31">IFERROR((_xlfn._xlws.FILTER(INDEX(Margin[],0,MATCH(M$1&amp;"_"&amp;M$3,Margin[#Headers],0)),(Margin[Index]=M$2)*(Margin[Strategy]=M$5))*M30)/Client_Margin($B30),"-")</f>
        <v>5.6666666666666664E-2</v>
      </c>
      <c r="N31" s="15" cm="1">
        <f t="array" ref="N31">IFERROR((_xlfn._xlws.FILTER(INDEX(Margin[],0,MATCH(N$1&amp;"_"&amp;N$3,Margin[#Headers],0)),(Margin[Index]=N$2)*(Margin[Strategy]=N$5))*N30)/Client_Margin($B30),"-")</f>
        <v>5.6666666666666664E-2</v>
      </c>
    </row>
    <row r="32" spans="1:14" x14ac:dyDescent="0.25">
      <c r="A32">
        <f t="shared" si="3"/>
        <v>1</v>
      </c>
      <c r="B32" s="14" t="s">
        <v>112</v>
      </c>
      <c r="C32" s="14" cm="1">
        <f t="array" ref="C32">(_xlfn._xlws.FILTER(Fund[Margin],Fund[Client Id]=B32))/10000000</f>
        <v>1.6</v>
      </c>
      <c r="D32" s="17"/>
      <c r="E32" s="14" t="str" cm="1">
        <f t="array" ref="E32">IFERROR(IF(ROUNDUP((Client_Margin($B32)*Alloted(E$3,E$2,E$5)/Get_Margin(E$3,E$2,E$5,E$1)),0)*Get_Margin(E$3,E$2,E$5,E$1)&gt;((Client_Margin($B32)*Alloted(E$3,E$2,E$5)/Get_Margin(E$3,E$2,E$5,E$1))*Get_Margin(E$3,E$2,E$5,E$1))*$C$3,ROUNDDOWN((Client_Margin($B32)*Alloted(E$3,E$2,E$5)/Get_Margin(E$3,E$2,E$5,E$1)),0),ROUNDUP((Client_Margin($B32)*Alloted(E$3,E$2,E$5)/Get_Margin(E$3,E$2,E$5,E$1)),0)),"-")</f>
        <v>-</v>
      </c>
      <c r="F32" s="14" t="str" cm="1">
        <f t="array" ref="F32">IFERROR(IF(ROUNDUP((Client_Margin($B32)*Alloted(F$3,F$2,F$5)/Get_Margin(F$3,F$2,F$5,F$1)),0)*Get_Margin(F$3,F$2,F$5,F$1)&gt;((Client_Margin($B32)*Alloted(F$3,F$2,F$5)/Get_Margin(F$3,F$2,F$5,F$1))*Get_Margin(F$3,F$2,F$5,F$1))*$C$3,ROUNDDOWN((Client_Margin($B32)*Alloted(F$3,F$2,F$5)/Get_Margin(F$3,F$2,F$5,F$1)),0),ROUNDUP((Client_Margin($B32)*Alloted(F$3,F$2,F$5)/Get_Margin(F$3,F$2,F$5,F$1)),0)),"-")</f>
        <v>-</v>
      </c>
      <c r="G32" s="14" cm="1">
        <f t="array" ref="G32">IFERROR(IF(ROUNDUP((Client_Margin($B32)*Alloted(G$3,G$2,G$5)/Get_Margin(G$3,G$2,G$5,G$1)),0)*Get_Margin(G$3,G$2,G$5,G$1)&gt;((Client_Margin($B32)*Alloted(G$3,G$2,G$5)/Get_Margin(G$3,G$2,G$5,G$1))*Get_Margin(G$3,G$2,G$5,G$1))*$C$3,ROUNDDOWN((Client_Margin($B32)*Alloted(G$3,G$2,G$5)/Get_Margin(G$3,G$2,G$5,G$1)),0),ROUNDUP((Client_Margin($B32)*Alloted(G$3,G$2,G$5)/Get_Margin(G$3,G$2,G$5,G$1)),0)),"-")</f>
        <v>2</v>
      </c>
      <c r="H32" s="43">
        <v>1</v>
      </c>
      <c r="I32" s="14" cm="1">
        <f t="array" ref="I32">IFERROR(IF(ROUNDUP((Client_Margin($B32)*Alloted(I$3,I$2,I$5)/Get_Margin(I$3,I$2,I$5,I$1)),0)*Get_Margin(I$3,I$2,I$5,I$1)&gt;((Client_Margin($B32)*Alloted(I$3,I$2,I$5)/Get_Margin(I$3,I$2,I$5,I$1))*Get_Margin(I$3,I$2,I$5,I$1))*$C$3,ROUNDDOWN((Client_Margin($B32)*Alloted(I$3,I$2,I$5)/Get_Margin(I$3,I$2,I$5,I$1)),0),ROUNDUP((Client_Margin($B32)*Alloted(I$3,I$2,I$5)/Get_Margin(I$3,I$2,I$5,I$1)),0)),"-")</f>
        <v>1</v>
      </c>
      <c r="J32" s="14" cm="1">
        <f t="array" ref="J32">IFERROR(IF(ROUNDUP((Client_Margin($B32)*Alloted(J$3,J$2,J$5)/Get_Margin(J$3,J$2,J$5,J$1)),0)*Get_Margin(J$3,J$2,J$5,J$1)&gt;((Client_Margin($B32)*Alloted(J$3,J$2,J$5)/Get_Margin(J$3,J$2,J$5,J$1))*Get_Margin(J$3,J$2,J$5,J$1))*$C$3,ROUNDDOWN((Client_Margin($B32)*Alloted(J$3,J$2,J$5)/Get_Margin(J$3,J$2,J$5,J$1)),0),ROUNDUP((Client_Margin($B32)*Alloted(J$3,J$2,J$5)/Get_Margin(J$3,J$2,J$5,J$1)),0)),"-")</f>
        <v>0</v>
      </c>
      <c r="K32" s="14" cm="1">
        <f t="array" ref="K32">IFERROR(IF(ROUNDUP((Client_Margin($B32)*Alloted(K$3,K$2,K$5)/Get_Margin(K$3,K$2,K$5,K$1)),0)*Get_Margin(K$3,K$2,K$5,K$1)&gt;((Client_Margin($B32)*Alloted(K$3,K$2,K$5)/Get_Margin(K$3,K$2,K$5,K$1))*Get_Margin(K$3,K$2,K$5,K$1))*$C$3,ROUNDDOWN((Client_Margin($B32)*Alloted(K$3,K$2,K$5)/Get_Margin(K$3,K$2,K$5,K$1)),0),ROUNDUP((Client_Margin($B32)*Alloted(K$3,K$2,K$5)/Get_Margin(K$3,K$2,K$5,K$1)),0)),"-")</f>
        <v>0</v>
      </c>
      <c r="L32" s="43">
        <v>0</v>
      </c>
      <c r="M32" s="14" cm="1">
        <f t="array" ref="M32">IFERROR(IF(ROUNDUP((Client_Margin($B32)*Alloted(M$3,M$2,M$5)/Get_Margin(M$3,M$2,M$5,M$1)),0)*Get_Margin(M$3,M$2,M$5,M$1)&gt;((Client_Margin($B32)*Alloted(M$3,M$2,M$5)/Get_Margin(M$3,M$2,M$5,M$1))*Get_Margin(M$3,M$2,M$5,M$1))*$C$3,ROUNDDOWN((Client_Margin($B32)*Alloted(M$3,M$2,M$5)/Get_Margin(M$3,M$2,M$5,M$1)),0),ROUNDUP((Client_Margin($B32)*Alloted(M$3,M$2,M$5)/Get_Margin(M$3,M$2,M$5,M$1)),0)),"-")</f>
        <v>2</v>
      </c>
      <c r="N32" s="14" cm="1">
        <f t="array" ref="N32">IFERROR(IF(ROUNDUP((Client_Margin($B32)*Alloted(N$3,N$2,N$5)/Get_Margin(N$3,N$2,N$5,N$1)),0)*Get_Margin(N$3,N$2,N$5,N$1)&gt;((Client_Margin($B32)*Alloted(N$3,N$2,N$5)/Get_Margin(N$3,N$2,N$5,N$1))*Get_Margin(N$3,N$2,N$5,N$1))*$C$3,ROUNDDOWN((Client_Margin($B32)*Alloted(N$3,N$2,N$5)/Get_Margin(N$3,N$2,N$5,N$1)),0),ROUNDUP((Client_Margin($B32)*Alloted(N$3,N$2,N$5)/Get_Margin(N$3,N$2,N$5,N$1)),0)),"-")</f>
        <v>2</v>
      </c>
    </row>
    <row r="33" spans="1:14" hidden="1" x14ac:dyDescent="0.25">
      <c r="A33">
        <f t="shared" si="3"/>
        <v>0</v>
      </c>
      <c r="B33" s="14"/>
      <c r="C33" s="14"/>
      <c r="D33" s="15">
        <f>SUM(E33:N33)</f>
        <v>0.38900000000000001</v>
      </c>
      <c r="E33" s="15" t="str" cm="1">
        <f t="array" ref="E33">IFERROR((_xlfn._xlws.FILTER(INDEX(Margin[],0,MATCH(E$1&amp;"_"&amp;E$3,Margin[#Headers],0)),(Margin[Index]=E$2)*(Margin[Strategy]=E$5))*E32)/Client_Margin($B32),"-")</f>
        <v>-</v>
      </c>
      <c r="F33" s="15" t="str" cm="1">
        <f t="array" ref="F33">IFERROR((_xlfn._xlws.FILTER(INDEX(Margin[],0,MATCH(F$1&amp;"_"&amp;F$3,Margin[#Headers],0)),(Margin[Index]=F$2)*(Margin[Strategy]=F$5))*F32)/Client_Margin($B32),"-")</f>
        <v>-</v>
      </c>
      <c r="G33" s="15" cm="1">
        <f t="array" ref="G33">IFERROR((_xlfn._xlws.FILTER(INDEX(Margin[],0,MATCH(G$1&amp;"_"&amp;G$3,Margin[#Headers],0)),(Margin[Index]=G$2)*(Margin[Strategy]=G$5))*G32)/Client_Margin($B32),"-")</f>
        <v>8.6999999999999994E-2</v>
      </c>
      <c r="H33" s="15" cm="1">
        <f t="array" ref="H33">IFERROR((_xlfn._xlws.FILTER(INDEX(Margin[],0,MATCH(H$1&amp;"_"&amp;H$3,Margin[#Headers],0)),(Margin[Index]=H$2)*(Margin[Strategy]=H$5))*H32)/Client_Margin($B32),"-")</f>
        <v>0.11700000000000001</v>
      </c>
      <c r="I33" s="15" cm="1">
        <f t="array" ref="I33">IFERROR((_xlfn._xlws.FILTER(INDEX(Margin[],0,MATCH(I$1&amp;"_"&amp;I$3,Margin[#Headers],0)),(Margin[Index]=I$2)*(Margin[Strategy]=I$5))*I32)/Client_Margin($B32),"-")</f>
        <v>0.1</v>
      </c>
      <c r="J33" s="15" cm="1">
        <f t="array" ref="J33">IFERROR((_xlfn._xlws.FILTER(INDEX(Margin[],0,MATCH(J$1&amp;"_"&amp;J$3,Margin[#Headers],0)),(Margin[Index]=J$2)*(Margin[Strategy]=J$5))*J32)/Client_Margin($B32),"-")</f>
        <v>0</v>
      </c>
      <c r="K33" s="15" cm="1">
        <f t="array" ref="K33">IFERROR((_xlfn._xlws.FILTER(INDEX(Margin[],0,MATCH(K$1&amp;"_"&amp;K$3,Margin[#Headers],0)),(Margin[Index]=K$2)*(Margin[Strategy]=K$5))*K32)/Client_Margin($B32),"-")</f>
        <v>0</v>
      </c>
      <c r="L33" s="15" cm="1">
        <f t="array" ref="L33">IFERROR((_xlfn._xlws.FILTER(INDEX(Margin[],0,MATCH(L$1&amp;"_"&amp;L$3,Margin[#Headers],0)),(Margin[Index]=L$2)*(Margin[Strategy]=L$5))*L32)/Client_Margin($B32),"-")</f>
        <v>0</v>
      </c>
      <c r="M33" s="15" cm="1">
        <f t="array" ref="M33">IFERROR((_xlfn._xlws.FILTER(INDEX(Margin[],0,MATCH(M$1&amp;"_"&amp;M$3,Margin[#Headers],0)),(Margin[Index]=M$2)*(Margin[Strategy]=M$5))*M32)/Client_Margin($B32),"-")</f>
        <v>4.2500000000000003E-2</v>
      </c>
      <c r="N33" s="15" cm="1">
        <f t="array" ref="N33">IFERROR((_xlfn._xlws.FILTER(INDEX(Margin[],0,MATCH(N$1&amp;"_"&amp;N$3,Margin[#Headers],0)),(Margin[Index]=N$2)*(Margin[Strategy]=N$5))*N32)/Client_Margin($B32),"-")</f>
        <v>4.2500000000000003E-2</v>
      </c>
    </row>
    <row r="34" spans="1:14" x14ac:dyDescent="0.25">
      <c r="A34">
        <f t="shared" si="3"/>
        <v>1</v>
      </c>
      <c r="B34" s="14" t="s">
        <v>38</v>
      </c>
      <c r="C34" s="14" cm="1">
        <f t="array" ref="C34">(_xlfn._xlws.FILTER(Fund[Margin],Fund[Client Id]=B34))/10000000</f>
        <v>1.5</v>
      </c>
      <c r="D34" s="17"/>
      <c r="E34" s="14" t="str" cm="1">
        <f t="array" ref="E34">IFERROR(IF(ROUNDUP((Client_Margin($B34)*Alloted(E$3,E$2,E$5)/Get_Margin(E$3,E$2,E$5,E$1)),0)*Get_Margin(E$3,E$2,E$5,E$1)&gt;((Client_Margin($B34)*Alloted(E$3,E$2,E$5)/Get_Margin(E$3,E$2,E$5,E$1))*Get_Margin(E$3,E$2,E$5,E$1))*$C$3,ROUNDDOWN((Client_Margin($B34)*Alloted(E$3,E$2,E$5)/Get_Margin(E$3,E$2,E$5,E$1)),0),ROUNDUP((Client_Margin($B34)*Alloted(E$3,E$2,E$5)/Get_Margin(E$3,E$2,E$5,E$1)),0)),"-")</f>
        <v>-</v>
      </c>
      <c r="F34" s="14" t="str" cm="1">
        <f t="array" ref="F34">IFERROR(IF(ROUNDUP((Client_Margin($B34)*Alloted(F$3,F$2,F$5)/Get_Margin(F$3,F$2,F$5,F$1)),0)*Get_Margin(F$3,F$2,F$5,F$1)&gt;((Client_Margin($B34)*Alloted(F$3,F$2,F$5)/Get_Margin(F$3,F$2,F$5,F$1))*Get_Margin(F$3,F$2,F$5,F$1))*$C$3,ROUNDDOWN((Client_Margin($B34)*Alloted(F$3,F$2,F$5)/Get_Margin(F$3,F$2,F$5,F$1)),0),ROUNDUP((Client_Margin($B34)*Alloted(F$3,F$2,F$5)/Get_Margin(F$3,F$2,F$5,F$1)),0)),"-")</f>
        <v>-</v>
      </c>
      <c r="G34" s="14" cm="1">
        <f t="array" ref="G34">IFERROR(IF(ROUNDUP((Client_Margin($B34)*Alloted(G$3,G$2,G$5)/Get_Margin(G$3,G$2,G$5,G$1)),0)*Get_Margin(G$3,G$2,G$5,G$1)&gt;((Client_Margin($B34)*Alloted(G$3,G$2,G$5)/Get_Margin(G$3,G$2,G$5,G$1))*Get_Margin(G$3,G$2,G$5,G$1))*$C$3,ROUNDDOWN((Client_Margin($B34)*Alloted(G$3,G$2,G$5)/Get_Margin(G$3,G$2,G$5,G$1)),0),ROUNDUP((Client_Margin($B34)*Alloted(G$3,G$2,G$5)/Get_Margin(G$3,G$2,G$5,G$1)),0)),"-")</f>
        <v>2</v>
      </c>
      <c r="H34" s="43">
        <v>1</v>
      </c>
      <c r="I34" s="14" cm="1">
        <f t="array" ref="I34">IFERROR(IF(ROUNDUP((Client_Margin($B34)*Alloted(I$3,I$2,I$5)/Get_Margin(I$3,I$2,I$5,I$1)),0)*Get_Margin(I$3,I$2,I$5,I$1)&gt;((Client_Margin($B34)*Alloted(I$3,I$2,I$5)/Get_Margin(I$3,I$2,I$5,I$1))*Get_Margin(I$3,I$2,I$5,I$1))*$C$3,ROUNDDOWN((Client_Margin($B34)*Alloted(I$3,I$2,I$5)/Get_Margin(I$3,I$2,I$5,I$1)),0),ROUNDUP((Client_Margin($B34)*Alloted(I$3,I$2,I$5)/Get_Margin(I$3,I$2,I$5,I$1)),0)),"-")</f>
        <v>1</v>
      </c>
      <c r="J34" s="14" cm="1">
        <f t="array" ref="J34">IFERROR(IF(ROUNDUP((Client_Margin($B34)*Alloted(J$3,J$2,J$5)/Get_Margin(J$3,J$2,J$5,J$1)),0)*Get_Margin(J$3,J$2,J$5,J$1)&gt;((Client_Margin($B34)*Alloted(J$3,J$2,J$5)/Get_Margin(J$3,J$2,J$5,J$1))*Get_Margin(J$3,J$2,J$5,J$1))*$C$3,ROUNDDOWN((Client_Margin($B34)*Alloted(J$3,J$2,J$5)/Get_Margin(J$3,J$2,J$5,J$1)),0),ROUNDUP((Client_Margin($B34)*Alloted(J$3,J$2,J$5)/Get_Margin(J$3,J$2,J$5,J$1)),0)),"-")</f>
        <v>0</v>
      </c>
      <c r="K34" s="14" cm="1">
        <f t="array" ref="K34">IFERROR(IF(ROUNDUP((Client_Margin($B34)*Alloted(K$3,K$2,K$5)/Get_Margin(K$3,K$2,K$5,K$1)),0)*Get_Margin(K$3,K$2,K$5,K$1)&gt;((Client_Margin($B34)*Alloted(K$3,K$2,K$5)/Get_Margin(K$3,K$2,K$5,K$1))*Get_Margin(K$3,K$2,K$5,K$1))*$C$3,ROUNDDOWN((Client_Margin($B34)*Alloted(K$3,K$2,K$5)/Get_Margin(K$3,K$2,K$5,K$1)),0),ROUNDUP((Client_Margin($B34)*Alloted(K$3,K$2,K$5)/Get_Margin(K$3,K$2,K$5,K$1)),0)),"-")</f>
        <v>0</v>
      </c>
      <c r="L34" s="43">
        <v>0</v>
      </c>
      <c r="M34" s="14" cm="1">
        <f t="array" ref="M34">IFERROR(IF(ROUNDUP((Client_Margin($B34)*Alloted(M$3,M$2,M$5)/Get_Margin(M$3,M$2,M$5,M$1)),0)*Get_Margin(M$3,M$2,M$5,M$1)&gt;((Client_Margin($B34)*Alloted(M$3,M$2,M$5)/Get_Margin(M$3,M$2,M$5,M$1))*Get_Margin(M$3,M$2,M$5,M$1))*$C$3,ROUNDDOWN((Client_Margin($B34)*Alloted(M$3,M$2,M$5)/Get_Margin(M$3,M$2,M$5,M$1)),0),ROUNDUP((Client_Margin($B34)*Alloted(M$3,M$2,M$5)/Get_Margin(M$3,M$2,M$5,M$1)),0)),"-")</f>
        <v>2</v>
      </c>
      <c r="N34" s="14" cm="1">
        <f t="array" ref="N34">IFERROR(IF(ROUNDUP((Client_Margin($B34)*Alloted(N$3,N$2,N$5)/Get_Margin(N$3,N$2,N$5,N$1)),0)*Get_Margin(N$3,N$2,N$5,N$1)&gt;((Client_Margin($B34)*Alloted(N$3,N$2,N$5)/Get_Margin(N$3,N$2,N$5,N$1))*Get_Margin(N$3,N$2,N$5,N$1))*$C$3,ROUNDDOWN((Client_Margin($B34)*Alloted(N$3,N$2,N$5)/Get_Margin(N$3,N$2,N$5,N$1)),0),ROUNDUP((Client_Margin($B34)*Alloted(N$3,N$2,N$5)/Get_Margin(N$3,N$2,N$5,N$1)),0)),"-")</f>
        <v>2</v>
      </c>
    </row>
    <row r="35" spans="1:14" hidden="1" x14ac:dyDescent="0.25">
      <c r="A35">
        <f t="shared" si="3"/>
        <v>0</v>
      </c>
      <c r="B35" s="14"/>
      <c r="C35" s="14"/>
      <c r="D35" s="15">
        <f>SUM(E35:N35)</f>
        <v>0.41493333333333332</v>
      </c>
      <c r="E35" s="15" t="str" cm="1">
        <f t="array" ref="E35">IFERROR((_xlfn._xlws.FILTER(INDEX(Margin[],0,MATCH(E$1&amp;"_"&amp;E$3,Margin[#Headers],0)),(Margin[Index]=E$2)*(Margin[Strategy]=E$5))*E34)/Client_Margin($B34),"-")</f>
        <v>-</v>
      </c>
      <c r="F35" s="15" t="str" cm="1">
        <f t="array" ref="F35">IFERROR((_xlfn._xlws.FILTER(INDEX(Margin[],0,MATCH(F$1&amp;"_"&amp;F$3,Margin[#Headers],0)),(Margin[Index]=F$2)*(Margin[Strategy]=F$5))*F34)/Client_Margin($B34),"-")</f>
        <v>-</v>
      </c>
      <c r="G35" s="15" cm="1">
        <f t="array" ref="G35">IFERROR((_xlfn._xlws.FILTER(INDEX(Margin[],0,MATCH(G$1&amp;"_"&amp;G$3,Margin[#Headers],0)),(Margin[Index]=G$2)*(Margin[Strategy]=G$5))*G34)/Client_Margin($B34),"-")</f>
        <v>9.2799999999999994E-2</v>
      </c>
      <c r="H35" s="15" cm="1">
        <f t="array" ref="H35">IFERROR((_xlfn._xlws.FILTER(INDEX(Margin[],0,MATCH(H$1&amp;"_"&amp;H$3,Margin[#Headers],0)),(Margin[Index]=H$2)*(Margin[Strategy]=H$5))*H34)/Client_Margin($B34),"-")</f>
        <v>0.12479999999999999</v>
      </c>
      <c r="I35" s="15" cm="1">
        <f t="array" ref="I35">IFERROR((_xlfn._xlws.FILTER(INDEX(Margin[],0,MATCH(I$1&amp;"_"&amp;I$3,Margin[#Headers],0)),(Margin[Index]=I$2)*(Margin[Strategy]=I$5))*I34)/Client_Margin($B34),"-")</f>
        <v>0.10666666666666667</v>
      </c>
      <c r="J35" s="15" cm="1">
        <f t="array" ref="J35">IFERROR((_xlfn._xlws.FILTER(INDEX(Margin[],0,MATCH(J$1&amp;"_"&amp;J$3,Margin[#Headers],0)),(Margin[Index]=J$2)*(Margin[Strategy]=J$5))*J34)/Client_Margin($B34),"-")</f>
        <v>0</v>
      </c>
      <c r="K35" s="15" cm="1">
        <f t="array" ref="K35">IFERROR((_xlfn._xlws.FILTER(INDEX(Margin[],0,MATCH(K$1&amp;"_"&amp;K$3,Margin[#Headers],0)),(Margin[Index]=K$2)*(Margin[Strategy]=K$5))*K34)/Client_Margin($B34),"-")</f>
        <v>0</v>
      </c>
      <c r="L35" s="15" cm="1">
        <f t="array" ref="L35">IFERROR((_xlfn._xlws.FILTER(INDEX(Margin[],0,MATCH(L$1&amp;"_"&amp;L$3,Margin[#Headers],0)),(Margin[Index]=L$2)*(Margin[Strategy]=L$5))*L34)/Client_Margin($B34),"-")</f>
        <v>0</v>
      </c>
      <c r="M35" s="15" cm="1">
        <f t="array" ref="M35">IFERROR((_xlfn._xlws.FILTER(INDEX(Margin[],0,MATCH(M$1&amp;"_"&amp;M$3,Margin[#Headers],0)),(Margin[Index]=M$2)*(Margin[Strategy]=M$5))*M34)/Client_Margin($B34),"-")</f>
        <v>4.5333333333333337E-2</v>
      </c>
      <c r="N35" s="15" cm="1">
        <f t="array" ref="N35">IFERROR((_xlfn._xlws.FILTER(INDEX(Margin[],0,MATCH(N$1&amp;"_"&amp;N$3,Margin[#Headers],0)),(Margin[Index]=N$2)*(Margin[Strategy]=N$5))*N34)/Client_Margin($B34),"-")</f>
        <v>4.5333333333333337E-2</v>
      </c>
    </row>
    <row r="36" spans="1:14" x14ac:dyDescent="0.25">
      <c r="A36">
        <f t="shared" si="3"/>
        <v>1</v>
      </c>
      <c r="B36" s="14" t="s">
        <v>40</v>
      </c>
      <c r="C36" s="14" cm="1">
        <f t="array" ref="C36">(_xlfn._xlws.FILTER(Fund[Margin],Fund[Client Id]=B36))/10000000</f>
        <v>1.3</v>
      </c>
      <c r="D36" s="17"/>
      <c r="E36" s="14" t="str" cm="1">
        <f t="array" ref="E36">IFERROR(IF(ROUNDUP((Client_Margin($B36)*Alloted(E$3,E$2,E$5)/Get_Margin(E$3,E$2,E$5,E$1)),0)*Get_Margin(E$3,E$2,E$5,E$1)&gt;((Client_Margin($B36)*Alloted(E$3,E$2,E$5)/Get_Margin(E$3,E$2,E$5,E$1))*Get_Margin(E$3,E$2,E$5,E$1))*$C$3,ROUNDDOWN((Client_Margin($B36)*Alloted(E$3,E$2,E$5)/Get_Margin(E$3,E$2,E$5,E$1)),0),ROUNDUP((Client_Margin($B36)*Alloted(E$3,E$2,E$5)/Get_Margin(E$3,E$2,E$5,E$1)),0)),"-")</f>
        <v>-</v>
      </c>
      <c r="F36" s="14" t="str" cm="1">
        <f t="array" ref="F36">IFERROR(IF(ROUNDUP((Client_Margin($B36)*Alloted(F$3,F$2,F$5)/Get_Margin(F$3,F$2,F$5,F$1)),0)*Get_Margin(F$3,F$2,F$5,F$1)&gt;((Client_Margin($B36)*Alloted(F$3,F$2,F$5)/Get_Margin(F$3,F$2,F$5,F$1))*Get_Margin(F$3,F$2,F$5,F$1))*$C$3,ROUNDDOWN((Client_Margin($B36)*Alloted(F$3,F$2,F$5)/Get_Margin(F$3,F$2,F$5,F$1)),0),ROUNDUP((Client_Margin($B36)*Alloted(F$3,F$2,F$5)/Get_Margin(F$3,F$2,F$5,F$1)),0)),"-")</f>
        <v>-</v>
      </c>
      <c r="G36" s="14" cm="1">
        <f t="array" ref="G36">IFERROR(IF(ROUNDUP((Client_Margin($B36)*Alloted(G$3,G$2,G$5)/Get_Margin(G$3,G$2,G$5,G$1)),0)*Get_Margin(G$3,G$2,G$5,G$1)&gt;((Client_Margin($B36)*Alloted(G$3,G$2,G$5)/Get_Margin(G$3,G$2,G$5,G$1))*Get_Margin(G$3,G$2,G$5,G$1))*$C$3,ROUNDDOWN((Client_Margin($B36)*Alloted(G$3,G$2,G$5)/Get_Margin(G$3,G$2,G$5,G$1)),0),ROUNDUP((Client_Margin($B36)*Alloted(G$3,G$2,G$5)/Get_Margin(G$3,G$2,G$5,G$1)),0)),"-")</f>
        <v>2</v>
      </c>
      <c r="H36" s="43">
        <v>1</v>
      </c>
      <c r="I36" s="43">
        <v>1</v>
      </c>
      <c r="J36" s="14" cm="1">
        <f t="array" ref="J36">IFERROR(IF(ROUNDUP((Client_Margin($B36)*Alloted(J$3,J$2,J$5)/Get_Margin(J$3,J$2,J$5,J$1)),0)*Get_Margin(J$3,J$2,J$5,J$1)&gt;((Client_Margin($B36)*Alloted(J$3,J$2,J$5)/Get_Margin(J$3,J$2,J$5,J$1))*Get_Margin(J$3,J$2,J$5,J$1))*$C$3,ROUNDDOWN((Client_Margin($B36)*Alloted(J$3,J$2,J$5)/Get_Margin(J$3,J$2,J$5,J$1)),0),ROUNDUP((Client_Margin($B36)*Alloted(J$3,J$2,J$5)/Get_Margin(J$3,J$2,J$5,J$1)),0)),"-")</f>
        <v>0</v>
      </c>
      <c r="K36" s="14" cm="1">
        <f t="array" ref="K36">IFERROR(IF(ROUNDUP((Client_Margin($B36)*Alloted(K$3,K$2,K$5)/Get_Margin(K$3,K$2,K$5,K$1)),0)*Get_Margin(K$3,K$2,K$5,K$1)&gt;((Client_Margin($B36)*Alloted(K$3,K$2,K$5)/Get_Margin(K$3,K$2,K$5,K$1))*Get_Margin(K$3,K$2,K$5,K$1))*$C$3,ROUNDDOWN((Client_Margin($B36)*Alloted(K$3,K$2,K$5)/Get_Margin(K$3,K$2,K$5,K$1)),0),ROUNDUP((Client_Margin($B36)*Alloted(K$3,K$2,K$5)/Get_Margin(K$3,K$2,K$5,K$1)),0)),"-")</f>
        <v>0</v>
      </c>
      <c r="L36" s="43">
        <v>0</v>
      </c>
      <c r="M36" s="14" cm="1">
        <f t="array" ref="M36">IFERROR(IF(ROUNDUP((Client_Margin($B36)*Alloted(M$3,M$2,M$5)/Get_Margin(M$3,M$2,M$5,M$1)),0)*Get_Margin(M$3,M$2,M$5,M$1)&gt;((Client_Margin($B36)*Alloted(M$3,M$2,M$5)/Get_Margin(M$3,M$2,M$5,M$1))*Get_Margin(M$3,M$2,M$5,M$1))*$C$3,ROUNDDOWN((Client_Margin($B36)*Alloted(M$3,M$2,M$5)/Get_Margin(M$3,M$2,M$5,M$1)),0),ROUNDUP((Client_Margin($B36)*Alloted(M$3,M$2,M$5)/Get_Margin(M$3,M$2,M$5,M$1)),0)),"-")</f>
        <v>2</v>
      </c>
      <c r="N36" s="14" cm="1">
        <f t="array" ref="N36">IFERROR(IF(ROUNDUP((Client_Margin($B36)*Alloted(N$3,N$2,N$5)/Get_Margin(N$3,N$2,N$5,N$1)),0)*Get_Margin(N$3,N$2,N$5,N$1)&gt;((Client_Margin($B36)*Alloted(N$3,N$2,N$5)/Get_Margin(N$3,N$2,N$5,N$1))*Get_Margin(N$3,N$2,N$5,N$1))*$C$3,ROUNDDOWN((Client_Margin($B36)*Alloted(N$3,N$2,N$5)/Get_Margin(N$3,N$2,N$5,N$1)),0),ROUNDUP((Client_Margin($B36)*Alloted(N$3,N$2,N$5)/Get_Margin(N$3,N$2,N$5,N$1)),0)),"-")</f>
        <v>2</v>
      </c>
    </row>
    <row r="37" spans="1:14" hidden="1" x14ac:dyDescent="0.25">
      <c r="A37">
        <f t="shared" si="3"/>
        <v>0</v>
      </c>
      <c r="B37" s="14"/>
      <c r="C37" s="14"/>
      <c r="D37" s="15">
        <f>SUM(E37:N37)</f>
        <v>0.47876923076923072</v>
      </c>
      <c r="E37" s="15" t="str" cm="1">
        <f t="array" ref="E37">IFERROR((_xlfn._xlws.FILTER(INDEX(Margin[],0,MATCH(E$1&amp;"_"&amp;E$3,Margin[#Headers],0)),(Margin[Index]=E$2)*(Margin[Strategy]=E$5))*E36)/Client_Margin($B36),"-")</f>
        <v>-</v>
      </c>
      <c r="F37" s="15" t="str" cm="1">
        <f t="array" ref="F37">IFERROR((_xlfn._xlws.FILTER(INDEX(Margin[],0,MATCH(F$1&amp;"_"&amp;F$3,Margin[#Headers],0)),(Margin[Index]=F$2)*(Margin[Strategy]=F$5))*F36)/Client_Margin($B36),"-")</f>
        <v>-</v>
      </c>
      <c r="G37" s="15" cm="1">
        <f t="array" ref="G37">IFERROR((_xlfn._xlws.FILTER(INDEX(Margin[],0,MATCH(G$1&amp;"_"&amp;G$3,Margin[#Headers],0)),(Margin[Index]=G$2)*(Margin[Strategy]=G$5))*G36)/Client_Margin($B36),"-")</f>
        <v>0.10707692307692308</v>
      </c>
      <c r="H37" s="15" cm="1">
        <f t="array" ref="H37">IFERROR((_xlfn._xlws.FILTER(INDEX(Margin[],0,MATCH(H$1&amp;"_"&amp;H$3,Margin[#Headers],0)),(Margin[Index]=H$2)*(Margin[Strategy]=H$5))*H36)/Client_Margin($B36),"-")</f>
        <v>0.14399999999999999</v>
      </c>
      <c r="I37" s="15" cm="1">
        <f t="array" ref="I37">IFERROR((_xlfn._xlws.FILTER(INDEX(Margin[],0,MATCH(I$1&amp;"_"&amp;I$3,Margin[#Headers],0)),(Margin[Index]=I$2)*(Margin[Strategy]=I$5))*I36)/Client_Margin($B36),"-")</f>
        <v>0.12307692307692308</v>
      </c>
      <c r="J37" s="15" cm="1">
        <f t="array" ref="J37">IFERROR((_xlfn._xlws.FILTER(INDEX(Margin[],0,MATCH(J$1&amp;"_"&amp;J$3,Margin[#Headers],0)),(Margin[Index]=J$2)*(Margin[Strategy]=J$5))*J36)/Client_Margin($B36),"-")</f>
        <v>0</v>
      </c>
      <c r="K37" s="15" cm="1">
        <f t="array" ref="K37">IFERROR((_xlfn._xlws.FILTER(INDEX(Margin[],0,MATCH(K$1&amp;"_"&amp;K$3,Margin[#Headers],0)),(Margin[Index]=K$2)*(Margin[Strategy]=K$5))*K36)/Client_Margin($B36),"-")</f>
        <v>0</v>
      </c>
      <c r="L37" s="15" cm="1">
        <f t="array" ref="L37">IFERROR((_xlfn._xlws.FILTER(INDEX(Margin[],0,MATCH(L$1&amp;"_"&amp;L$3,Margin[#Headers],0)),(Margin[Index]=L$2)*(Margin[Strategy]=L$5))*L36)/Client_Margin($B36),"-")</f>
        <v>0</v>
      </c>
      <c r="M37" s="15" cm="1">
        <f t="array" ref="M37">IFERROR((_xlfn._xlws.FILTER(INDEX(Margin[],0,MATCH(M$1&amp;"_"&amp;M$3,Margin[#Headers],0)),(Margin[Index]=M$2)*(Margin[Strategy]=M$5))*M36)/Client_Margin($B36),"-")</f>
        <v>5.2307692307692305E-2</v>
      </c>
      <c r="N37" s="15" cm="1">
        <f t="array" ref="N37">IFERROR((_xlfn._xlws.FILTER(INDEX(Margin[],0,MATCH(N$1&amp;"_"&amp;N$3,Margin[#Headers],0)),(Margin[Index]=N$2)*(Margin[Strategy]=N$5))*N36)/Client_Margin($B36),"-")</f>
        <v>5.2307692307692305E-2</v>
      </c>
    </row>
    <row r="38" spans="1:14" hidden="1" x14ac:dyDescent="0.25"/>
  </sheetData>
  <autoFilter ref="A5:N38" xr:uid="{FB2A7FDE-B9DB-4D72-966A-43E82A79E3BC}">
    <filterColumn colId="0">
      <filters>
        <filter val="1"/>
      </filters>
    </filterColumn>
  </autoFilter>
  <conditionalFormatting sqref="D7:N7">
    <cfRule type="expression" dxfId="62" priority="31">
      <formula>D7&gt;D$4</formula>
    </cfRule>
  </conditionalFormatting>
  <conditionalFormatting sqref="D9:N9">
    <cfRule type="expression" dxfId="61" priority="30">
      <formula>D9&gt;D$4</formula>
    </cfRule>
  </conditionalFormatting>
  <conditionalFormatting sqref="D11:N11">
    <cfRule type="expression" dxfId="60" priority="29">
      <formula>D11&gt;D$4</formula>
    </cfRule>
  </conditionalFormatting>
  <conditionalFormatting sqref="D13:N13">
    <cfRule type="expression" dxfId="59" priority="28">
      <formula>D13&gt;D$4</formula>
    </cfRule>
  </conditionalFormatting>
  <conditionalFormatting sqref="D15:N15">
    <cfRule type="expression" dxfId="58" priority="27">
      <formula>D15&gt;D$4</formula>
    </cfRule>
  </conditionalFormatting>
  <conditionalFormatting sqref="D17:N17">
    <cfRule type="expression" dxfId="57" priority="26">
      <formula>D17&gt;D$4</formula>
    </cfRule>
  </conditionalFormatting>
  <conditionalFormatting sqref="D19:N19">
    <cfRule type="expression" dxfId="56" priority="25">
      <formula>D19&gt;D$4</formula>
    </cfRule>
  </conditionalFormatting>
  <conditionalFormatting sqref="D21:N21">
    <cfRule type="expression" dxfId="55" priority="24">
      <formula>D21&gt;D$4</formula>
    </cfRule>
  </conditionalFormatting>
  <conditionalFormatting sqref="D23:N23">
    <cfRule type="expression" dxfId="54" priority="23">
      <formula>D23&gt;D$4</formula>
    </cfRule>
  </conditionalFormatting>
  <conditionalFormatting sqref="D25:N25">
    <cfRule type="expression" dxfId="53" priority="22">
      <formula>D25&gt;D$4</formula>
    </cfRule>
  </conditionalFormatting>
  <conditionalFormatting sqref="D27:N27">
    <cfRule type="expression" dxfId="52" priority="21">
      <formula>D27&gt;D$4</formula>
    </cfRule>
  </conditionalFormatting>
  <conditionalFormatting sqref="D29:N29">
    <cfRule type="expression" dxfId="51" priority="20">
      <formula>D29&gt;D$4</formula>
    </cfRule>
  </conditionalFormatting>
  <conditionalFormatting sqref="D31:N31">
    <cfRule type="expression" dxfId="50" priority="19">
      <formula>D31&gt;D$4</formula>
    </cfRule>
  </conditionalFormatting>
  <conditionalFormatting sqref="D33:N33">
    <cfRule type="expression" dxfId="49" priority="18">
      <formula>D33&gt;D$4</formula>
    </cfRule>
  </conditionalFormatting>
  <conditionalFormatting sqref="D35:N35">
    <cfRule type="expression" dxfId="48" priority="17">
      <formula>D35&gt;D$4</formula>
    </cfRule>
  </conditionalFormatting>
  <conditionalFormatting sqref="D37:N37">
    <cfRule type="expression" dxfId="47" priority="16">
      <formula>D37&gt;D$4</formula>
    </cfRule>
  </conditionalFormatting>
  <dataValidations disablePrompts="1" count="2">
    <dataValidation type="list" allowBlank="1" showInputMessage="1" showErrorMessage="1" sqref="E1:N1" xr:uid="{31AD95AB-D255-48BA-927F-AD174645C6AB}">
      <formula1>"Expiry,N.Expiry"</formula1>
    </dataValidation>
    <dataValidation type="list" allowBlank="1" showInputMessage="1" showErrorMessage="1" sqref="E3:N3" xr:uid="{BC1F24FA-A80C-404B-BF1C-91BC04E6B9CC}">
      <formula1>"W.O.H,W.H"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5CA33-4717-4EC1-B47D-CD3C8D8C9551}">
  <sheetPr codeName="Sheet25"/>
  <dimension ref="A1:Q444"/>
  <sheetViews>
    <sheetView topLeftCell="A61" workbookViewId="0">
      <selection activeCell="G15" sqref="G15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201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YJJ02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IFERROR(IF($P3="","",_xlfn._xlws.FILTER(LT_LST[Lot],(LT_LST[Client Id.]=$C3)*(LT_LST[Strategy]=$D3)*(LT_LST[DTE/WTE]=$E3)*(LT_LST[Symbol]=$I3))),"-")</f>
        <v>2</v>
      </c>
    </row>
    <row r="4" spans="1:17" x14ac:dyDescent="0.25">
      <c r="C4" t="str">
        <f t="shared" ref="C4:C67" ca="1" si="0">IF(D4="","",$A$1)</f>
        <v>YJJ02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IFERROR(IF($P4="","",_xlfn._xlws.FILTER(LT_LST[Lot],(LT_LST[Client Id.]=$C4)*(LT_LST[Strategy]=$D4)*(LT_LST[DTE/WTE]=$E4)*(LT_LST[Symbol]=$I4))),"-")</f>
        <v>2</v>
      </c>
    </row>
    <row r="5" spans="1:17" x14ac:dyDescent="0.25">
      <c r="C5" t="str">
        <f t="shared" ca="1" si="0"/>
        <v>YJJ02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IFERROR(IF($P5="","",_xlfn._xlws.FILTER(LT_LST[Lot],(LT_LST[Client Id.]=$C5)*(LT_LST[Strategy]=$D5)*(LT_LST[DTE/WTE]=$E5)*(LT_LST[Symbol]=$I5))),"-")</f>
        <v>2</v>
      </c>
    </row>
    <row r="6" spans="1:17" x14ac:dyDescent="0.25">
      <c r="C6" t="str">
        <f t="shared" ca="1" si="0"/>
        <v>YJJ02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IFERROR(IF($P6="","",_xlfn._xlws.FILTER(LT_LST[Lot],(LT_LST[Client Id.]=$C6)*(LT_LST[Strategy]=$D6)*(LT_LST[DTE/WTE]=$E6)*(LT_LST[Symbol]=$I6))),"-")</f>
        <v>2</v>
      </c>
    </row>
    <row r="7" spans="1:17" x14ac:dyDescent="0.25">
      <c r="C7" t="str">
        <f t="shared" ca="1" si="0"/>
        <v>YJJ02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IFERROR(IF($P7="","",_xlfn._xlws.FILTER(LT_LST[Lot],(LT_LST[Client Id.]=$C7)*(LT_LST[Strategy]=$D7)*(LT_LST[DTE/WTE]=$E7)*(LT_LST[Symbol]=$I7))),"-")</f>
        <v>2</v>
      </c>
    </row>
    <row r="8" spans="1:17" x14ac:dyDescent="0.25">
      <c r="C8" t="str">
        <f t="shared" ca="1" si="0"/>
        <v>YJJ02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IFERROR(IF($P8="","",_xlfn._xlws.FILTER(LT_LST[Lot],(LT_LST[Client Id.]=$C8)*(LT_LST[Strategy]=$D8)*(LT_LST[DTE/WTE]=$E8)*(LT_LST[Symbol]=$I8))),"-")</f>
        <v>2</v>
      </c>
    </row>
    <row r="9" spans="1:17" x14ac:dyDescent="0.25">
      <c r="C9" t="str">
        <f t="shared" ca="1" si="0"/>
        <v>YJJ02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IFERROR(IF($P9="","",_xlfn._xlws.FILTER(LT_LST[Lot],(LT_LST[Client Id.]=$C9)*(LT_LST[Strategy]=$D9)*(LT_LST[DTE/WTE]=$E9)*(LT_LST[Symbol]=$I9))),"-")</f>
        <v>2</v>
      </c>
    </row>
    <row r="10" spans="1:17" x14ac:dyDescent="0.25">
      <c r="C10" t="str">
        <f t="shared" ca="1" si="0"/>
        <v>YJJ02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IFERROR(IF($P10="","",_xlfn._xlws.FILTER(LT_LST[Lot],(LT_LST[Client Id.]=$C10)*(LT_LST[Strategy]=$D10)*(LT_LST[DTE/WTE]=$E10)*(LT_LST[Symbol]=$I10))),"-")</f>
        <v>2</v>
      </c>
    </row>
    <row r="11" spans="1:17" x14ac:dyDescent="0.25">
      <c r="C11" t="str">
        <f t="shared" ca="1" si="0"/>
        <v>YJJ02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IFERROR(IF($P11="","",_xlfn._xlws.FILTER(LT_LST[Lot],(LT_LST[Client Id.]=$C11)*(LT_LST[Strategy]=$D11)*(LT_LST[DTE/WTE]=$E11)*(LT_LST[Symbol]=$I11))),"-")</f>
        <v>2</v>
      </c>
    </row>
    <row r="12" spans="1:17" x14ac:dyDescent="0.25">
      <c r="C12" t="str">
        <f t="shared" ca="1" si="0"/>
        <v>YJJ02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IFERROR(IF($P12="","",_xlfn._xlws.FILTER(LT_LST[Lot],(LT_LST[Client Id.]=$C12)*(LT_LST[Strategy]=$D12)*(LT_LST[DTE/WTE]=$E12)*(LT_LST[Symbol]=$I12))),"-")</f>
        <v>2</v>
      </c>
    </row>
    <row r="13" spans="1:17" x14ac:dyDescent="0.25">
      <c r="C13" t="str">
        <f t="shared" ca="1" si="0"/>
        <v>YJJ02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IFERROR(IF($P13="","",_xlfn._xlws.FILTER(LT_LST[Lot],(LT_LST[Client Id.]=$C13)*(LT_LST[Strategy]=$D13)*(LT_LST[DTE/WTE]=$E13)*(LT_LST[Symbol]=$I13))),"-")</f>
        <v>1</v>
      </c>
    </row>
    <row r="14" spans="1:17" x14ac:dyDescent="0.25">
      <c r="C14" t="str">
        <f t="shared" ca="1" si="0"/>
        <v>YJJ02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IFERROR(IF($P14="","",_xlfn._xlws.FILTER(LT_LST[Lot],(LT_LST[Client Id.]=$C14)*(LT_LST[Strategy]=$D14)*(LT_LST[DTE/WTE]=$E14)*(LT_LST[Symbol]=$I14))),"-")</f>
        <v>1</v>
      </c>
    </row>
    <row r="15" spans="1:17" x14ac:dyDescent="0.25">
      <c r="C15" t="str">
        <f t="shared" ca="1" si="0"/>
        <v>YJJ02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IFERROR(IF($P15="","",_xlfn._xlws.FILTER(LT_LST[Lot],(LT_LST[Client Id.]=$C15)*(LT_LST[Strategy]=$D15)*(LT_LST[DTE/WTE]=$E15)*(LT_LST[Symbol]=$I15))),"-")</f>
        <v>1</v>
      </c>
    </row>
    <row r="16" spans="1:17" x14ac:dyDescent="0.25">
      <c r="C16" t="str">
        <f t="shared" ca="1" si="0"/>
        <v>YJJ02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IFERROR(IF($P16="","",_xlfn._xlws.FILTER(LT_LST[Lot],(LT_LST[Client Id.]=$C16)*(LT_LST[Strategy]=$D16)*(LT_LST[DTE/WTE]=$E16)*(LT_LST[Symbol]=$I16))),"-")</f>
        <v>1</v>
      </c>
    </row>
    <row r="17" spans="3:17" x14ac:dyDescent="0.25">
      <c r="C17" t="str">
        <f t="shared" ca="1" si="0"/>
        <v>YJJ02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IFERROR(IF($P17="","",_xlfn._xlws.FILTER(LT_LST[Lot],(LT_LST[Client Id.]=$C17)*(LT_LST[Strategy]=$D17)*(LT_LST[DTE/WTE]=$E17)*(LT_LST[Symbol]=$I17))),"-")</f>
        <v>1</v>
      </c>
    </row>
    <row r="18" spans="3:17" x14ac:dyDescent="0.25">
      <c r="C18" t="str">
        <f t="shared" ca="1" si="0"/>
        <v>YJJ02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IFERROR(IF($P18="","",_xlfn._xlws.FILTER(LT_LST[Lot],(LT_LST[Client Id.]=$C18)*(LT_LST[Strategy]=$D18)*(LT_LST[DTE/WTE]=$E18)*(LT_LST[Symbol]=$I18))),"-")</f>
        <v>1</v>
      </c>
    </row>
    <row r="19" spans="3:17" x14ac:dyDescent="0.25">
      <c r="C19" t="str">
        <f t="shared" ca="1" si="0"/>
        <v>YJJ02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IFERROR(IF($P19="","",_xlfn._xlws.FILTER(LT_LST[Lot],(LT_LST[Client Id.]=$C19)*(LT_LST[Strategy]=$D19)*(LT_LST[DTE/WTE]=$E19)*(LT_LST[Symbol]=$I19))),"-")</f>
        <v>4</v>
      </c>
    </row>
    <row r="20" spans="3:17" x14ac:dyDescent="0.25">
      <c r="C20" t="str">
        <f t="shared" ca="1" si="0"/>
        <v>YJJ02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IFERROR(IF($P20="","",_xlfn._xlws.FILTER(LT_LST[Lot],(LT_LST[Client Id.]=$C20)*(LT_LST[Strategy]=$D20)*(LT_LST[DTE/WTE]=$E20)*(LT_LST[Symbol]=$I20))),"-")</f>
        <v>4</v>
      </c>
    </row>
    <row r="21" spans="3:17" x14ac:dyDescent="0.25">
      <c r="C21" t="str">
        <f t="shared" ca="1" si="0"/>
        <v>YJJ02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IFERROR(IF($P21="","",_xlfn._xlws.FILTER(LT_LST[Lot],(LT_LST[Client Id.]=$C21)*(LT_LST[Strategy]=$D21)*(LT_LST[DTE/WTE]=$E21)*(LT_LST[Symbol]=$I21))),"-")</f>
        <v>4</v>
      </c>
    </row>
    <row r="22" spans="3:17" x14ac:dyDescent="0.25">
      <c r="C22" t="str">
        <f t="shared" ca="1" si="0"/>
        <v>YJJ02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IFERROR(IF($P22="","",_xlfn._xlws.FILTER(LT_LST[Lot],(LT_LST[Client Id.]=$C22)*(LT_LST[Strategy]=$D22)*(LT_LST[DTE/WTE]=$E22)*(LT_LST[Symbol]=$I22))),"-")</f>
        <v>4</v>
      </c>
    </row>
    <row r="23" spans="3:17" x14ac:dyDescent="0.25">
      <c r="C23" t="str">
        <f t="shared" ca="1" si="0"/>
        <v>YJJ02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IFERROR(IF($P23="","",_xlfn._xlws.FILTER(LT_LST[Lot],(LT_LST[Client Id.]=$C23)*(LT_LST[Strategy]=$D23)*(LT_LST[DTE/WTE]=$E23)*(LT_LST[Symbol]=$I23))),"-")</f>
        <v>4</v>
      </c>
    </row>
    <row r="24" spans="3:17" x14ac:dyDescent="0.25">
      <c r="C24" t="str">
        <f t="shared" ca="1" si="0"/>
        <v>YJJ02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IFERROR(IF($P24="","",_xlfn._xlws.FILTER(LT_LST[Lot],(LT_LST[Client Id.]=$C24)*(LT_LST[Strategy]=$D24)*(LT_LST[DTE/WTE]=$E24)*(LT_LST[Symbol]=$I24))),"-")</f>
        <v>4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IFERROR(IF($P25="","",_xlfn._xlws.FILTER(LT_LST[Lot],(LT_LST[Client Id.]=$C25)*(LT_LST[Strategy]=$D25)*(LT_LST[DTE/WTE]=$E25)*(LT_LST[Symbol]=$I25))),"-")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IFERROR(IF($P26="","",_xlfn._xlws.FILTER(LT_LST[Lot],(LT_LST[Client Id.]=$C26)*(LT_LST[Strategy]=$D26)*(LT_LST[DTE/WTE]=$E26)*(LT_LST[Symbol]=$I26))),"-")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IFERROR(IF($P27="","",_xlfn._xlws.FILTER(LT_LST[Lot],(LT_LST[Client Id.]=$C27)*(LT_LST[Strategy]=$D27)*(LT_LST[DTE/WTE]=$E27)*(LT_LST[Symbol]=$I27))),"-")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IFERROR(IF($P28="","",_xlfn._xlws.FILTER(LT_LST[Lot],(LT_LST[Client Id.]=$C28)*(LT_LST[Strategy]=$D28)*(LT_LST[DTE/WTE]=$E28)*(LT_LST[Symbol]=$I28))),"-")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IFERROR(IF($P29="","",_xlfn._xlws.FILTER(LT_LST[Lot],(LT_LST[Client Id.]=$C29)*(LT_LST[Strategy]=$D29)*(LT_LST[DTE/WTE]=$E29)*(LT_LST[Symbol]=$I29))),"-")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IFERROR(IF($P30="","",_xlfn._xlws.FILTER(LT_LST[Lot],(LT_LST[Client Id.]=$C30)*(LT_LST[Strategy]=$D30)*(LT_LST[DTE/WTE]=$E30)*(LT_LST[Symbol]=$I30))),"-")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IFERROR(IF($P31="","",_xlfn._xlws.FILTER(LT_LST[Lot],(LT_LST[Client Id.]=$C31)*(LT_LST[Strategy]=$D31)*(LT_LST[DTE/WTE]=$E31)*(LT_LST[Symbol]=$I31))),"-")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IFERROR(IF($P32="","",_xlfn._xlws.FILTER(LT_LST[Lot],(LT_LST[Client Id.]=$C32)*(LT_LST[Strategy]=$D32)*(LT_LST[DTE/WTE]=$E32)*(LT_LST[Symbol]=$I32))),"-")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IFERROR(IF($P33="","",_xlfn._xlws.FILTER(LT_LST[Lot],(LT_LST[Client Id.]=$C33)*(LT_LST[Strategy]=$D33)*(LT_LST[DTE/WTE]=$E33)*(LT_LST[Symbol]=$I33))),"-")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IFERROR(IF($P34="","",_xlfn._xlws.FILTER(LT_LST[Lot],(LT_LST[Client Id.]=$C34)*(LT_LST[Strategy]=$D34)*(LT_LST[DTE/WTE]=$E34)*(LT_LST[Symbol]=$I34))),"-")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IFERROR(IF($P35="","",_xlfn._xlws.FILTER(LT_LST[Lot],(LT_LST[Client Id.]=$C35)*(LT_LST[Strategy]=$D35)*(LT_LST[DTE/WTE]=$E35)*(LT_LST[Symbol]=$I35))),"-")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IFERROR(IF($P36="","",_xlfn._xlws.FILTER(LT_LST[Lot],(LT_LST[Client Id.]=$C36)*(LT_LST[Strategy]=$D36)*(LT_LST[DTE/WTE]=$E36)*(LT_LST[Symbol]=$I36))),"-")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IFERROR(IF($P37="","",_xlfn._xlws.FILTER(LT_LST[Lot],(LT_LST[Client Id.]=$C37)*(LT_LST[Strategy]=$D37)*(LT_LST[DTE/WTE]=$E37)*(LT_LST[Symbol]=$I37))),"-")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IFERROR(IF($P38="","",_xlfn._xlws.FILTER(LT_LST[Lot],(LT_LST[Client Id.]=$C38)*(LT_LST[Strategy]=$D38)*(LT_LST[DTE/WTE]=$E38)*(LT_LST[Symbol]=$I38))),"-")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IFERROR(IF($P39="","",_xlfn._xlws.FILTER(LT_LST[Lot],(LT_LST[Client Id.]=$C39)*(LT_LST[Strategy]=$D39)*(LT_LST[DTE/WTE]=$E39)*(LT_LST[Symbol]=$I39))),"-")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IFERROR(IF($P40="","",_xlfn._xlws.FILTER(LT_LST[Lot],(LT_LST[Client Id.]=$C40)*(LT_LST[Strategy]=$D40)*(LT_LST[DTE/WTE]=$E40)*(LT_LST[Symbol]=$I40))),"-")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IFERROR(IF($P41="","",_xlfn._xlws.FILTER(LT_LST[Lot],(LT_LST[Client Id.]=$C41)*(LT_LST[Strategy]=$D41)*(LT_LST[DTE/WTE]=$E41)*(LT_LST[Symbol]=$I41))),"-")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IFERROR(IF($P42="","",_xlfn._xlws.FILTER(LT_LST[Lot],(LT_LST[Client Id.]=$C42)*(LT_LST[Strategy]=$D42)*(LT_LST[DTE/WTE]=$E42)*(LT_LST[Symbol]=$I42))),"-")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IFERROR(IF($P43="","",_xlfn._xlws.FILTER(LT_LST[Lot],(LT_LST[Client Id.]=$C43)*(LT_LST[Strategy]=$D43)*(LT_LST[DTE/WTE]=$E43)*(LT_LST[Symbol]=$I43))),"-")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IFERROR(IF($P44="","",_xlfn._xlws.FILTER(LT_LST[Lot],(LT_LST[Client Id.]=$C44)*(LT_LST[Strategy]=$D44)*(LT_LST[DTE/WTE]=$E44)*(LT_LST[Symbol]=$I44))),"-")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IFERROR(IF($P45="","",_xlfn._xlws.FILTER(LT_LST[Lot],(LT_LST[Client Id.]=$C45)*(LT_LST[Strategy]=$D45)*(LT_LST[DTE/WTE]=$E45)*(LT_LST[Symbol]=$I45))),"-")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IFERROR(IF($P46="","",_xlfn._xlws.FILTER(LT_LST[Lot],(LT_LST[Client Id.]=$C46)*(LT_LST[Strategy]=$D46)*(LT_LST[DTE/WTE]=$E46)*(LT_LST[Symbol]=$I46))),"-")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IFERROR(IF($P47="","",_xlfn._xlws.FILTER(LT_LST[Lot],(LT_LST[Client Id.]=$C47)*(LT_LST[Strategy]=$D47)*(LT_LST[DTE/WTE]=$E47)*(LT_LST[Symbol]=$I47))),"-")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IFERROR(IF($P48="","",_xlfn._xlws.FILTER(LT_LST[Lot],(LT_LST[Client Id.]=$C48)*(LT_LST[Strategy]=$D48)*(LT_LST[DTE/WTE]=$E48)*(LT_LST[Symbol]=$I48))),"-")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IFERROR(IF($P49="","",_xlfn._xlws.FILTER(LT_LST[Lot],(LT_LST[Client Id.]=$C49)*(LT_LST[Strategy]=$D49)*(LT_LST[DTE/WTE]=$E49)*(LT_LST[Symbol]=$I49))),"-")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IFERROR(IF($P50="","",_xlfn._xlws.FILTER(LT_LST[Lot],(LT_LST[Client Id.]=$C50)*(LT_LST[Strategy]=$D50)*(LT_LST[DTE/WTE]=$E50)*(LT_LST[Symbol]=$I50))),"-")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IFERROR(IF($P51="","",_xlfn._xlws.FILTER(LT_LST[Lot],(LT_LST[Client Id.]=$C51)*(LT_LST[Strategy]=$D51)*(LT_LST[DTE/WTE]=$E51)*(LT_LST[Symbol]=$I51))),"-")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IFERROR(IF($P52="","",_xlfn._xlws.FILTER(LT_LST[Lot],(LT_LST[Client Id.]=$C52)*(LT_LST[Strategy]=$D52)*(LT_LST[DTE/WTE]=$E52)*(LT_LST[Symbol]=$I52))),"-")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IFERROR(IF($P53="","",_xlfn._xlws.FILTER(LT_LST[Lot],(LT_LST[Client Id.]=$C53)*(LT_LST[Strategy]=$D53)*(LT_LST[DTE/WTE]=$E53)*(LT_LST[Symbol]=$I53))),"-")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IFERROR(IF($P54="","",_xlfn._xlws.FILTER(LT_LST[Lot],(LT_LST[Client Id.]=$C54)*(LT_LST[Strategy]=$D54)*(LT_LST[DTE/WTE]=$E54)*(LT_LST[Symbol]=$I54))),"-")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IFERROR(IF($P55="","",_xlfn._xlws.FILTER(LT_LST[Lot],(LT_LST[Client Id.]=$C55)*(LT_LST[Strategy]=$D55)*(LT_LST[DTE/WTE]=$E55)*(LT_LST[Symbol]=$I55))),"-")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IFERROR(IF($P56="","",_xlfn._xlws.FILTER(LT_LST[Lot],(LT_LST[Client Id.]=$C56)*(LT_LST[Strategy]=$D56)*(LT_LST[DTE/WTE]=$E56)*(LT_LST[Symbol]=$I56))),"-")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IFERROR(IF($P57="","",_xlfn._xlws.FILTER(LT_LST[Lot],(LT_LST[Client Id.]=$C57)*(LT_LST[Strategy]=$D57)*(LT_LST[DTE/WTE]=$E57)*(LT_LST[Symbol]=$I57))),"-")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IFERROR(IF($P58="","",_xlfn._xlws.FILTER(LT_LST[Lot],(LT_LST[Client Id.]=$C58)*(LT_LST[Strategy]=$D58)*(LT_LST[DTE/WTE]=$E58)*(LT_LST[Symbol]=$I58))),"-")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IFERROR(IF($P59="","",_xlfn._xlws.FILTER(LT_LST[Lot],(LT_LST[Client Id.]=$C59)*(LT_LST[Strategy]=$D59)*(LT_LST[DTE/WTE]=$E59)*(LT_LST[Symbol]=$I59))),"-")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IFERROR(IF($P60="","",_xlfn._xlws.FILTER(LT_LST[Lot],(LT_LST[Client Id.]=$C60)*(LT_LST[Strategy]=$D60)*(LT_LST[DTE/WTE]=$E60)*(LT_LST[Symbol]=$I60))),"-")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IFERROR(IF($P61="","",_xlfn._xlws.FILTER(LT_LST[Lot],(LT_LST[Client Id.]=$C61)*(LT_LST[Strategy]=$D61)*(LT_LST[DTE/WTE]=$E61)*(LT_LST[Symbol]=$I61))),"-")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IFERROR(IF($P62="","",_xlfn._xlws.FILTER(LT_LST[Lot],(LT_LST[Client Id.]=$C62)*(LT_LST[Strategy]=$D62)*(LT_LST[DTE/WTE]=$E62)*(LT_LST[Symbol]=$I62))),"-")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IFERROR(IF($P63="","",_xlfn._xlws.FILTER(LT_LST[Lot],(LT_LST[Client Id.]=$C63)*(LT_LST[Strategy]=$D63)*(LT_LST[DTE/WTE]=$E63)*(LT_LST[Symbol]=$I63))),"-")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IFERROR(IF($P64="","",_xlfn._xlws.FILTER(LT_LST[Lot],(LT_LST[Client Id.]=$C64)*(LT_LST[Strategy]=$D64)*(LT_LST[DTE/WTE]=$E64)*(LT_LST[Symbol]=$I64))),"-")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IFERROR(IF($P65="","",_xlfn._xlws.FILTER(LT_LST[Lot],(LT_LST[Client Id.]=$C65)*(LT_LST[Strategy]=$D65)*(LT_LST[DTE/WTE]=$E65)*(LT_LST[Symbol]=$I65))),"-")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IFERROR(IF($P66="","",_xlfn._xlws.FILTER(LT_LST[Lot],(LT_LST[Client Id.]=$C66)*(LT_LST[Strategy]=$D66)*(LT_LST[DTE/WTE]=$E66)*(LT_LST[Symbol]=$I66))),"-")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IFERROR(IF($P67="","",_xlfn._xlws.FILTER(LT_LST[Lot],(LT_LST[Client Id.]=$C67)*(LT_LST[Strategy]=$D67)*(LT_LST[DTE/WTE]=$E67)*(LT_LST[Symbol]=$I67))),"-")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IFERROR(IF($P68="","",_xlfn._xlws.FILTER(LT_LST[Lot],(LT_LST[Client Id.]=$C68)*(LT_LST[Strategy]=$D68)*(LT_LST[DTE/WTE]=$E68)*(LT_LST[Symbol]=$I68))),"-")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IFERROR(IF($P69="","",_xlfn._xlws.FILTER(LT_LST[Lot],(LT_LST[Client Id.]=$C69)*(LT_LST[Strategy]=$D69)*(LT_LST[DTE/WTE]=$E69)*(LT_LST[Symbol]=$I69))),"-")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IFERROR(IF($P70="","",_xlfn._xlws.FILTER(LT_LST[Lot],(LT_LST[Client Id.]=$C70)*(LT_LST[Strategy]=$D70)*(LT_LST[DTE/WTE]=$E70)*(LT_LST[Symbol]=$I70))),"-")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IFERROR(IF($P71="","",_xlfn._xlws.FILTER(LT_LST[Lot],(LT_LST[Client Id.]=$C71)*(LT_LST[Strategy]=$D71)*(LT_LST[DTE/WTE]=$E71)*(LT_LST[Symbol]=$I71))),"-")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IFERROR(IF($P72="","",_xlfn._xlws.FILTER(LT_LST[Lot],(LT_LST[Client Id.]=$C72)*(LT_LST[Strategy]=$D72)*(LT_LST[DTE/WTE]=$E72)*(LT_LST[Symbol]=$I72))),"-")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IFERROR(IF($P73="","",_xlfn._xlws.FILTER(LT_LST[Lot],(LT_LST[Client Id.]=$C73)*(LT_LST[Strategy]=$D73)*(LT_LST[DTE/WTE]=$E73)*(LT_LST[Symbol]=$I73))),"-")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IFERROR(IF($P74="","",_xlfn._xlws.FILTER(LT_LST[Lot],(LT_LST[Client Id.]=$C74)*(LT_LST[Strategy]=$D74)*(LT_LST[DTE/WTE]=$E74)*(LT_LST[Symbol]=$I74))),"-")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IFERROR(IF($P75="","",_xlfn._xlws.FILTER(LT_LST[Lot],(LT_LST[Client Id.]=$C75)*(LT_LST[Strategy]=$D75)*(LT_LST[DTE/WTE]=$E75)*(LT_LST[Symbol]=$I75))),"-")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IFERROR(IF($P76="","",_xlfn._xlws.FILTER(LT_LST[Lot],(LT_LST[Client Id.]=$C76)*(LT_LST[Strategy]=$D76)*(LT_LST[DTE/WTE]=$E76)*(LT_LST[Symbol]=$I76))),"-")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IFERROR(IF($P77="","",_xlfn._xlws.FILTER(LT_LST[Lot],(LT_LST[Client Id.]=$C77)*(LT_LST[Strategy]=$D77)*(LT_LST[DTE/WTE]=$E77)*(LT_LST[Symbol]=$I77))),"-")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IFERROR(IF($P78="","",_xlfn._xlws.FILTER(LT_LST[Lot],(LT_LST[Client Id.]=$C78)*(LT_LST[Strategy]=$D78)*(LT_LST[DTE/WTE]=$E78)*(LT_LST[Symbol]=$I78))),"-")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IFERROR(IF($P79="","",_xlfn._xlws.FILTER(LT_LST[Lot],(LT_LST[Client Id.]=$C79)*(LT_LST[Strategy]=$D79)*(LT_LST[DTE/WTE]=$E79)*(LT_LST[Symbol]=$I79))),"-")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IFERROR(IF($P80="","",_xlfn._xlws.FILTER(LT_LST[Lot],(LT_LST[Client Id.]=$C80)*(LT_LST[Strategy]=$D80)*(LT_LST[DTE/WTE]=$E80)*(LT_LST[Symbol]=$I80))),"-")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IFERROR(IF($P81="","",_xlfn._xlws.FILTER(LT_LST[Lot],(LT_LST[Client Id.]=$C81)*(LT_LST[Strategy]=$D81)*(LT_LST[DTE/WTE]=$E81)*(LT_LST[Symbol]=$I81))),"-")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IFERROR(IF($P82="","",_xlfn._xlws.FILTER(LT_LST[Lot],(LT_LST[Client Id.]=$C82)*(LT_LST[Strategy]=$D82)*(LT_LST[DTE/WTE]=$E82)*(LT_LST[Symbol]=$I82))),"-")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IFERROR(IF($P83="","",_xlfn._xlws.FILTER(LT_LST[Lot],(LT_LST[Client Id.]=$C83)*(LT_LST[Strategy]=$D83)*(LT_LST[DTE/WTE]=$E83)*(LT_LST[Symbol]=$I83))),"-")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IFERROR(IF($P84="","",_xlfn._xlws.FILTER(LT_LST[Lot],(LT_LST[Client Id.]=$C84)*(LT_LST[Strategy]=$D84)*(LT_LST[DTE/WTE]=$E84)*(LT_LST[Symbol]=$I84))),"-")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IFERROR(IF($P85="","",_xlfn._xlws.FILTER(LT_LST[Lot],(LT_LST[Client Id.]=$C85)*(LT_LST[Strategy]=$D85)*(LT_LST[DTE/WTE]=$E85)*(LT_LST[Symbol]=$I85))),"-")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IFERROR(IF($P86="","",_xlfn._xlws.FILTER(LT_LST[Lot],(LT_LST[Client Id.]=$C86)*(LT_LST[Strategy]=$D86)*(LT_LST[DTE/WTE]=$E86)*(LT_LST[Symbol]=$I86))),"-")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IFERROR(IF($P87="","",_xlfn._xlws.FILTER(LT_LST[Lot],(LT_LST[Client Id.]=$C87)*(LT_LST[Strategy]=$D87)*(LT_LST[DTE/WTE]=$E87)*(LT_LST[Symbol]=$I87))),"-")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IFERROR(IF($P88="","",_xlfn._xlws.FILTER(LT_LST[Lot],(LT_LST[Client Id.]=$C88)*(LT_LST[Strategy]=$D88)*(LT_LST[DTE/WTE]=$E88)*(LT_LST[Symbol]=$I88))),"-")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IFERROR(IF($P89="","",_xlfn._xlws.FILTER(LT_LST[Lot],(LT_LST[Client Id.]=$C89)*(LT_LST[Strategy]=$D89)*(LT_LST[DTE/WTE]=$E89)*(LT_LST[Symbol]=$I89))),"-")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IFERROR(IF($P90="","",_xlfn._xlws.FILTER(LT_LST[Lot],(LT_LST[Client Id.]=$C90)*(LT_LST[Strategy]=$D90)*(LT_LST[DTE/WTE]=$E90)*(LT_LST[Symbol]=$I90))),"-")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IFERROR(IF($P91="","",_xlfn._xlws.FILTER(LT_LST[Lot],(LT_LST[Client Id.]=$C91)*(LT_LST[Strategy]=$D91)*(LT_LST[DTE/WTE]=$E91)*(LT_LST[Symbol]=$I91))),"-")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IFERROR(IF($P92="","",_xlfn._xlws.FILTER(LT_LST[Lot],(LT_LST[Client Id.]=$C92)*(LT_LST[Strategy]=$D92)*(LT_LST[DTE/WTE]=$E92)*(LT_LST[Symbol]=$I92))),"-")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IFERROR(IF($P93="","",_xlfn._xlws.FILTER(LT_LST[Lot],(LT_LST[Client Id.]=$C93)*(LT_LST[Strategy]=$D93)*(LT_LST[DTE/WTE]=$E93)*(LT_LST[Symbol]=$I93))),"-")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IFERROR(IF($P94="","",_xlfn._xlws.FILTER(LT_LST[Lot],(LT_LST[Client Id.]=$C94)*(LT_LST[Strategy]=$D94)*(LT_LST[DTE/WTE]=$E94)*(LT_LST[Symbol]=$I94))),"-")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IFERROR(IF($P95="","",_xlfn._xlws.FILTER(LT_LST[Lot],(LT_LST[Client Id.]=$C95)*(LT_LST[Strategy]=$D95)*(LT_LST[DTE/WTE]=$E95)*(LT_LST[Symbol]=$I95))),"-")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IFERROR(IF($P96="","",_xlfn._xlws.FILTER(LT_LST[Lot],(LT_LST[Client Id.]=$C96)*(LT_LST[Strategy]=$D96)*(LT_LST[DTE/WTE]=$E96)*(LT_LST[Symbol]=$I96))),"-")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IFERROR(IF($P97="","",_xlfn._xlws.FILTER(LT_LST[Lot],(LT_LST[Client Id.]=$C97)*(LT_LST[Strategy]=$D97)*(LT_LST[DTE/WTE]=$E97)*(LT_LST[Symbol]=$I97))),"-")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IFERROR(IF($P98="","",_xlfn._xlws.FILTER(LT_LST[Lot],(LT_LST[Client Id.]=$C98)*(LT_LST[Strategy]=$D98)*(LT_LST[DTE/WTE]=$E98)*(LT_LST[Symbol]=$I98))),"-")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IFERROR(IF($P99="","",_xlfn._xlws.FILTER(LT_LST[Lot],(LT_LST[Client Id.]=$C99)*(LT_LST[Strategy]=$D99)*(LT_LST[DTE/WTE]=$E99)*(LT_LST[Symbol]=$I99))),"-")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IFERROR(IF($P100="","",_xlfn._xlws.FILTER(LT_LST[Lot],(LT_LST[Client Id.]=$C100)*(LT_LST[Strategy]=$D100)*(LT_LST[DTE/WTE]=$E100)*(LT_LST[Symbol]=$I100))),"-")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IFERROR(IF($P101="","",_xlfn._xlws.FILTER(LT_LST[Lot],(LT_LST[Client Id.]=$C101)*(LT_LST[Strategy]=$D101)*(LT_LST[DTE/WTE]=$E101)*(LT_LST[Symbol]=$I101))),"-")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IFERROR(IF($P102="","",_xlfn._xlws.FILTER(LT_LST[Lot],(LT_LST[Client Id.]=$C102)*(LT_LST[Strategy]=$D102)*(LT_LST[DTE/WTE]=$E102)*(LT_LST[Symbol]=$I102))),"-")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IFERROR(IF($P103="","",_xlfn._xlws.FILTER(LT_LST[Lot],(LT_LST[Client Id.]=$C103)*(LT_LST[Strategy]=$D103)*(LT_LST[DTE/WTE]=$E103)*(LT_LST[Symbol]=$I103))),"-")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IFERROR(IF($P104="","",_xlfn._xlws.FILTER(LT_LST[Lot],(LT_LST[Client Id.]=$C104)*(LT_LST[Strategy]=$D104)*(LT_LST[DTE/WTE]=$E104)*(LT_LST[Symbol]=$I104))),"-")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IFERROR(IF($P105="","",_xlfn._xlws.FILTER(LT_LST[Lot],(LT_LST[Client Id.]=$C105)*(LT_LST[Strategy]=$D105)*(LT_LST[DTE/WTE]=$E105)*(LT_LST[Symbol]=$I105))),"-")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IFERROR(IF($P106="","",_xlfn._xlws.FILTER(LT_LST[Lot],(LT_LST[Client Id.]=$C106)*(LT_LST[Strategy]=$D106)*(LT_LST[DTE/WTE]=$E106)*(LT_LST[Symbol]=$I106))),"-")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IFERROR(IF($P107="","",_xlfn._xlws.FILTER(LT_LST[Lot],(LT_LST[Client Id.]=$C107)*(LT_LST[Strategy]=$D107)*(LT_LST[DTE/WTE]=$E107)*(LT_LST[Symbol]=$I107))),"-")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IFERROR(IF($P108="","",_xlfn._xlws.FILTER(LT_LST[Lot],(LT_LST[Client Id.]=$C108)*(LT_LST[Strategy]=$D108)*(LT_LST[DTE/WTE]=$E108)*(LT_LST[Symbol]=$I108))),"-")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IFERROR(IF($P109="","",_xlfn._xlws.FILTER(LT_LST[Lot],(LT_LST[Client Id.]=$C109)*(LT_LST[Strategy]=$D109)*(LT_LST[DTE/WTE]=$E109)*(LT_LST[Symbol]=$I109))),"-")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IFERROR(IF($P110="","",_xlfn._xlws.FILTER(LT_LST[Lot],(LT_LST[Client Id.]=$C110)*(LT_LST[Strategy]=$D110)*(LT_LST[DTE/WTE]=$E110)*(LT_LST[Symbol]=$I110))),"-")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IFERROR(IF($P111="","",_xlfn._xlws.FILTER(LT_LST[Lot],(LT_LST[Client Id.]=$C111)*(LT_LST[Strategy]=$D111)*(LT_LST[DTE/WTE]=$E111)*(LT_LST[Symbol]=$I111))),"-")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IFERROR(IF($P112="","",_xlfn._xlws.FILTER(LT_LST[Lot],(LT_LST[Client Id.]=$C112)*(LT_LST[Strategy]=$D112)*(LT_LST[DTE/WTE]=$E112)*(LT_LST[Symbol]=$I112))),"-")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IFERROR(IF($P113="","",_xlfn._xlws.FILTER(LT_LST[Lot],(LT_LST[Client Id.]=$C113)*(LT_LST[Strategy]=$D113)*(LT_LST[DTE/WTE]=$E113)*(LT_LST[Symbol]=$I113))),"-")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IFERROR(IF($P114="","",_xlfn._xlws.FILTER(LT_LST[Lot],(LT_LST[Client Id.]=$C114)*(LT_LST[Strategy]=$D114)*(LT_LST[DTE/WTE]=$E114)*(LT_LST[Symbol]=$I114))),"-")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IFERROR(IF($P115="","",_xlfn._xlws.FILTER(LT_LST[Lot],(LT_LST[Client Id.]=$C115)*(LT_LST[Strategy]=$D115)*(LT_LST[DTE/WTE]=$E115)*(LT_LST[Symbol]=$I115))),"-")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IFERROR(IF($P116="","",_xlfn._xlws.FILTER(LT_LST[Lot],(LT_LST[Client Id.]=$C116)*(LT_LST[Strategy]=$D116)*(LT_LST[DTE/WTE]=$E116)*(LT_LST[Symbol]=$I116))),"-")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IFERROR(IF($P117="","",_xlfn._xlws.FILTER(LT_LST[Lot],(LT_LST[Client Id.]=$C117)*(LT_LST[Strategy]=$D117)*(LT_LST[DTE/WTE]=$E117)*(LT_LST[Symbol]=$I117))),"-")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IFERROR(IF($P118="","",_xlfn._xlws.FILTER(LT_LST[Lot],(LT_LST[Client Id.]=$C118)*(LT_LST[Strategy]=$D118)*(LT_LST[DTE/WTE]=$E118)*(LT_LST[Symbol]=$I118))),"-")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IFERROR(IF($P119="","",_xlfn._xlws.FILTER(LT_LST[Lot],(LT_LST[Client Id.]=$C119)*(LT_LST[Strategy]=$D119)*(LT_LST[DTE/WTE]=$E119)*(LT_LST[Symbol]=$I119))),"-")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IFERROR(IF($P120="","",_xlfn._xlws.FILTER(LT_LST[Lot],(LT_LST[Client Id.]=$C120)*(LT_LST[Strategy]=$D120)*(LT_LST[DTE/WTE]=$E120)*(LT_LST[Symbol]=$I120))),"-")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IFERROR(IF($P121="","",_xlfn._xlws.FILTER(LT_LST[Lot],(LT_LST[Client Id.]=$C121)*(LT_LST[Strategy]=$D121)*(LT_LST[DTE/WTE]=$E121)*(LT_LST[Symbol]=$I121))),"-")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IFERROR(IF($P122="","",_xlfn._xlws.FILTER(LT_LST[Lot],(LT_LST[Client Id.]=$C122)*(LT_LST[Strategy]=$D122)*(LT_LST[DTE/WTE]=$E122)*(LT_LST[Symbol]=$I122))),"-")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IFERROR(IF($P123="","",_xlfn._xlws.FILTER(LT_LST[Lot],(LT_LST[Client Id.]=$C123)*(LT_LST[Strategy]=$D123)*(LT_LST[DTE/WTE]=$E123)*(LT_LST[Symbol]=$I123))),"-")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IFERROR(IF($P124="","",_xlfn._xlws.FILTER(LT_LST[Lot],(LT_LST[Client Id.]=$C124)*(LT_LST[Strategy]=$D124)*(LT_LST[DTE/WTE]=$E124)*(LT_LST[Symbol]=$I124))),"-")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IFERROR(IF($P125="","",_xlfn._xlws.FILTER(LT_LST[Lot],(LT_LST[Client Id.]=$C125)*(LT_LST[Strategy]=$D125)*(LT_LST[DTE/WTE]=$E125)*(LT_LST[Symbol]=$I125))),"-")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IFERROR(IF($P126="","",_xlfn._xlws.FILTER(LT_LST[Lot],(LT_LST[Client Id.]=$C126)*(LT_LST[Strategy]=$D126)*(LT_LST[DTE/WTE]=$E126)*(LT_LST[Symbol]=$I126))),"-")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IFERROR(IF($P127="","",_xlfn._xlws.FILTER(LT_LST[Lot],(LT_LST[Client Id.]=$C127)*(LT_LST[Strategy]=$D127)*(LT_LST[DTE/WTE]=$E127)*(LT_LST[Symbol]=$I127))),"-")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IFERROR(IF($P128="","",_xlfn._xlws.FILTER(LT_LST[Lot],(LT_LST[Client Id.]=$C128)*(LT_LST[Strategy]=$D128)*(LT_LST[DTE/WTE]=$E128)*(LT_LST[Symbol]=$I128))),"-")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IFERROR(IF($P129="","",_xlfn._xlws.FILTER(LT_LST[Lot],(LT_LST[Client Id.]=$C129)*(LT_LST[Strategy]=$D129)*(LT_LST[DTE/WTE]=$E129)*(LT_LST[Symbol]=$I129))),"-")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IFERROR(IF($P130="","",_xlfn._xlws.FILTER(LT_LST[Lot],(LT_LST[Client Id.]=$C130)*(LT_LST[Strategy]=$D130)*(LT_LST[DTE/WTE]=$E130)*(LT_LST[Symbol]=$I130))),"-")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IFERROR(IF($P131="","",_xlfn._xlws.FILTER(LT_LST[Lot],(LT_LST[Client Id.]=$C131)*(LT_LST[Strategy]=$D131)*(LT_LST[DTE/WTE]=$E131)*(LT_LST[Symbol]=$I131))),"-")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IFERROR(IF($P132="","",_xlfn._xlws.FILTER(LT_LST[Lot],(LT_LST[Client Id.]=$C132)*(LT_LST[Strategy]=$D132)*(LT_LST[DTE/WTE]=$E132)*(LT_LST[Symbol]=$I132))),"-")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IFERROR(IF($P133="","",_xlfn._xlws.FILTER(LT_LST[Lot],(LT_LST[Client Id.]=$C133)*(LT_LST[Strategy]=$D133)*(LT_LST[DTE/WTE]=$E133)*(LT_LST[Symbol]=$I133))),"-")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IFERROR(IF($P134="","",_xlfn._xlws.FILTER(LT_LST[Lot],(LT_LST[Client Id.]=$C134)*(LT_LST[Strategy]=$D134)*(LT_LST[DTE/WTE]=$E134)*(LT_LST[Symbol]=$I134))),"-")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IFERROR(IF($P135="","",_xlfn._xlws.FILTER(LT_LST[Lot],(LT_LST[Client Id.]=$C135)*(LT_LST[Strategy]=$D135)*(LT_LST[DTE/WTE]=$E135)*(LT_LST[Symbol]=$I135))),"-")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IFERROR(IF($P136="","",_xlfn._xlws.FILTER(LT_LST[Lot],(LT_LST[Client Id.]=$C136)*(LT_LST[Strategy]=$D136)*(LT_LST[DTE/WTE]=$E136)*(LT_LST[Symbol]=$I136))),"-")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IFERROR(IF($P137="","",_xlfn._xlws.FILTER(LT_LST[Lot],(LT_LST[Client Id.]=$C137)*(LT_LST[Strategy]=$D137)*(LT_LST[DTE/WTE]=$E137)*(LT_LST[Symbol]=$I137))),"-")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IFERROR(IF($P138="","",_xlfn._xlws.FILTER(LT_LST[Lot],(LT_LST[Client Id.]=$C138)*(LT_LST[Strategy]=$D138)*(LT_LST[DTE/WTE]=$E138)*(LT_LST[Symbol]=$I138))),"-")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IFERROR(IF($P139="","",_xlfn._xlws.FILTER(LT_LST[Lot],(LT_LST[Client Id.]=$C139)*(LT_LST[Strategy]=$D139)*(LT_LST[DTE/WTE]=$E139)*(LT_LST[Symbol]=$I139))),"-")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IFERROR(IF($P140="","",_xlfn._xlws.FILTER(LT_LST[Lot],(LT_LST[Client Id.]=$C140)*(LT_LST[Strategy]=$D140)*(LT_LST[DTE/WTE]=$E140)*(LT_LST[Symbol]=$I140))),"-")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IFERROR(IF($P141="","",_xlfn._xlws.FILTER(LT_LST[Lot],(LT_LST[Client Id.]=$C141)*(LT_LST[Strategy]=$D141)*(LT_LST[DTE/WTE]=$E141)*(LT_LST[Symbol]=$I141))),"-")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IFERROR(IF($P142="","",_xlfn._xlws.FILTER(LT_LST[Lot],(LT_LST[Client Id.]=$C142)*(LT_LST[Strategy]=$D142)*(LT_LST[DTE/WTE]=$E142)*(LT_LST[Symbol]=$I142))),"-")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IFERROR(IF($P143="","",_xlfn._xlws.FILTER(LT_LST[Lot],(LT_LST[Client Id.]=$C143)*(LT_LST[Strategy]=$D143)*(LT_LST[DTE/WTE]=$E143)*(LT_LST[Symbol]=$I143))),"-")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IFERROR(IF($P144="","",_xlfn._xlws.FILTER(LT_LST[Lot],(LT_LST[Client Id.]=$C144)*(LT_LST[Strategy]=$D144)*(LT_LST[DTE/WTE]=$E144)*(LT_LST[Symbol]=$I144))),"-")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IFERROR(IF($P145="","",_xlfn._xlws.FILTER(LT_LST[Lot],(LT_LST[Client Id.]=$C145)*(LT_LST[Strategy]=$D145)*(LT_LST[DTE/WTE]=$E145)*(LT_LST[Symbol]=$I145))),"-")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IFERROR(IF($P146="","",_xlfn._xlws.FILTER(LT_LST[Lot],(LT_LST[Client Id.]=$C146)*(LT_LST[Strategy]=$D146)*(LT_LST[DTE/WTE]=$E146)*(LT_LST[Symbol]=$I146))),"-")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IFERROR(IF($P147="","",_xlfn._xlws.FILTER(LT_LST[Lot],(LT_LST[Client Id.]=$C147)*(LT_LST[Strategy]=$D147)*(LT_LST[DTE/WTE]=$E147)*(LT_LST[Symbol]=$I147))),"-")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IFERROR(IF($P148="","",_xlfn._xlws.FILTER(LT_LST[Lot],(LT_LST[Client Id.]=$C148)*(LT_LST[Strategy]=$D148)*(LT_LST[DTE/WTE]=$E148)*(LT_LST[Symbol]=$I148))),"-")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IFERROR(IF($P149="","",_xlfn._xlws.FILTER(LT_LST[Lot],(LT_LST[Client Id.]=$C149)*(LT_LST[Strategy]=$D149)*(LT_LST[DTE/WTE]=$E149)*(LT_LST[Symbol]=$I149))),"-")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IFERROR(IF($P150="","",_xlfn._xlws.FILTER(LT_LST[Lot],(LT_LST[Client Id.]=$C150)*(LT_LST[Strategy]=$D150)*(LT_LST[DTE/WTE]=$E150)*(LT_LST[Symbol]=$I150))),"-")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IFERROR(IF($P151="","",_xlfn._xlws.FILTER(LT_LST[Lot],(LT_LST[Client Id.]=$C151)*(LT_LST[Strategy]=$D151)*(LT_LST[DTE/WTE]=$E151)*(LT_LST[Symbol]=$I151))),"-")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IFERROR(IF($P152="","",_xlfn._xlws.FILTER(LT_LST[Lot],(LT_LST[Client Id.]=$C152)*(LT_LST[Strategy]=$D152)*(LT_LST[DTE/WTE]=$E152)*(LT_LST[Symbol]=$I152))),"-")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IFERROR(IF($P153="","",_xlfn._xlws.FILTER(LT_LST[Lot],(LT_LST[Client Id.]=$C153)*(LT_LST[Strategy]=$D153)*(LT_LST[DTE/WTE]=$E153)*(LT_LST[Symbol]=$I153))),"-")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IFERROR(IF($P154="","",_xlfn._xlws.FILTER(LT_LST[Lot],(LT_LST[Client Id.]=$C154)*(LT_LST[Strategy]=$D154)*(LT_LST[DTE/WTE]=$E154)*(LT_LST[Symbol]=$I154))),"-")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IFERROR(IF($P155="","",_xlfn._xlws.FILTER(LT_LST[Lot],(LT_LST[Client Id.]=$C155)*(LT_LST[Strategy]=$D155)*(LT_LST[DTE/WTE]=$E155)*(LT_LST[Symbol]=$I155))),"-")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IFERROR(IF($P156="","",_xlfn._xlws.FILTER(LT_LST[Lot],(LT_LST[Client Id.]=$C156)*(LT_LST[Strategy]=$D156)*(LT_LST[DTE/WTE]=$E156)*(LT_LST[Symbol]=$I156))),"-")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IFERROR(IF($P157="","",_xlfn._xlws.FILTER(LT_LST[Lot],(LT_LST[Client Id.]=$C157)*(LT_LST[Strategy]=$D157)*(LT_LST[DTE/WTE]=$E157)*(LT_LST[Symbol]=$I157))),"-")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IFERROR(IF($P158="","",_xlfn._xlws.FILTER(LT_LST[Lot],(LT_LST[Client Id.]=$C158)*(LT_LST[Strategy]=$D158)*(LT_LST[DTE/WTE]=$E158)*(LT_LST[Symbol]=$I158))),"-")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IFERROR(IF($P159="","",_xlfn._xlws.FILTER(LT_LST[Lot],(LT_LST[Client Id.]=$C159)*(LT_LST[Strategy]=$D159)*(LT_LST[DTE/WTE]=$E159)*(LT_LST[Symbol]=$I159))),"-")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IFERROR(IF($P160="","",_xlfn._xlws.FILTER(LT_LST[Lot],(LT_LST[Client Id.]=$C160)*(LT_LST[Strategy]=$D160)*(LT_LST[DTE/WTE]=$E160)*(LT_LST[Symbol]=$I160))),"-")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IFERROR(IF($P161="","",_xlfn._xlws.FILTER(LT_LST[Lot],(LT_LST[Client Id.]=$C161)*(LT_LST[Strategy]=$D161)*(LT_LST[DTE/WTE]=$E161)*(LT_LST[Symbol]=$I161))),"-")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IFERROR(IF($P162="","",_xlfn._xlws.FILTER(LT_LST[Lot],(LT_LST[Client Id.]=$C162)*(LT_LST[Strategy]=$D162)*(LT_LST[DTE/WTE]=$E162)*(LT_LST[Symbol]=$I162))),"-")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IFERROR(IF($P163="","",_xlfn._xlws.FILTER(LT_LST[Lot],(LT_LST[Client Id.]=$C163)*(LT_LST[Strategy]=$D163)*(LT_LST[DTE/WTE]=$E163)*(LT_LST[Symbol]=$I163))),"-")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IFERROR(IF($P164="","",_xlfn._xlws.FILTER(LT_LST[Lot],(LT_LST[Client Id.]=$C164)*(LT_LST[Strategy]=$D164)*(LT_LST[DTE/WTE]=$E164)*(LT_LST[Symbol]=$I164))),"-")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IFERROR(IF($P165="","",_xlfn._xlws.FILTER(LT_LST[Lot],(LT_LST[Client Id.]=$C165)*(LT_LST[Strategy]=$D165)*(LT_LST[DTE/WTE]=$E165)*(LT_LST[Symbol]=$I165))),"-")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IFERROR(IF($P166="","",_xlfn._xlws.FILTER(LT_LST[Lot],(LT_LST[Client Id.]=$C166)*(LT_LST[Strategy]=$D166)*(LT_LST[DTE/WTE]=$E166)*(LT_LST[Symbol]=$I166))),"-")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IFERROR(IF($P167="","",_xlfn._xlws.FILTER(LT_LST[Lot],(LT_LST[Client Id.]=$C167)*(LT_LST[Strategy]=$D167)*(LT_LST[DTE/WTE]=$E167)*(LT_LST[Symbol]=$I167))),"-")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IFERROR(IF($P168="","",_xlfn._xlws.FILTER(LT_LST[Lot],(LT_LST[Client Id.]=$C168)*(LT_LST[Strategy]=$D168)*(LT_LST[DTE/WTE]=$E168)*(LT_LST[Symbol]=$I168))),"-")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IFERROR(IF($P169="","",_xlfn._xlws.FILTER(LT_LST[Lot],(LT_LST[Client Id.]=$C169)*(LT_LST[Strategy]=$D169)*(LT_LST[DTE/WTE]=$E169)*(LT_LST[Symbol]=$I169))),"-")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IFERROR(IF($P170="","",_xlfn._xlws.FILTER(LT_LST[Lot],(LT_LST[Client Id.]=$C170)*(LT_LST[Strategy]=$D170)*(LT_LST[DTE/WTE]=$E170)*(LT_LST[Symbol]=$I170))),"-")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IFERROR(IF($P171="","",_xlfn._xlws.FILTER(LT_LST[Lot],(LT_LST[Client Id.]=$C171)*(LT_LST[Strategy]=$D171)*(LT_LST[DTE/WTE]=$E171)*(LT_LST[Symbol]=$I171))),"-")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IFERROR(IF($P172="","",_xlfn._xlws.FILTER(LT_LST[Lot],(LT_LST[Client Id.]=$C172)*(LT_LST[Strategy]=$D172)*(LT_LST[DTE/WTE]=$E172)*(LT_LST[Symbol]=$I172))),"-")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IFERROR(IF($P173="","",_xlfn._xlws.FILTER(LT_LST[Lot],(LT_LST[Client Id.]=$C173)*(LT_LST[Strategy]=$D173)*(LT_LST[DTE/WTE]=$E173)*(LT_LST[Symbol]=$I173))),"-")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IFERROR(IF($P174="","",_xlfn._xlws.FILTER(LT_LST[Lot],(LT_LST[Client Id.]=$C174)*(LT_LST[Strategy]=$D174)*(LT_LST[DTE/WTE]=$E174)*(LT_LST[Symbol]=$I174))),"-")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IFERROR(IF($P175="","",_xlfn._xlws.FILTER(LT_LST[Lot],(LT_LST[Client Id.]=$C175)*(LT_LST[Strategy]=$D175)*(LT_LST[DTE/WTE]=$E175)*(LT_LST[Symbol]=$I175))),"-")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IFERROR(IF($P176="","",_xlfn._xlws.FILTER(LT_LST[Lot],(LT_LST[Client Id.]=$C176)*(LT_LST[Strategy]=$D176)*(LT_LST[DTE/WTE]=$E176)*(LT_LST[Symbol]=$I176))),"-")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IFERROR(IF($P177="","",_xlfn._xlws.FILTER(LT_LST[Lot],(LT_LST[Client Id.]=$C177)*(LT_LST[Strategy]=$D177)*(LT_LST[DTE/WTE]=$E177)*(LT_LST[Symbol]=$I177))),"-")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IFERROR(IF($P178="","",_xlfn._xlws.FILTER(LT_LST[Lot],(LT_LST[Client Id.]=$C178)*(LT_LST[Strategy]=$D178)*(LT_LST[DTE/WTE]=$E178)*(LT_LST[Symbol]=$I178))),"-")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IFERROR(IF($P179="","",_xlfn._xlws.FILTER(LT_LST[Lot],(LT_LST[Client Id.]=$C179)*(LT_LST[Strategy]=$D179)*(LT_LST[DTE/WTE]=$E179)*(LT_LST[Symbol]=$I179))),"-")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IFERROR(IF($P180="","",_xlfn._xlws.FILTER(LT_LST[Lot],(LT_LST[Client Id.]=$C180)*(LT_LST[Strategy]=$D180)*(LT_LST[DTE/WTE]=$E180)*(LT_LST[Symbol]=$I180))),"-")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IFERROR(IF($P181="","",_xlfn._xlws.FILTER(LT_LST[Lot],(LT_LST[Client Id.]=$C181)*(LT_LST[Strategy]=$D181)*(LT_LST[DTE/WTE]=$E181)*(LT_LST[Symbol]=$I181))),"-")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IFERROR(IF($P182="","",_xlfn._xlws.FILTER(LT_LST[Lot],(LT_LST[Client Id.]=$C182)*(LT_LST[Strategy]=$D182)*(LT_LST[DTE/WTE]=$E182)*(LT_LST[Symbol]=$I182))),"-")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IFERROR(IF($P183="","",_xlfn._xlws.FILTER(LT_LST[Lot],(LT_LST[Client Id.]=$C183)*(LT_LST[Strategy]=$D183)*(LT_LST[DTE/WTE]=$E183)*(LT_LST[Symbol]=$I183))),"-")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IFERROR(IF($P184="","",_xlfn._xlws.FILTER(LT_LST[Lot],(LT_LST[Client Id.]=$C184)*(LT_LST[Strategy]=$D184)*(LT_LST[DTE/WTE]=$E184)*(LT_LST[Symbol]=$I184))),"-")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IFERROR(IF($P185="","",_xlfn._xlws.FILTER(LT_LST[Lot],(LT_LST[Client Id.]=$C185)*(LT_LST[Strategy]=$D185)*(LT_LST[DTE/WTE]=$E185)*(LT_LST[Symbol]=$I185))),"-")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IFERROR(IF($P186="","",_xlfn._xlws.FILTER(LT_LST[Lot],(LT_LST[Client Id.]=$C186)*(LT_LST[Strategy]=$D186)*(LT_LST[DTE/WTE]=$E186)*(LT_LST[Symbol]=$I186))),"-")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IFERROR(IF($P187="","",_xlfn._xlws.FILTER(LT_LST[Lot],(LT_LST[Client Id.]=$C187)*(LT_LST[Strategy]=$D187)*(LT_LST[DTE/WTE]=$E187)*(LT_LST[Symbol]=$I187))),"-")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IFERROR(IF($P188="","",_xlfn._xlws.FILTER(LT_LST[Lot],(LT_LST[Client Id.]=$C188)*(LT_LST[Strategy]=$D188)*(LT_LST[DTE/WTE]=$E188)*(LT_LST[Symbol]=$I188))),"-")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IFERROR(IF($P189="","",_xlfn._xlws.FILTER(LT_LST[Lot],(LT_LST[Client Id.]=$C189)*(LT_LST[Strategy]=$D189)*(LT_LST[DTE/WTE]=$E189)*(LT_LST[Symbol]=$I189))),"-")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IFERROR(IF($P190="","",_xlfn._xlws.FILTER(LT_LST[Lot],(LT_LST[Client Id.]=$C190)*(LT_LST[Strategy]=$D190)*(LT_LST[DTE/WTE]=$E190)*(LT_LST[Symbol]=$I190))),"-")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IFERROR(IF($P191="","",_xlfn._xlws.FILTER(LT_LST[Lot],(LT_LST[Client Id.]=$C191)*(LT_LST[Strategy]=$D191)*(LT_LST[DTE/WTE]=$E191)*(LT_LST[Symbol]=$I191))),"-")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IFERROR(IF($P192="","",_xlfn._xlws.FILTER(LT_LST[Lot],(LT_LST[Client Id.]=$C192)*(LT_LST[Strategy]=$D192)*(LT_LST[DTE/WTE]=$E192)*(LT_LST[Symbol]=$I192))),"-")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IFERROR(IF($P193="","",_xlfn._xlws.FILTER(LT_LST[Lot],(LT_LST[Client Id.]=$C193)*(LT_LST[Strategy]=$D193)*(LT_LST[DTE/WTE]=$E193)*(LT_LST[Symbol]=$I193))),"-")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IFERROR(IF($P194="","",_xlfn._xlws.FILTER(LT_LST[Lot],(LT_LST[Client Id.]=$C194)*(LT_LST[Strategy]=$D194)*(LT_LST[DTE/WTE]=$E194)*(LT_LST[Symbol]=$I194))),"-")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IFERROR(IF($P195="","",_xlfn._xlws.FILTER(LT_LST[Lot],(LT_LST[Client Id.]=$C195)*(LT_LST[Strategy]=$D195)*(LT_LST[DTE/WTE]=$E195)*(LT_LST[Symbol]=$I195))),"-")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IFERROR(IF($P196="","",_xlfn._xlws.FILTER(LT_LST[Lot],(LT_LST[Client Id.]=$C196)*(LT_LST[Strategy]=$D196)*(LT_LST[DTE/WTE]=$E196)*(LT_LST[Symbol]=$I196))),"-")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IFERROR(IF($P197="","",_xlfn._xlws.FILTER(LT_LST[Lot],(LT_LST[Client Id.]=$C197)*(LT_LST[Strategy]=$D197)*(LT_LST[DTE/WTE]=$E197)*(LT_LST[Symbol]=$I197))),"-")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IFERROR(IF($P198="","",_xlfn._xlws.FILTER(LT_LST[Lot],(LT_LST[Client Id.]=$C198)*(LT_LST[Strategy]=$D198)*(LT_LST[DTE/WTE]=$E198)*(LT_LST[Symbol]=$I198))),"-")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IFERROR(IF($P199="","",_xlfn._xlws.FILTER(LT_LST[Lot],(LT_LST[Client Id.]=$C199)*(LT_LST[Strategy]=$D199)*(LT_LST[DTE/WTE]=$E199)*(LT_LST[Symbol]=$I199))),"-")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IFERROR(IF($P200="","",_xlfn._xlws.FILTER(LT_LST[Lot],(LT_LST[Client Id.]=$C200)*(LT_LST[Strategy]=$D200)*(LT_LST[DTE/WTE]=$E200)*(LT_LST[Symbol]=$I200))),"-")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IFERROR(IF($P201="","",_xlfn._xlws.FILTER(LT_LST[Lot],(LT_LST[Client Id.]=$C201)*(LT_LST[Strategy]=$D201)*(LT_LST[DTE/WTE]=$E201)*(LT_LST[Symbol]=$I201))),"-")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IFERROR(IF($P202="","",_xlfn._xlws.FILTER(LT_LST[Lot],(LT_LST[Client Id.]=$C202)*(LT_LST[Strategy]=$D202)*(LT_LST[DTE/WTE]=$E202)*(LT_LST[Symbol]=$I202))),"-")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IFERROR(IF($P203="","",_xlfn._xlws.FILTER(LT_LST[Lot],(LT_LST[Client Id.]=$C203)*(LT_LST[Strategy]=$D203)*(LT_LST[DTE/WTE]=$E203)*(LT_LST[Symbol]=$I203))),"-")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IFERROR(IF($P204="","",_xlfn._xlws.FILTER(LT_LST[Lot],(LT_LST[Client Id.]=$C204)*(LT_LST[Strategy]=$D204)*(LT_LST[DTE/WTE]=$E204)*(LT_LST[Symbol]=$I204))),"-")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IFERROR(IF($P205="","",_xlfn._xlws.FILTER(LT_LST[Lot],(LT_LST[Client Id.]=$C205)*(LT_LST[Strategy]=$D205)*(LT_LST[DTE/WTE]=$E205)*(LT_LST[Symbol]=$I205))),"-")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IFERROR(IF($P206="","",_xlfn._xlws.FILTER(LT_LST[Lot],(LT_LST[Client Id.]=$C206)*(LT_LST[Strategy]=$D206)*(LT_LST[DTE/WTE]=$E206)*(LT_LST[Symbol]=$I206))),"-")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IFERROR(IF($P207="","",_xlfn._xlws.FILTER(LT_LST[Lot],(LT_LST[Client Id.]=$C207)*(LT_LST[Strategy]=$D207)*(LT_LST[DTE/WTE]=$E207)*(LT_LST[Symbol]=$I207))),"-")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IFERROR(IF($P208="","",_xlfn._xlws.FILTER(LT_LST[Lot],(LT_LST[Client Id.]=$C208)*(LT_LST[Strategy]=$D208)*(LT_LST[DTE/WTE]=$E208)*(LT_LST[Symbol]=$I208))),"-")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IFERROR(IF($P209="","",_xlfn._xlws.FILTER(LT_LST[Lot],(LT_LST[Client Id.]=$C209)*(LT_LST[Strategy]=$D209)*(LT_LST[DTE/WTE]=$E209)*(LT_LST[Symbol]=$I209))),"-")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IFERROR(IF($P210="","",_xlfn._xlws.FILTER(LT_LST[Lot],(LT_LST[Client Id.]=$C210)*(LT_LST[Strategy]=$D210)*(LT_LST[DTE/WTE]=$E210)*(LT_LST[Symbol]=$I210))),"-")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IFERROR(IF($P211="","",_xlfn._xlws.FILTER(LT_LST[Lot],(LT_LST[Client Id.]=$C211)*(LT_LST[Strategy]=$D211)*(LT_LST[DTE/WTE]=$E211)*(LT_LST[Symbol]=$I211))),"-")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IFERROR(IF($P212="","",_xlfn._xlws.FILTER(LT_LST[Lot],(LT_LST[Client Id.]=$C212)*(LT_LST[Strategy]=$D212)*(LT_LST[DTE/WTE]=$E212)*(LT_LST[Symbol]=$I212))),"-")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IFERROR(IF($P213="","",_xlfn._xlws.FILTER(LT_LST[Lot],(LT_LST[Client Id.]=$C213)*(LT_LST[Strategy]=$D213)*(LT_LST[DTE/WTE]=$E213)*(LT_LST[Symbol]=$I213))),"-")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IFERROR(IF($P214="","",_xlfn._xlws.FILTER(LT_LST[Lot],(LT_LST[Client Id.]=$C214)*(LT_LST[Strategy]=$D214)*(LT_LST[DTE/WTE]=$E214)*(LT_LST[Symbol]=$I214))),"-")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IFERROR(IF($P215="","",_xlfn._xlws.FILTER(LT_LST[Lot],(LT_LST[Client Id.]=$C215)*(LT_LST[Strategy]=$D215)*(LT_LST[DTE/WTE]=$E215)*(LT_LST[Symbol]=$I215))),"-")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IFERROR(IF($P216="","",_xlfn._xlws.FILTER(LT_LST[Lot],(LT_LST[Client Id.]=$C216)*(LT_LST[Strategy]=$D216)*(LT_LST[DTE/WTE]=$E216)*(LT_LST[Symbol]=$I216))),"-")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IFERROR(IF($P217="","",_xlfn._xlws.FILTER(LT_LST[Lot],(LT_LST[Client Id.]=$C217)*(LT_LST[Strategy]=$D217)*(LT_LST[DTE/WTE]=$E217)*(LT_LST[Symbol]=$I217))),"-")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IFERROR(IF($P218="","",_xlfn._xlws.FILTER(LT_LST[Lot],(LT_LST[Client Id.]=$C218)*(LT_LST[Strategy]=$D218)*(LT_LST[DTE/WTE]=$E218)*(LT_LST[Symbol]=$I218))),"-")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IFERROR(IF($P219="","",_xlfn._xlws.FILTER(LT_LST[Lot],(LT_LST[Client Id.]=$C219)*(LT_LST[Strategy]=$D219)*(LT_LST[DTE/WTE]=$E219)*(LT_LST[Symbol]=$I219))),"-")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IFERROR(IF($P220="","",_xlfn._xlws.FILTER(LT_LST[Lot],(LT_LST[Client Id.]=$C220)*(LT_LST[Strategy]=$D220)*(LT_LST[DTE/WTE]=$E220)*(LT_LST[Symbol]=$I220))),"-")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IFERROR(IF($P221="","",_xlfn._xlws.FILTER(LT_LST[Lot],(LT_LST[Client Id.]=$C221)*(LT_LST[Strategy]=$D221)*(LT_LST[DTE/WTE]=$E221)*(LT_LST[Symbol]=$I221))),"-")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IFERROR(IF($P222="","",_xlfn._xlws.FILTER(LT_LST[Lot],(LT_LST[Client Id.]=$C222)*(LT_LST[Strategy]=$D222)*(LT_LST[DTE/WTE]=$E222)*(LT_LST[Symbol]=$I222))),"-")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IFERROR(IF($P223="","",_xlfn._xlws.FILTER(LT_LST[Lot],(LT_LST[Client Id.]=$C223)*(LT_LST[Strategy]=$D223)*(LT_LST[DTE/WTE]=$E223)*(LT_LST[Symbol]=$I223))),"-")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IFERROR(IF($P224="","",_xlfn._xlws.FILTER(LT_LST[Lot],(LT_LST[Client Id.]=$C224)*(LT_LST[Strategy]=$D224)*(LT_LST[DTE/WTE]=$E224)*(LT_LST[Symbol]=$I224))),"-")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IFERROR(IF($P225="","",_xlfn._xlws.FILTER(LT_LST[Lot],(LT_LST[Client Id.]=$C225)*(LT_LST[Strategy]=$D225)*(LT_LST[DTE/WTE]=$E225)*(LT_LST[Symbol]=$I225))),"-")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IFERROR(IF($P226="","",_xlfn._xlws.FILTER(LT_LST[Lot],(LT_LST[Client Id.]=$C226)*(LT_LST[Strategy]=$D226)*(LT_LST[DTE/WTE]=$E226)*(LT_LST[Symbol]=$I226))),"-")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IFERROR(IF($P227="","",_xlfn._xlws.FILTER(LT_LST[Lot],(LT_LST[Client Id.]=$C227)*(LT_LST[Strategy]=$D227)*(LT_LST[DTE/WTE]=$E227)*(LT_LST[Symbol]=$I227))),"-")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IFERROR(IF($P228="","",_xlfn._xlws.FILTER(LT_LST[Lot],(LT_LST[Client Id.]=$C228)*(LT_LST[Strategy]=$D228)*(LT_LST[DTE/WTE]=$E228)*(LT_LST[Symbol]=$I228))),"-")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IFERROR(IF($P229="","",_xlfn._xlws.FILTER(LT_LST[Lot],(LT_LST[Client Id.]=$C229)*(LT_LST[Strategy]=$D229)*(LT_LST[DTE/WTE]=$E229)*(LT_LST[Symbol]=$I229))),"-")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IFERROR(IF($P230="","",_xlfn._xlws.FILTER(LT_LST[Lot],(LT_LST[Client Id.]=$C230)*(LT_LST[Strategy]=$D230)*(LT_LST[DTE/WTE]=$E230)*(LT_LST[Symbol]=$I230))),"-")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IFERROR(IF($P231="","",_xlfn._xlws.FILTER(LT_LST[Lot],(LT_LST[Client Id.]=$C231)*(LT_LST[Strategy]=$D231)*(LT_LST[DTE/WTE]=$E231)*(LT_LST[Symbol]=$I231))),"-")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IFERROR(IF($P232="","",_xlfn._xlws.FILTER(LT_LST[Lot],(LT_LST[Client Id.]=$C232)*(LT_LST[Strategy]=$D232)*(LT_LST[DTE/WTE]=$E232)*(LT_LST[Symbol]=$I232))),"-")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IFERROR(IF($P233="","",_xlfn._xlws.FILTER(LT_LST[Lot],(LT_LST[Client Id.]=$C233)*(LT_LST[Strategy]=$D233)*(LT_LST[DTE/WTE]=$E233)*(LT_LST[Symbol]=$I233))),"-")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IFERROR(IF($P234="","",_xlfn._xlws.FILTER(LT_LST[Lot],(LT_LST[Client Id.]=$C234)*(LT_LST[Strategy]=$D234)*(LT_LST[DTE/WTE]=$E234)*(LT_LST[Symbol]=$I234))),"-")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IFERROR(IF($P235="","",_xlfn._xlws.FILTER(LT_LST[Lot],(LT_LST[Client Id.]=$C235)*(LT_LST[Strategy]=$D235)*(LT_LST[DTE/WTE]=$E235)*(LT_LST[Symbol]=$I235))),"-")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IFERROR(IF($P236="","",_xlfn._xlws.FILTER(LT_LST[Lot],(LT_LST[Client Id.]=$C236)*(LT_LST[Strategy]=$D236)*(LT_LST[DTE/WTE]=$E236)*(LT_LST[Symbol]=$I236))),"-")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IFERROR(IF($P237="","",_xlfn._xlws.FILTER(LT_LST[Lot],(LT_LST[Client Id.]=$C237)*(LT_LST[Strategy]=$D237)*(LT_LST[DTE/WTE]=$E237)*(LT_LST[Symbol]=$I237))),"-")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IFERROR(IF($P238="","",_xlfn._xlws.FILTER(LT_LST[Lot],(LT_LST[Client Id.]=$C238)*(LT_LST[Strategy]=$D238)*(LT_LST[DTE/WTE]=$E238)*(LT_LST[Symbol]=$I238))),"-")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IFERROR(IF($P239="","",_xlfn._xlws.FILTER(LT_LST[Lot],(LT_LST[Client Id.]=$C239)*(LT_LST[Strategy]=$D239)*(LT_LST[DTE/WTE]=$E239)*(LT_LST[Symbol]=$I239))),"-")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IFERROR(IF($P240="","",_xlfn._xlws.FILTER(LT_LST[Lot],(LT_LST[Client Id.]=$C240)*(LT_LST[Strategy]=$D240)*(LT_LST[DTE/WTE]=$E240)*(LT_LST[Symbol]=$I240))),"-")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IFERROR(IF($P241="","",_xlfn._xlws.FILTER(LT_LST[Lot],(LT_LST[Client Id.]=$C241)*(LT_LST[Strategy]=$D241)*(LT_LST[DTE/WTE]=$E241)*(LT_LST[Symbol]=$I241))),"-")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IFERROR(IF($P242="","",_xlfn._xlws.FILTER(LT_LST[Lot],(LT_LST[Client Id.]=$C242)*(LT_LST[Strategy]=$D242)*(LT_LST[DTE/WTE]=$E242)*(LT_LST[Symbol]=$I242))),"-")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IFERROR(IF($P243="","",_xlfn._xlws.FILTER(LT_LST[Lot],(LT_LST[Client Id.]=$C243)*(LT_LST[Strategy]=$D243)*(LT_LST[DTE/WTE]=$E243)*(LT_LST[Symbol]=$I243))),"-")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IFERROR(IF($P244="","",_xlfn._xlws.FILTER(LT_LST[Lot],(LT_LST[Client Id.]=$C244)*(LT_LST[Strategy]=$D244)*(LT_LST[DTE/WTE]=$E244)*(LT_LST[Symbol]=$I244))),"-")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IFERROR(IF($P245="","",_xlfn._xlws.FILTER(LT_LST[Lot],(LT_LST[Client Id.]=$C245)*(LT_LST[Strategy]=$D245)*(LT_LST[DTE/WTE]=$E245)*(LT_LST[Symbol]=$I245))),"-")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IFERROR(IF($P246="","",_xlfn._xlws.FILTER(LT_LST[Lot],(LT_LST[Client Id.]=$C246)*(LT_LST[Strategy]=$D246)*(LT_LST[DTE/WTE]=$E246)*(LT_LST[Symbol]=$I246))),"-")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IFERROR(IF($P247="","",_xlfn._xlws.FILTER(LT_LST[Lot],(LT_LST[Client Id.]=$C247)*(LT_LST[Strategy]=$D247)*(LT_LST[DTE/WTE]=$E247)*(LT_LST[Symbol]=$I247))),"-")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IFERROR(IF($P248="","",_xlfn._xlws.FILTER(LT_LST[Lot],(LT_LST[Client Id.]=$C248)*(LT_LST[Strategy]=$D248)*(LT_LST[DTE/WTE]=$E248)*(LT_LST[Symbol]=$I248))),"-")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IFERROR(IF($P249="","",_xlfn._xlws.FILTER(LT_LST[Lot],(LT_LST[Client Id.]=$C249)*(LT_LST[Strategy]=$D249)*(LT_LST[DTE/WTE]=$E249)*(LT_LST[Symbol]=$I249))),"-")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IFERROR(IF($P250="","",_xlfn._xlws.FILTER(LT_LST[Lot],(LT_LST[Client Id.]=$C250)*(LT_LST[Strategy]=$D250)*(LT_LST[DTE/WTE]=$E250)*(LT_LST[Symbol]=$I250))),"-")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IFERROR(IF($P251="","",_xlfn._xlws.FILTER(LT_LST[Lot],(LT_LST[Client Id.]=$C251)*(LT_LST[Strategy]=$D251)*(LT_LST[DTE/WTE]=$E251)*(LT_LST[Symbol]=$I251))),"-")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IFERROR(IF($P252="","",_xlfn._xlws.FILTER(LT_LST[Lot],(LT_LST[Client Id.]=$C252)*(LT_LST[Strategy]=$D252)*(LT_LST[DTE/WTE]=$E252)*(LT_LST[Symbol]=$I252))),"-")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IFERROR(IF($P253="","",_xlfn._xlws.FILTER(LT_LST[Lot],(LT_LST[Client Id.]=$C253)*(LT_LST[Strategy]=$D253)*(LT_LST[DTE/WTE]=$E253)*(LT_LST[Symbol]=$I253))),"-")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IFERROR(IF($P254="","",_xlfn._xlws.FILTER(LT_LST[Lot],(LT_LST[Client Id.]=$C254)*(LT_LST[Strategy]=$D254)*(LT_LST[DTE/WTE]=$E254)*(LT_LST[Symbol]=$I254))),"-")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IFERROR(IF($P255="","",_xlfn._xlws.FILTER(LT_LST[Lot],(LT_LST[Client Id.]=$C255)*(LT_LST[Strategy]=$D255)*(LT_LST[DTE/WTE]=$E255)*(LT_LST[Symbol]=$I255))),"-")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IFERROR(IF($P256="","",_xlfn._xlws.FILTER(LT_LST[Lot],(LT_LST[Client Id.]=$C256)*(LT_LST[Strategy]=$D256)*(LT_LST[DTE/WTE]=$E256)*(LT_LST[Symbol]=$I256))),"-")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IFERROR(IF($P257="","",_xlfn._xlws.FILTER(LT_LST[Lot],(LT_LST[Client Id.]=$C257)*(LT_LST[Strategy]=$D257)*(LT_LST[DTE/WTE]=$E257)*(LT_LST[Symbol]=$I257))),"-")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IFERROR(IF($P258="","",_xlfn._xlws.FILTER(LT_LST[Lot],(LT_LST[Client Id.]=$C258)*(LT_LST[Strategy]=$D258)*(LT_LST[DTE/WTE]=$E258)*(LT_LST[Symbol]=$I258))),"-")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IFERROR(IF($P259="","",_xlfn._xlws.FILTER(LT_LST[Lot],(LT_LST[Client Id.]=$C259)*(LT_LST[Strategy]=$D259)*(LT_LST[DTE/WTE]=$E259)*(LT_LST[Symbol]=$I259))),"-")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IFERROR(IF($P260="","",_xlfn._xlws.FILTER(LT_LST[Lot],(LT_LST[Client Id.]=$C260)*(LT_LST[Strategy]=$D260)*(LT_LST[DTE/WTE]=$E260)*(LT_LST[Symbol]=$I260))),"-")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IFERROR(IF($P261="","",_xlfn._xlws.FILTER(LT_LST[Lot],(LT_LST[Client Id.]=$C261)*(LT_LST[Strategy]=$D261)*(LT_LST[DTE/WTE]=$E261)*(LT_LST[Symbol]=$I261))),"-")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IFERROR(IF($P262="","",_xlfn._xlws.FILTER(LT_LST[Lot],(LT_LST[Client Id.]=$C262)*(LT_LST[Strategy]=$D262)*(LT_LST[DTE/WTE]=$E262)*(LT_LST[Symbol]=$I262))),"-")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IFERROR(IF($P263="","",_xlfn._xlws.FILTER(LT_LST[Lot],(LT_LST[Client Id.]=$C263)*(LT_LST[Strategy]=$D263)*(LT_LST[DTE/WTE]=$E263)*(LT_LST[Symbol]=$I263))),"-")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IFERROR(IF($P264="","",_xlfn._xlws.FILTER(LT_LST[Lot],(LT_LST[Client Id.]=$C264)*(LT_LST[Strategy]=$D264)*(LT_LST[DTE/WTE]=$E264)*(LT_LST[Symbol]=$I264))),"-")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IFERROR(IF($P265="","",_xlfn._xlws.FILTER(LT_LST[Lot],(LT_LST[Client Id.]=$C265)*(LT_LST[Strategy]=$D265)*(LT_LST[DTE/WTE]=$E265)*(LT_LST[Symbol]=$I265))),"-")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IFERROR(IF($P266="","",_xlfn._xlws.FILTER(LT_LST[Lot],(LT_LST[Client Id.]=$C266)*(LT_LST[Strategy]=$D266)*(LT_LST[DTE/WTE]=$E266)*(LT_LST[Symbol]=$I266))),"-")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IFERROR(IF($P267="","",_xlfn._xlws.FILTER(LT_LST[Lot],(LT_LST[Client Id.]=$C267)*(LT_LST[Strategy]=$D267)*(LT_LST[DTE/WTE]=$E267)*(LT_LST[Symbol]=$I267))),"-")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IFERROR(IF($P268="","",_xlfn._xlws.FILTER(LT_LST[Lot],(LT_LST[Client Id.]=$C268)*(LT_LST[Strategy]=$D268)*(LT_LST[DTE/WTE]=$E268)*(LT_LST[Symbol]=$I268))),"-")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IFERROR(IF($P269="","",_xlfn._xlws.FILTER(LT_LST[Lot],(LT_LST[Client Id.]=$C269)*(LT_LST[Strategy]=$D269)*(LT_LST[DTE/WTE]=$E269)*(LT_LST[Symbol]=$I269))),"-")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IFERROR(IF($P270="","",_xlfn._xlws.FILTER(LT_LST[Lot],(LT_LST[Client Id.]=$C270)*(LT_LST[Strategy]=$D270)*(LT_LST[DTE/WTE]=$E270)*(LT_LST[Symbol]=$I270))),"-")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IFERROR(IF($P271="","",_xlfn._xlws.FILTER(LT_LST[Lot],(LT_LST[Client Id.]=$C271)*(LT_LST[Strategy]=$D271)*(LT_LST[DTE/WTE]=$E271)*(LT_LST[Symbol]=$I271))),"-")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IFERROR(IF($P272="","",_xlfn._xlws.FILTER(LT_LST[Lot],(LT_LST[Client Id.]=$C272)*(LT_LST[Strategy]=$D272)*(LT_LST[DTE/WTE]=$E272)*(LT_LST[Symbol]=$I272))),"-")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IFERROR(IF($P273="","",_xlfn._xlws.FILTER(LT_LST[Lot],(LT_LST[Client Id.]=$C273)*(LT_LST[Strategy]=$D273)*(LT_LST[DTE/WTE]=$E273)*(LT_LST[Symbol]=$I273))),"-")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IFERROR(IF($P274="","",_xlfn._xlws.FILTER(LT_LST[Lot],(LT_LST[Client Id.]=$C274)*(LT_LST[Strategy]=$D274)*(LT_LST[DTE/WTE]=$E274)*(LT_LST[Symbol]=$I274))),"-")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IFERROR(IF($P275="","",_xlfn._xlws.FILTER(LT_LST[Lot],(LT_LST[Client Id.]=$C275)*(LT_LST[Strategy]=$D275)*(LT_LST[DTE/WTE]=$E275)*(LT_LST[Symbol]=$I275))),"-")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IFERROR(IF($P276="","",_xlfn._xlws.FILTER(LT_LST[Lot],(LT_LST[Client Id.]=$C276)*(LT_LST[Strategy]=$D276)*(LT_LST[DTE/WTE]=$E276)*(LT_LST[Symbol]=$I276))),"-")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IFERROR(IF($P277="","",_xlfn._xlws.FILTER(LT_LST[Lot],(LT_LST[Client Id.]=$C277)*(LT_LST[Strategy]=$D277)*(LT_LST[DTE/WTE]=$E277)*(LT_LST[Symbol]=$I277))),"-")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IFERROR(IF($P278="","",_xlfn._xlws.FILTER(LT_LST[Lot],(LT_LST[Client Id.]=$C278)*(LT_LST[Strategy]=$D278)*(LT_LST[DTE/WTE]=$E278)*(LT_LST[Symbol]=$I278))),"-")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IFERROR(IF($P279="","",_xlfn._xlws.FILTER(LT_LST[Lot],(LT_LST[Client Id.]=$C279)*(LT_LST[Strategy]=$D279)*(LT_LST[DTE/WTE]=$E279)*(LT_LST[Symbol]=$I279))),"-")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IFERROR(IF($P280="","",_xlfn._xlws.FILTER(LT_LST[Lot],(LT_LST[Client Id.]=$C280)*(LT_LST[Strategy]=$D280)*(LT_LST[DTE/WTE]=$E280)*(LT_LST[Symbol]=$I280))),"-")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IFERROR(IF($P281="","",_xlfn._xlws.FILTER(LT_LST[Lot],(LT_LST[Client Id.]=$C281)*(LT_LST[Strategy]=$D281)*(LT_LST[DTE/WTE]=$E281)*(LT_LST[Symbol]=$I281))),"-")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IFERROR(IF($P282="","",_xlfn._xlws.FILTER(LT_LST[Lot],(LT_LST[Client Id.]=$C282)*(LT_LST[Strategy]=$D282)*(LT_LST[DTE/WTE]=$E282)*(LT_LST[Symbol]=$I282))),"-")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IFERROR(IF($P283="","",_xlfn._xlws.FILTER(LT_LST[Lot],(LT_LST[Client Id.]=$C283)*(LT_LST[Strategy]=$D283)*(LT_LST[DTE/WTE]=$E283)*(LT_LST[Symbol]=$I283))),"-")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IFERROR(IF($P284="","",_xlfn._xlws.FILTER(LT_LST[Lot],(LT_LST[Client Id.]=$C284)*(LT_LST[Strategy]=$D284)*(LT_LST[DTE/WTE]=$E284)*(LT_LST[Symbol]=$I284))),"-")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IFERROR(IF($P285="","",_xlfn._xlws.FILTER(LT_LST[Lot],(LT_LST[Client Id.]=$C285)*(LT_LST[Strategy]=$D285)*(LT_LST[DTE/WTE]=$E285)*(LT_LST[Symbol]=$I285))),"-")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IFERROR(IF($P286="","",_xlfn._xlws.FILTER(LT_LST[Lot],(LT_LST[Client Id.]=$C286)*(LT_LST[Strategy]=$D286)*(LT_LST[DTE/WTE]=$E286)*(LT_LST[Symbol]=$I286))),"-")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IFERROR(IF($P287="","",_xlfn._xlws.FILTER(LT_LST[Lot],(LT_LST[Client Id.]=$C287)*(LT_LST[Strategy]=$D287)*(LT_LST[DTE/WTE]=$E287)*(LT_LST[Symbol]=$I287))),"-")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IFERROR(IF($P288="","",_xlfn._xlws.FILTER(LT_LST[Lot],(LT_LST[Client Id.]=$C288)*(LT_LST[Strategy]=$D288)*(LT_LST[DTE/WTE]=$E288)*(LT_LST[Symbol]=$I288))),"-")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IFERROR(IF($P289="","",_xlfn._xlws.FILTER(LT_LST[Lot],(LT_LST[Client Id.]=$C289)*(LT_LST[Strategy]=$D289)*(LT_LST[DTE/WTE]=$E289)*(LT_LST[Symbol]=$I289))),"-")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IFERROR(IF($P290="","",_xlfn._xlws.FILTER(LT_LST[Lot],(LT_LST[Client Id.]=$C290)*(LT_LST[Strategy]=$D290)*(LT_LST[DTE/WTE]=$E290)*(LT_LST[Symbol]=$I290))),"-")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IFERROR(IF($P291="","",_xlfn._xlws.FILTER(LT_LST[Lot],(LT_LST[Client Id.]=$C291)*(LT_LST[Strategy]=$D291)*(LT_LST[DTE/WTE]=$E291)*(LT_LST[Symbol]=$I291))),"-")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IFERROR(IF($P292="","",_xlfn._xlws.FILTER(LT_LST[Lot],(LT_LST[Client Id.]=$C292)*(LT_LST[Strategy]=$D292)*(LT_LST[DTE/WTE]=$E292)*(LT_LST[Symbol]=$I292))),"-")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IFERROR(IF($P293="","",_xlfn._xlws.FILTER(LT_LST[Lot],(LT_LST[Client Id.]=$C293)*(LT_LST[Strategy]=$D293)*(LT_LST[DTE/WTE]=$E293)*(LT_LST[Symbol]=$I293))),"-")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IFERROR(IF($P294="","",_xlfn._xlws.FILTER(LT_LST[Lot],(LT_LST[Client Id.]=$C294)*(LT_LST[Strategy]=$D294)*(LT_LST[DTE/WTE]=$E294)*(LT_LST[Symbol]=$I294))),"-")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IFERROR(IF($P295="","",_xlfn._xlws.FILTER(LT_LST[Lot],(LT_LST[Client Id.]=$C295)*(LT_LST[Strategy]=$D295)*(LT_LST[DTE/WTE]=$E295)*(LT_LST[Symbol]=$I295))),"-")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IFERROR(IF($P296="","",_xlfn._xlws.FILTER(LT_LST[Lot],(LT_LST[Client Id.]=$C296)*(LT_LST[Strategy]=$D296)*(LT_LST[DTE/WTE]=$E296)*(LT_LST[Symbol]=$I296))),"-")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IFERROR(IF($P297="","",_xlfn._xlws.FILTER(LT_LST[Lot],(LT_LST[Client Id.]=$C297)*(LT_LST[Strategy]=$D297)*(LT_LST[DTE/WTE]=$E297)*(LT_LST[Symbol]=$I297))),"-")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IFERROR(IF($P298="","",_xlfn._xlws.FILTER(LT_LST[Lot],(LT_LST[Client Id.]=$C298)*(LT_LST[Strategy]=$D298)*(LT_LST[DTE/WTE]=$E298)*(LT_LST[Symbol]=$I298))),"-")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IFERROR(IF($P299="","",_xlfn._xlws.FILTER(LT_LST[Lot],(LT_LST[Client Id.]=$C299)*(LT_LST[Strategy]=$D299)*(LT_LST[DTE/WTE]=$E299)*(LT_LST[Symbol]=$I299))),"-")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IFERROR(IF($P300="","",_xlfn._xlws.FILTER(LT_LST[Lot],(LT_LST[Client Id.]=$C300)*(LT_LST[Strategy]=$D300)*(LT_LST[DTE/WTE]=$E300)*(LT_LST[Symbol]=$I300))),"-")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IFERROR(IF($P301="","",_xlfn._xlws.FILTER(LT_LST[Lot],(LT_LST[Client Id.]=$C301)*(LT_LST[Strategy]=$D301)*(LT_LST[DTE/WTE]=$E301)*(LT_LST[Symbol]=$I301))),"-")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IFERROR(IF($P302="","",_xlfn._xlws.FILTER(LT_LST[Lot],(LT_LST[Client Id.]=$C302)*(LT_LST[Strategy]=$D302)*(LT_LST[DTE/WTE]=$E302)*(LT_LST[Symbol]=$I302))),"-")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IFERROR(IF($P303="","",_xlfn._xlws.FILTER(LT_LST[Lot],(LT_LST[Client Id.]=$C303)*(LT_LST[Strategy]=$D303)*(LT_LST[DTE/WTE]=$E303)*(LT_LST[Symbol]=$I303))),"-")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IFERROR(IF($P304="","",_xlfn._xlws.FILTER(LT_LST[Lot],(LT_LST[Client Id.]=$C304)*(LT_LST[Strategy]=$D304)*(LT_LST[DTE/WTE]=$E304)*(LT_LST[Symbol]=$I304))),"-")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IFERROR(IF($P305="","",_xlfn._xlws.FILTER(LT_LST[Lot],(LT_LST[Client Id.]=$C305)*(LT_LST[Strategy]=$D305)*(LT_LST[DTE/WTE]=$E305)*(LT_LST[Symbol]=$I305))),"-")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IFERROR(IF($P306="","",_xlfn._xlws.FILTER(LT_LST[Lot],(LT_LST[Client Id.]=$C306)*(LT_LST[Strategy]=$D306)*(LT_LST[DTE/WTE]=$E306)*(LT_LST[Symbol]=$I306))),"-")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IFERROR(IF($P307="","",_xlfn._xlws.FILTER(LT_LST[Lot],(LT_LST[Client Id.]=$C307)*(LT_LST[Strategy]=$D307)*(LT_LST[DTE/WTE]=$E307)*(LT_LST[Symbol]=$I307))),"-")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IFERROR(IF($P308="","",_xlfn._xlws.FILTER(LT_LST[Lot],(LT_LST[Client Id.]=$C308)*(LT_LST[Strategy]=$D308)*(LT_LST[DTE/WTE]=$E308)*(LT_LST[Symbol]=$I308))),"-")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IFERROR(IF($P309="","",_xlfn._xlws.FILTER(LT_LST[Lot],(LT_LST[Client Id.]=$C309)*(LT_LST[Strategy]=$D309)*(LT_LST[DTE/WTE]=$E309)*(LT_LST[Symbol]=$I309))),"-")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IFERROR(IF($P310="","",_xlfn._xlws.FILTER(LT_LST[Lot],(LT_LST[Client Id.]=$C310)*(LT_LST[Strategy]=$D310)*(LT_LST[DTE/WTE]=$E310)*(LT_LST[Symbol]=$I310))),"-")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IFERROR(IF($P311="","",_xlfn._xlws.FILTER(LT_LST[Lot],(LT_LST[Client Id.]=$C311)*(LT_LST[Strategy]=$D311)*(LT_LST[DTE/WTE]=$E311)*(LT_LST[Symbol]=$I311))),"-")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IFERROR(IF($P312="","",_xlfn._xlws.FILTER(LT_LST[Lot],(LT_LST[Client Id.]=$C312)*(LT_LST[Strategy]=$D312)*(LT_LST[DTE/WTE]=$E312)*(LT_LST[Symbol]=$I312))),"-")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IFERROR(IF($P313="","",_xlfn._xlws.FILTER(LT_LST[Lot],(LT_LST[Client Id.]=$C313)*(LT_LST[Strategy]=$D313)*(LT_LST[DTE/WTE]=$E313)*(LT_LST[Symbol]=$I313))),"-")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IFERROR(IF($P314="","",_xlfn._xlws.FILTER(LT_LST[Lot],(LT_LST[Client Id.]=$C314)*(LT_LST[Strategy]=$D314)*(LT_LST[DTE/WTE]=$E314)*(LT_LST[Symbol]=$I314))),"-")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IFERROR(IF($P315="","",_xlfn._xlws.FILTER(LT_LST[Lot],(LT_LST[Client Id.]=$C315)*(LT_LST[Strategy]=$D315)*(LT_LST[DTE/WTE]=$E315)*(LT_LST[Symbol]=$I315))),"-")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IFERROR(IF($P316="","",_xlfn._xlws.FILTER(LT_LST[Lot],(LT_LST[Client Id.]=$C316)*(LT_LST[Strategy]=$D316)*(LT_LST[DTE/WTE]=$E316)*(LT_LST[Symbol]=$I316))),"-")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IFERROR(IF($P317="","",_xlfn._xlws.FILTER(LT_LST[Lot],(LT_LST[Client Id.]=$C317)*(LT_LST[Strategy]=$D317)*(LT_LST[DTE/WTE]=$E317)*(LT_LST[Symbol]=$I317))),"-")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IFERROR(IF($P318="","",_xlfn._xlws.FILTER(LT_LST[Lot],(LT_LST[Client Id.]=$C318)*(LT_LST[Strategy]=$D318)*(LT_LST[DTE/WTE]=$E318)*(LT_LST[Symbol]=$I318))),"-")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IFERROR(IF($P319="","",_xlfn._xlws.FILTER(LT_LST[Lot],(LT_LST[Client Id.]=$C319)*(LT_LST[Strategy]=$D319)*(LT_LST[DTE/WTE]=$E319)*(LT_LST[Symbol]=$I319))),"-")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IFERROR(IF($P320="","",_xlfn._xlws.FILTER(LT_LST[Lot],(LT_LST[Client Id.]=$C320)*(LT_LST[Strategy]=$D320)*(LT_LST[DTE/WTE]=$E320)*(LT_LST[Symbol]=$I320))),"-")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IFERROR(IF($P321="","",_xlfn._xlws.FILTER(LT_LST[Lot],(LT_LST[Client Id.]=$C321)*(LT_LST[Strategy]=$D321)*(LT_LST[DTE/WTE]=$E321)*(LT_LST[Symbol]=$I321))),"-")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IFERROR(IF($P322="","",_xlfn._xlws.FILTER(LT_LST[Lot],(LT_LST[Client Id.]=$C322)*(LT_LST[Strategy]=$D322)*(LT_LST[DTE/WTE]=$E322)*(LT_LST[Symbol]=$I322))),"-")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IFERROR(IF($P323="","",_xlfn._xlws.FILTER(LT_LST[Lot],(LT_LST[Client Id.]=$C323)*(LT_LST[Strategy]=$D323)*(LT_LST[DTE/WTE]=$E323)*(LT_LST[Symbol]=$I323))),"-")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IFERROR(IF($P324="","",_xlfn._xlws.FILTER(LT_LST[Lot],(LT_LST[Client Id.]=$C324)*(LT_LST[Strategy]=$D324)*(LT_LST[DTE/WTE]=$E324)*(LT_LST[Symbol]=$I324))),"-")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IFERROR(IF($P325="","",_xlfn._xlws.FILTER(LT_LST[Lot],(LT_LST[Client Id.]=$C325)*(LT_LST[Strategy]=$D325)*(LT_LST[DTE/WTE]=$E325)*(LT_LST[Symbol]=$I325))),"-")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IFERROR(IF($P326="","",_xlfn._xlws.FILTER(LT_LST[Lot],(LT_LST[Client Id.]=$C326)*(LT_LST[Strategy]=$D326)*(LT_LST[DTE/WTE]=$E326)*(LT_LST[Symbol]=$I326))),"-")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IFERROR(IF($P327="","",_xlfn._xlws.FILTER(LT_LST[Lot],(LT_LST[Client Id.]=$C327)*(LT_LST[Strategy]=$D327)*(LT_LST[DTE/WTE]=$E327)*(LT_LST[Symbol]=$I327))),"-")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IFERROR(IF($P328="","",_xlfn._xlws.FILTER(LT_LST[Lot],(LT_LST[Client Id.]=$C328)*(LT_LST[Strategy]=$D328)*(LT_LST[DTE/WTE]=$E328)*(LT_LST[Symbol]=$I328))),"-")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IFERROR(IF($P329="","",_xlfn._xlws.FILTER(LT_LST[Lot],(LT_LST[Client Id.]=$C329)*(LT_LST[Strategy]=$D329)*(LT_LST[DTE/WTE]=$E329)*(LT_LST[Symbol]=$I329))),"-")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IFERROR(IF($P330="","",_xlfn._xlws.FILTER(LT_LST[Lot],(LT_LST[Client Id.]=$C330)*(LT_LST[Strategy]=$D330)*(LT_LST[DTE/WTE]=$E330)*(LT_LST[Symbol]=$I330))),"-")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IFERROR(IF($P331="","",_xlfn._xlws.FILTER(LT_LST[Lot],(LT_LST[Client Id.]=$C331)*(LT_LST[Strategy]=$D331)*(LT_LST[DTE/WTE]=$E331)*(LT_LST[Symbol]=$I331))),"-")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IFERROR(IF($P332="","",_xlfn._xlws.FILTER(LT_LST[Lot],(LT_LST[Client Id.]=$C332)*(LT_LST[Strategy]=$D332)*(LT_LST[DTE/WTE]=$E332)*(LT_LST[Symbol]=$I332))),"-")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IFERROR(IF($P333="","",_xlfn._xlws.FILTER(LT_LST[Lot],(LT_LST[Client Id.]=$C333)*(LT_LST[Strategy]=$D333)*(LT_LST[DTE/WTE]=$E333)*(LT_LST[Symbol]=$I333))),"-")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IFERROR(IF($P334="","",_xlfn._xlws.FILTER(LT_LST[Lot],(LT_LST[Client Id.]=$C334)*(LT_LST[Strategy]=$D334)*(LT_LST[DTE/WTE]=$E334)*(LT_LST[Symbol]=$I334))),"-")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IFERROR(IF($P335="","",_xlfn._xlws.FILTER(LT_LST[Lot],(LT_LST[Client Id.]=$C335)*(LT_LST[Strategy]=$D335)*(LT_LST[DTE/WTE]=$E335)*(LT_LST[Symbol]=$I335))),"-")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IFERROR(IF($P336="","",_xlfn._xlws.FILTER(LT_LST[Lot],(LT_LST[Client Id.]=$C336)*(LT_LST[Strategy]=$D336)*(LT_LST[DTE/WTE]=$E336)*(LT_LST[Symbol]=$I336))),"-")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IFERROR(IF($P337="","",_xlfn._xlws.FILTER(LT_LST[Lot],(LT_LST[Client Id.]=$C337)*(LT_LST[Strategy]=$D337)*(LT_LST[DTE/WTE]=$E337)*(LT_LST[Symbol]=$I337))),"-")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IFERROR(IF($P338="","",_xlfn._xlws.FILTER(LT_LST[Lot],(LT_LST[Client Id.]=$C338)*(LT_LST[Strategy]=$D338)*(LT_LST[DTE/WTE]=$E338)*(LT_LST[Symbol]=$I338))),"-")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IFERROR(IF($P339="","",_xlfn._xlws.FILTER(LT_LST[Lot],(LT_LST[Client Id.]=$C339)*(LT_LST[Strategy]=$D339)*(LT_LST[DTE/WTE]=$E339)*(LT_LST[Symbol]=$I339))),"-")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IFERROR(IF($P340="","",_xlfn._xlws.FILTER(LT_LST[Lot],(LT_LST[Client Id.]=$C340)*(LT_LST[Strategy]=$D340)*(LT_LST[DTE/WTE]=$E340)*(LT_LST[Symbol]=$I340))),"-")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IFERROR(IF($P341="","",_xlfn._xlws.FILTER(LT_LST[Lot],(LT_LST[Client Id.]=$C341)*(LT_LST[Strategy]=$D341)*(LT_LST[DTE/WTE]=$E341)*(LT_LST[Symbol]=$I341))),"-")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IFERROR(IF($P342="","",_xlfn._xlws.FILTER(LT_LST[Lot],(LT_LST[Client Id.]=$C342)*(LT_LST[Strategy]=$D342)*(LT_LST[DTE/WTE]=$E342)*(LT_LST[Symbol]=$I342))),"-")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IFERROR(IF($P343="","",_xlfn._xlws.FILTER(LT_LST[Lot],(LT_LST[Client Id.]=$C343)*(LT_LST[Strategy]=$D343)*(LT_LST[DTE/WTE]=$E343)*(LT_LST[Symbol]=$I343))),"-")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IFERROR(IF($P344="","",_xlfn._xlws.FILTER(LT_LST[Lot],(LT_LST[Client Id.]=$C344)*(LT_LST[Strategy]=$D344)*(LT_LST[DTE/WTE]=$E344)*(LT_LST[Symbol]=$I344))),"-")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IFERROR(IF($P345="","",_xlfn._xlws.FILTER(LT_LST[Lot],(LT_LST[Client Id.]=$C345)*(LT_LST[Strategy]=$D345)*(LT_LST[DTE/WTE]=$E345)*(LT_LST[Symbol]=$I345))),"-")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IFERROR(IF($P346="","",_xlfn._xlws.FILTER(LT_LST[Lot],(LT_LST[Client Id.]=$C346)*(LT_LST[Strategy]=$D346)*(LT_LST[DTE/WTE]=$E346)*(LT_LST[Symbol]=$I346))),"-")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IFERROR(IF($P347="","",_xlfn._xlws.FILTER(LT_LST[Lot],(LT_LST[Client Id.]=$C347)*(LT_LST[Strategy]=$D347)*(LT_LST[DTE/WTE]=$E347)*(LT_LST[Symbol]=$I347))),"-")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IFERROR(IF($P348="","",_xlfn._xlws.FILTER(LT_LST[Lot],(LT_LST[Client Id.]=$C348)*(LT_LST[Strategy]=$D348)*(LT_LST[DTE/WTE]=$E348)*(LT_LST[Symbol]=$I348))),"-")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IFERROR(IF($P349="","",_xlfn._xlws.FILTER(LT_LST[Lot],(LT_LST[Client Id.]=$C349)*(LT_LST[Strategy]=$D349)*(LT_LST[DTE/WTE]=$E349)*(LT_LST[Symbol]=$I349))),"-")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IFERROR(IF($P350="","",_xlfn._xlws.FILTER(LT_LST[Lot],(LT_LST[Client Id.]=$C350)*(LT_LST[Strategy]=$D350)*(LT_LST[DTE/WTE]=$E350)*(LT_LST[Symbol]=$I350))),"-")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IFERROR(IF($P351="","",_xlfn._xlws.FILTER(LT_LST[Lot],(LT_LST[Client Id.]=$C351)*(LT_LST[Strategy]=$D351)*(LT_LST[DTE/WTE]=$E351)*(LT_LST[Symbol]=$I351))),"-")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IFERROR(IF($P352="","",_xlfn._xlws.FILTER(LT_LST[Lot],(LT_LST[Client Id.]=$C352)*(LT_LST[Strategy]=$D352)*(LT_LST[DTE/WTE]=$E352)*(LT_LST[Symbol]=$I352))),"-")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IFERROR(IF($P353="","",_xlfn._xlws.FILTER(LT_LST[Lot],(LT_LST[Client Id.]=$C353)*(LT_LST[Strategy]=$D353)*(LT_LST[DTE/WTE]=$E353)*(LT_LST[Symbol]=$I353))),"-")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IFERROR(IF($P354="","",_xlfn._xlws.FILTER(LT_LST[Lot],(LT_LST[Client Id.]=$C354)*(LT_LST[Strategy]=$D354)*(LT_LST[DTE/WTE]=$E354)*(LT_LST[Symbol]=$I354))),"-")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IFERROR(IF($P355="","",_xlfn._xlws.FILTER(LT_LST[Lot],(LT_LST[Client Id.]=$C355)*(LT_LST[Strategy]=$D355)*(LT_LST[DTE/WTE]=$E355)*(LT_LST[Symbol]=$I355))),"-")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IFERROR(IF($P356="","",_xlfn._xlws.FILTER(LT_LST[Lot],(LT_LST[Client Id.]=$C356)*(LT_LST[Strategy]=$D356)*(LT_LST[DTE/WTE]=$E356)*(LT_LST[Symbol]=$I356))),"-")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IFERROR(IF($P357="","",_xlfn._xlws.FILTER(LT_LST[Lot],(LT_LST[Client Id.]=$C357)*(LT_LST[Strategy]=$D357)*(LT_LST[DTE/WTE]=$E357)*(LT_LST[Symbol]=$I357))),"-")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IFERROR(IF($P358="","",_xlfn._xlws.FILTER(LT_LST[Lot],(LT_LST[Client Id.]=$C358)*(LT_LST[Strategy]=$D358)*(LT_LST[DTE/WTE]=$E358)*(LT_LST[Symbol]=$I358))),"-")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IFERROR(IF($P359="","",_xlfn._xlws.FILTER(LT_LST[Lot],(LT_LST[Client Id.]=$C359)*(LT_LST[Strategy]=$D359)*(LT_LST[DTE/WTE]=$E359)*(LT_LST[Symbol]=$I359))),"-")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IFERROR(IF($P360="","",_xlfn._xlws.FILTER(LT_LST[Lot],(LT_LST[Client Id.]=$C360)*(LT_LST[Strategy]=$D360)*(LT_LST[DTE/WTE]=$E360)*(LT_LST[Symbol]=$I360))),"-")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IFERROR(IF($P361="","",_xlfn._xlws.FILTER(LT_LST[Lot],(LT_LST[Client Id.]=$C361)*(LT_LST[Strategy]=$D361)*(LT_LST[DTE/WTE]=$E361)*(LT_LST[Symbol]=$I361))),"-")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IFERROR(IF($P362="","",_xlfn._xlws.FILTER(LT_LST[Lot],(LT_LST[Client Id.]=$C362)*(LT_LST[Strategy]=$D362)*(LT_LST[DTE/WTE]=$E362)*(LT_LST[Symbol]=$I362))),"-")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IFERROR(IF($P363="","",_xlfn._xlws.FILTER(LT_LST[Lot],(LT_LST[Client Id.]=$C363)*(LT_LST[Strategy]=$D363)*(LT_LST[DTE/WTE]=$E363)*(LT_LST[Symbol]=$I363))),"-")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IFERROR(IF($P364="","",_xlfn._xlws.FILTER(LT_LST[Lot],(LT_LST[Client Id.]=$C364)*(LT_LST[Strategy]=$D364)*(LT_LST[DTE/WTE]=$E364)*(LT_LST[Symbol]=$I364))),"-")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IFERROR(IF($P365="","",_xlfn._xlws.FILTER(LT_LST[Lot],(LT_LST[Client Id.]=$C365)*(LT_LST[Strategy]=$D365)*(LT_LST[DTE/WTE]=$E365)*(LT_LST[Symbol]=$I365))),"-")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IFERROR(IF($P366="","",_xlfn._xlws.FILTER(LT_LST[Lot],(LT_LST[Client Id.]=$C366)*(LT_LST[Strategy]=$D366)*(LT_LST[DTE/WTE]=$E366)*(LT_LST[Symbol]=$I366))),"-")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IFERROR(IF($P367="","",_xlfn._xlws.FILTER(LT_LST[Lot],(LT_LST[Client Id.]=$C367)*(LT_LST[Strategy]=$D367)*(LT_LST[DTE/WTE]=$E367)*(LT_LST[Symbol]=$I367))),"-")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IFERROR(IF($P368="","",_xlfn._xlws.FILTER(LT_LST[Lot],(LT_LST[Client Id.]=$C368)*(LT_LST[Strategy]=$D368)*(LT_LST[DTE/WTE]=$E368)*(LT_LST[Symbol]=$I368))),"-")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IFERROR(IF($P369="","",_xlfn._xlws.FILTER(LT_LST[Lot],(LT_LST[Client Id.]=$C369)*(LT_LST[Strategy]=$D369)*(LT_LST[DTE/WTE]=$E369)*(LT_LST[Symbol]=$I369))),"-")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IFERROR(IF($P370="","",_xlfn._xlws.FILTER(LT_LST[Lot],(LT_LST[Client Id.]=$C370)*(LT_LST[Strategy]=$D370)*(LT_LST[DTE/WTE]=$E370)*(LT_LST[Symbol]=$I370))),"-")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IFERROR(IF($P371="","",_xlfn._xlws.FILTER(LT_LST[Lot],(LT_LST[Client Id.]=$C371)*(LT_LST[Strategy]=$D371)*(LT_LST[DTE/WTE]=$E371)*(LT_LST[Symbol]=$I371))),"-")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IFERROR(IF($P372="","",_xlfn._xlws.FILTER(LT_LST[Lot],(LT_LST[Client Id.]=$C372)*(LT_LST[Strategy]=$D372)*(LT_LST[DTE/WTE]=$E372)*(LT_LST[Symbol]=$I372))),"-")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IFERROR(IF($P373="","",_xlfn._xlws.FILTER(LT_LST[Lot],(LT_LST[Client Id.]=$C373)*(LT_LST[Strategy]=$D373)*(LT_LST[DTE/WTE]=$E373)*(LT_LST[Symbol]=$I373))),"-")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IFERROR(IF($P374="","",_xlfn._xlws.FILTER(LT_LST[Lot],(LT_LST[Client Id.]=$C374)*(LT_LST[Strategy]=$D374)*(LT_LST[DTE/WTE]=$E374)*(LT_LST[Symbol]=$I374))),"-")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IFERROR(IF($P375="","",_xlfn._xlws.FILTER(LT_LST[Lot],(LT_LST[Client Id.]=$C375)*(LT_LST[Strategy]=$D375)*(LT_LST[DTE/WTE]=$E375)*(LT_LST[Symbol]=$I375))),"-")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IFERROR(IF($P376="","",_xlfn._xlws.FILTER(LT_LST[Lot],(LT_LST[Client Id.]=$C376)*(LT_LST[Strategy]=$D376)*(LT_LST[DTE/WTE]=$E376)*(LT_LST[Symbol]=$I376))),"-")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IFERROR(IF($P377="","",_xlfn._xlws.FILTER(LT_LST[Lot],(LT_LST[Client Id.]=$C377)*(LT_LST[Strategy]=$D377)*(LT_LST[DTE/WTE]=$E377)*(LT_LST[Symbol]=$I377))),"-")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IFERROR(IF($P378="","",_xlfn._xlws.FILTER(LT_LST[Lot],(LT_LST[Client Id.]=$C378)*(LT_LST[Strategy]=$D378)*(LT_LST[DTE/WTE]=$E378)*(LT_LST[Symbol]=$I378))),"-")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IFERROR(IF($P379="","",_xlfn._xlws.FILTER(LT_LST[Lot],(LT_LST[Client Id.]=$C379)*(LT_LST[Strategy]=$D379)*(LT_LST[DTE/WTE]=$E379)*(LT_LST[Symbol]=$I379))),"-")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IFERROR(IF($P380="","",_xlfn._xlws.FILTER(LT_LST[Lot],(LT_LST[Client Id.]=$C380)*(LT_LST[Strategy]=$D380)*(LT_LST[DTE/WTE]=$E380)*(LT_LST[Symbol]=$I380))),"-")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IFERROR(IF($P381="","",_xlfn._xlws.FILTER(LT_LST[Lot],(LT_LST[Client Id.]=$C381)*(LT_LST[Strategy]=$D381)*(LT_LST[DTE/WTE]=$E381)*(LT_LST[Symbol]=$I381))),"-")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IFERROR(IF($P382="","",_xlfn._xlws.FILTER(LT_LST[Lot],(LT_LST[Client Id.]=$C382)*(LT_LST[Strategy]=$D382)*(LT_LST[DTE/WTE]=$E382)*(LT_LST[Symbol]=$I382))),"-")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IFERROR(IF($P383="","",_xlfn._xlws.FILTER(LT_LST[Lot],(LT_LST[Client Id.]=$C383)*(LT_LST[Strategy]=$D383)*(LT_LST[DTE/WTE]=$E383)*(LT_LST[Symbol]=$I383))),"-")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IFERROR(IF($P384="","",_xlfn._xlws.FILTER(LT_LST[Lot],(LT_LST[Client Id.]=$C384)*(LT_LST[Strategy]=$D384)*(LT_LST[DTE/WTE]=$E384)*(LT_LST[Symbol]=$I384))),"-")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IFERROR(IF($P385="","",_xlfn._xlws.FILTER(LT_LST[Lot],(LT_LST[Client Id.]=$C385)*(LT_LST[Strategy]=$D385)*(LT_LST[DTE/WTE]=$E385)*(LT_LST[Symbol]=$I385))),"-")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IFERROR(IF($P386="","",_xlfn._xlws.FILTER(LT_LST[Lot],(LT_LST[Client Id.]=$C386)*(LT_LST[Strategy]=$D386)*(LT_LST[DTE/WTE]=$E386)*(LT_LST[Symbol]=$I386))),"-")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IFERROR(IF($P387="","",_xlfn._xlws.FILTER(LT_LST[Lot],(LT_LST[Client Id.]=$C387)*(LT_LST[Strategy]=$D387)*(LT_LST[DTE/WTE]=$E387)*(LT_LST[Symbol]=$I387))),"-")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IFERROR(IF($P388="","",_xlfn._xlws.FILTER(LT_LST[Lot],(LT_LST[Client Id.]=$C388)*(LT_LST[Strategy]=$D388)*(LT_LST[DTE/WTE]=$E388)*(LT_LST[Symbol]=$I388))),"-")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IFERROR(IF($P389="","",_xlfn._xlws.FILTER(LT_LST[Lot],(LT_LST[Client Id.]=$C389)*(LT_LST[Strategy]=$D389)*(LT_LST[DTE/WTE]=$E389)*(LT_LST[Symbol]=$I389))),"-")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IFERROR(IF($P390="","",_xlfn._xlws.FILTER(LT_LST[Lot],(LT_LST[Client Id.]=$C390)*(LT_LST[Strategy]=$D390)*(LT_LST[DTE/WTE]=$E390)*(LT_LST[Symbol]=$I390))),"-")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IFERROR(IF($P391="","",_xlfn._xlws.FILTER(LT_LST[Lot],(LT_LST[Client Id.]=$C391)*(LT_LST[Strategy]=$D391)*(LT_LST[DTE/WTE]=$E391)*(LT_LST[Symbol]=$I391))),"-")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IFERROR(IF($P392="","",_xlfn._xlws.FILTER(LT_LST[Lot],(LT_LST[Client Id.]=$C392)*(LT_LST[Strategy]=$D392)*(LT_LST[DTE/WTE]=$E392)*(LT_LST[Symbol]=$I392))),"-")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IFERROR(IF($P393="","",_xlfn._xlws.FILTER(LT_LST[Lot],(LT_LST[Client Id.]=$C393)*(LT_LST[Strategy]=$D393)*(LT_LST[DTE/WTE]=$E393)*(LT_LST[Symbol]=$I393))),"-")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IFERROR(IF($P394="","",_xlfn._xlws.FILTER(LT_LST[Lot],(LT_LST[Client Id.]=$C394)*(LT_LST[Strategy]=$D394)*(LT_LST[DTE/WTE]=$E394)*(LT_LST[Symbol]=$I394))),"-")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IFERROR(IF($P395="","",_xlfn._xlws.FILTER(LT_LST[Lot],(LT_LST[Client Id.]=$C395)*(LT_LST[Strategy]=$D395)*(LT_LST[DTE/WTE]=$E395)*(LT_LST[Symbol]=$I395))),"-")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IFERROR(IF($P396="","",_xlfn._xlws.FILTER(LT_LST[Lot],(LT_LST[Client Id.]=$C396)*(LT_LST[Strategy]=$D396)*(LT_LST[DTE/WTE]=$E396)*(LT_LST[Symbol]=$I396))),"-")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IFERROR(IF($P397="","",_xlfn._xlws.FILTER(LT_LST[Lot],(LT_LST[Client Id.]=$C397)*(LT_LST[Strategy]=$D397)*(LT_LST[DTE/WTE]=$E397)*(LT_LST[Symbol]=$I397))),"-")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IFERROR(IF($P398="","",_xlfn._xlws.FILTER(LT_LST[Lot],(LT_LST[Client Id.]=$C398)*(LT_LST[Strategy]=$D398)*(LT_LST[DTE/WTE]=$E398)*(LT_LST[Symbol]=$I398))),"-")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IFERROR(IF($P399="","",_xlfn._xlws.FILTER(LT_LST[Lot],(LT_LST[Client Id.]=$C399)*(LT_LST[Strategy]=$D399)*(LT_LST[DTE/WTE]=$E399)*(LT_LST[Symbol]=$I399))),"-")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IFERROR(IF($P400="","",_xlfn._xlws.FILTER(LT_LST[Lot],(LT_LST[Client Id.]=$C400)*(LT_LST[Strategy]=$D400)*(LT_LST[DTE/WTE]=$E400)*(LT_LST[Symbol]=$I400))),"-")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IFERROR(IF($P401="","",_xlfn._xlws.FILTER(LT_LST[Lot],(LT_LST[Client Id.]=$C401)*(LT_LST[Strategy]=$D401)*(LT_LST[DTE/WTE]=$E401)*(LT_LST[Symbol]=$I401))),"-")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IFERROR(IF($P402="","",_xlfn._xlws.FILTER(LT_LST[Lot],(LT_LST[Client Id.]=$C402)*(LT_LST[Strategy]=$D402)*(LT_LST[DTE/WTE]=$E402)*(LT_LST[Symbol]=$I402))),"-")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IFERROR(IF($P403="","",_xlfn._xlws.FILTER(LT_LST[Lot],(LT_LST[Client Id.]=$C403)*(LT_LST[Strategy]=$D403)*(LT_LST[DTE/WTE]=$E403)*(LT_LST[Symbol]=$I403))),"-")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IFERROR(IF($P404="","",_xlfn._xlws.FILTER(LT_LST[Lot],(LT_LST[Client Id.]=$C404)*(LT_LST[Strategy]=$D404)*(LT_LST[DTE/WTE]=$E404)*(LT_LST[Symbol]=$I404))),"-")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IFERROR(IF($P405="","",_xlfn._xlws.FILTER(LT_LST[Lot],(LT_LST[Client Id.]=$C405)*(LT_LST[Strategy]=$D405)*(LT_LST[DTE/WTE]=$E405)*(LT_LST[Symbol]=$I405))),"-")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IFERROR(IF($P406="","",_xlfn._xlws.FILTER(LT_LST[Lot],(LT_LST[Client Id.]=$C406)*(LT_LST[Strategy]=$D406)*(LT_LST[DTE/WTE]=$E406)*(LT_LST[Symbol]=$I406))),"-")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IFERROR(IF($P407="","",_xlfn._xlws.FILTER(LT_LST[Lot],(LT_LST[Client Id.]=$C407)*(LT_LST[Strategy]=$D407)*(LT_LST[DTE/WTE]=$E407)*(LT_LST[Symbol]=$I407))),"-")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IFERROR(IF($P408="","",_xlfn._xlws.FILTER(LT_LST[Lot],(LT_LST[Client Id.]=$C408)*(LT_LST[Strategy]=$D408)*(LT_LST[DTE/WTE]=$E408)*(LT_LST[Symbol]=$I408))),"-")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IFERROR(IF($P409="","",_xlfn._xlws.FILTER(LT_LST[Lot],(LT_LST[Client Id.]=$C409)*(LT_LST[Strategy]=$D409)*(LT_LST[DTE/WTE]=$E409)*(LT_LST[Symbol]=$I409))),"-")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IFERROR(IF($P410="","",_xlfn._xlws.FILTER(LT_LST[Lot],(LT_LST[Client Id.]=$C410)*(LT_LST[Strategy]=$D410)*(LT_LST[DTE/WTE]=$E410)*(LT_LST[Symbol]=$I410))),"-")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IFERROR(IF($P411="","",_xlfn._xlws.FILTER(LT_LST[Lot],(LT_LST[Client Id.]=$C411)*(LT_LST[Strategy]=$D411)*(LT_LST[DTE/WTE]=$E411)*(LT_LST[Symbol]=$I411))),"-")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IFERROR(IF($P412="","",_xlfn._xlws.FILTER(LT_LST[Lot],(LT_LST[Client Id.]=$C412)*(LT_LST[Strategy]=$D412)*(LT_LST[DTE/WTE]=$E412)*(LT_LST[Symbol]=$I412))),"-")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IFERROR(IF($P413="","",_xlfn._xlws.FILTER(LT_LST[Lot],(LT_LST[Client Id.]=$C413)*(LT_LST[Strategy]=$D413)*(LT_LST[DTE/WTE]=$E413)*(LT_LST[Symbol]=$I413))),"-")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IFERROR(IF($P414="","",_xlfn._xlws.FILTER(LT_LST[Lot],(LT_LST[Client Id.]=$C414)*(LT_LST[Strategy]=$D414)*(LT_LST[DTE/WTE]=$E414)*(LT_LST[Symbol]=$I414))),"-")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IFERROR(IF($P415="","",_xlfn._xlws.FILTER(LT_LST[Lot],(LT_LST[Client Id.]=$C415)*(LT_LST[Strategy]=$D415)*(LT_LST[DTE/WTE]=$E415)*(LT_LST[Symbol]=$I415))),"-")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IFERROR(IF($P416="","",_xlfn._xlws.FILTER(LT_LST[Lot],(LT_LST[Client Id.]=$C416)*(LT_LST[Strategy]=$D416)*(LT_LST[DTE/WTE]=$E416)*(LT_LST[Symbol]=$I416))),"-")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IFERROR(IF($P417="","",_xlfn._xlws.FILTER(LT_LST[Lot],(LT_LST[Client Id.]=$C417)*(LT_LST[Strategy]=$D417)*(LT_LST[DTE/WTE]=$E417)*(LT_LST[Symbol]=$I417))),"-")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IFERROR(IF($P418="","",_xlfn._xlws.FILTER(LT_LST[Lot],(LT_LST[Client Id.]=$C418)*(LT_LST[Strategy]=$D418)*(LT_LST[DTE/WTE]=$E418)*(LT_LST[Symbol]=$I418))),"-")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IFERROR(IF($P419="","",_xlfn._xlws.FILTER(LT_LST[Lot],(LT_LST[Client Id.]=$C419)*(LT_LST[Strategy]=$D419)*(LT_LST[DTE/WTE]=$E419)*(LT_LST[Symbol]=$I419))),"-")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IFERROR(IF($P420="","",_xlfn._xlws.FILTER(LT_LST[Lot],(LT_LST[Client Id.]=$C420)*(LT_LST[Strategy]=$D420)*(LT_LST[DTE/WTE]=$E420)*(LT_LST[Symbol]=$I420))),"-")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IFERROR(IF($P421="","",_xlfn._xlws.FILTER(LT_LST[Lot],(LT_LST[Client Id.]=$C421)*(LT_LST[Strategy]=$D421)*(LT_LST[DTE/WTE]=$E421)*(LT_LST[Symbol]=$I421))),"-")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IFERROR(IF($P422="","",_xlfn._xlws.FILTER(LT_LST[Lot],(LT_LST[Client Id.]=$C422)*(LT_LST[Strategy]=$D422)*(LT_LST[DTE/WTE]=$E422)*(LT_LST[Symbol]=$I422))),"-")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IFERROR(IF($P423="","",_xlfn._xlws.FILTER(LT_LST[Lot],(LT_LST[Client Id.]=$C423)*(LT_LST[Strategy]=$D423)*(LT_LST[DTE/WTE]=$E423)*(LT_LST[Symbol]=$I423))),"-")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IFERROR(IF($P424="","",_xlfn._xlws.FILTER(LT_LST[Lot],(LT_LST[Client Id.]=$C424)*(LT_LST[Strategy]=$D424)*(LT_LST[DTE/WTE]=$E424)*(LT_LST[Symbol]=$I424))),"-")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IFERROR(IF($P425="","",_xlfn._xlws.FILTER(LT_LST[Lot],(LT_LST[Client Id.]=$C425)*(LT_LST[Strategy]=$D425)*(LT_LST[DTE/WTE]=$E425)*(LT_LST[Symbol]=$I425))),"-")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IFERROR(IF($P426="","",_xlfn._xlws.FILTER(LT_LST[Lot],(LT_LST[Client Id.]=$C426)*(LT_LST[Strategy]=$D426)*(LT_LST[DTE/WTE]=$E426)*(LT_LST[Symbol]=$I426))),"-")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IFERROR(IF($P427="","",_xlfn._xlws.FILTER(LT_LST[Lot],(LT_LST[Client Id.]=$C427)*(LT_LST[Strategy]=$D427)*(LT_LST[DTE/WTE]=$E427)*(LT_LST[Symbol]=$I427))),"-")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IFERROR(IF($P428="","",_xlfn._xlws.FILTER(LT_LST[Lot],(LT_LST[Client Id.]=$C428)*(LT_LST[Strategy]=$D428)*(LT_LST[DTE/WTE]=$E428)*(LT_LST[Symbol]=$I428))),"-")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IFERROR(IF($P429="","",_xlfn._xlws.FILTER(LT_LST[Lot],(LT_LST[Client Id.]=$C429)*(LT_LST[Strategy]=$D429)*(LT_LST[DTE/WTE]=$E429)*(LT_LST[Symbol]=$I429))),"-")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IFERROR(IF($P430="","",_xlfn._xlws.FILTER(LT_LST[Lot],(LT_LST[Client Id.]=$C430)*(LT_LST[Strategy]=$D430)*(LT_LST[DTE/WTE]=$E430)*(LT_LST[Symbol]=$I430))),"-")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IFERROR(IF($P431="","",_xlfn._xlws.FILTER(LT_LST[Lot],(LT_LST[Client Id.]=$C431)*(LT_LST[Strategy]=$D431)*(LT_LST[DTE/WTE]=$E431)*(LT_LST[Symbol]=$I431))),"-")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IFERROR(IF($P432="","",_xlfn._xlws.FILTER(LT_LST[Lot],(LT_LST[Client Id.]=$C432)*(LT_LST[Strategy]=$D432)*(LT_LST[DTE/WTE]=$E432)*(LT_LST[Symbol]=$I432))),"-")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IFERROR(IF($P433="","",_xlfn._xlws.FILTER(LT_LST[Lot],(LT_LST[Client Id.]=$C433)*(LT_LST[Strategy]=$D433)*(LT_LST[DTE/WTE]=$E433)*(LT_LST[Symbol]=$I433))),"-")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IFERROR(IF($P434="","",_xlfn._xlws.FILTER(LT_LST[Lot],(LT_LST[Client Id.]=$C434)*(LT_LST[Strategy]=$D434)*(LT_LST[DTE/WTE]=$E434)*(LT_LST[Symbol]=$I434))),"-")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IFERROR(IF($P435="","",_xlfn._xlws.FILTER(LT_LST[Lot],(LT_LST[Client Id.]=$C435)*(LT_LST[Strategy]=$D435)*(LT_LST[DTE/WTE]=$E435)*(LT_LST[Symbol]=$I435))),"-")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IFERROR(IF($P436="","",_xlfn._xlws.FILTER(LT_LST[Lot],(LT_LST[Client Id.]=$C436)*(LT_LST[Strategy]=$D436)*(LT_LST[DTE/WTE]=$E436)*(LT_LST[Symbol]=$I436))),"-")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IFERROR(IF($P437="","",_xlfn._xlws.FILTER(LT_LST[Lot],(LT_LST[Client Id.]=$C437)*(LT_LST[Strategy]=$D437)*(LT_LST[DTE/WTE]=$E437)*(LT_LST[Symbol]=$I437))),"-")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IFERROR(IF($P438="","",_xlfn._xlws.FILTER(LT_LST[Lot],(LT_LST[Client Id.]=$C438)*(LT_LST[Strategy]=$D438)*(LT_LST[DTE/WTE]=$E438)*(LT_LST[Symbol]=$I438))),"-")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46" priority="1">
      <formula>LEN(TRIM(C1))&gt;0</formula>
    </cfRule>
  </conditionalFormatting>
  <conditionalFormatting sqref="R2">
    <cfRule type="notContainsBlanks" dxfId="45" priority="2">
      <formula>LEN(TRIM(R2))&gt;0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D8D98-A44D-4FA0-ADB6-1839B0ED664B}">
  <sheetPr codeName="Sheet31"/>
  <dimension ref="A1:Q382"/>
  <sheetViews>
    <sheetView workbookViewId="0">
      <selection activeCell="N48" sqref="N48"/>
    </sheetView>
  </sheetViews>
  <sheetFormatPr defaultRowHeight="15" x14ac:dyDescent="0.25"/>
  <cols>
    <col min="1" max="1" width="11.5703125" bestFit="1" customWidth="1"/>
    <col min="3" max="3" width="11.5703125" bestFit="1" customWidth="1"/>
    <col min="4" max="4" width="13.28515625" bestFit="1" customWidth="1"/>
    <col min="5" max="5" width="9.28515625" bestFit="1" customWidth="1"/>
    <col min="6" max="6" width="10.5703125" bestFit="1" customWidth="1"/>
    <col min="7" max="7" width="17.5703125" bestFit="1" customWidth="1"/>
    <col min="8" max="8" width="9.5703125" bestFit="1" customWidth="1"/>
    <col min="9" max="9" width="10.85546875" bestFit="1" customWidth="1"/>
    <col min="10" max="10" width="10.42578125" style="50" bestFit="1" customWidth="1"/>
    <col min="11" max="12" width="12" style="75" bestFit="1" customWidth="1"/>
    <col min="13" max="13" width="6.7109375" bestFit="1" customWidth="1"/>
    <col min="14" max="14" width="11.85546875" bestFit="1" customWidth="1"/>
    <col min="15" max="15" width="5" bestFit="1" customWidth="1"/>
    <col min="16" max="16" width="4.7109375" style="77" bestFit="1" customWidth="1"/>
    <col min="17" max="17" width="4.42578125" bestFit="1" customWidth="1"/>
  </cols>
  <sheetData>
    <row r="1" spans="1:17" x14ac:dyDescent="0.25">
      <c r="A1" s="73" t="s">
        <v>227</v>
      </c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74" t="s">
        <v>128</v>
      </c>
      <c r="K2" s="76" t="s">
        <v>129</v>
      </c>
      <c r="L2" s="76" t="s">
        <v>130</v>
      </c>
      <c r="M2" s="66" t="s">
        <v>131</v>
      </c>
      <c r="N2" s="66" t="s">
        <v>132</v>
      </c>
      <c r="O2" s="66" t="s">
        <v>133</v>
      </c>
      <c r="P2" s="78" t="s">
        <v>134</v>
      </c>
      <c r="Q2" s="66" t="s">
        <v>199</v>
      </c>
    </row>
    <row r="3" spans="1:17" x14ac:dyDescent="0.25">
      <c r="C3" t="str">
        <f ca="1">IF(D3="","",$A$1)</f>
        <v>MOSTI23247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>
        <f ca="1"/>
        <v>1</v>
      </c>
      <c r="F3" t="str">
        <f ca="1"/>
        <v>Derivatives</v>
      </c>
      <c r="G3" t="str">
        <f ca="1"/>
        <v>NF_ATM DY_14:00</v>
      </c>
      <c r="H3" t="str">
        <f ca="1"/>
        <v>NSE</v>
      </c>
      <c r="I3" t="str">
        <f ca="1"/>
        <v>NIFTY</v>
      </c>
      <c r="J3" s="50">
        <f ca="1"/>
        <v>46125</v>
      </c>
      <c r="K3" s="75">
        <f ca="1"/>
        <v>0.58333333333333337</v>
      </c>
      <c r="L3" s="75">
        <f ca="1"/>
        <v>0.1423611111111111</v>
      </c>
      <c r="M3" t="str">
        <f ca="1"/>
        <v>ATM</v>
      </c>
      <c r="N3" t="str">
        <f ca="1"/>
        <v>CE&amp; PE Both</v>
      </c>
      <c r="O3" t="str">
        <f ca="1"/>
        <v>Sell</v>
      </c>
      <c r="P3" s="77">
        <f ca="1"/>
        <v>0.7</v>
      </c>
      <c r="Q3" cm="1">
        <f t="array" aca="1" ref="Q3" ca="1">IFERROR(IF($P3="","",_xlfn._xlws.FILTER(LT_LST[Lot],(LT_LST[Client Id.]=$C3)*(LT_LST[Strategy]=$D3)*(LT_LST[DTE/WTE]=$E3)*(LT_LST[Symbol]=$I3))),"-")</f>
        <v>1</v>
      </c>
    </row>
    <row r="4" spans="1:17" x14ac:dyDescent="0.25">
      <c r="C4" t="str">
        <f t="shared" ref="C4:C67" ca="1" si="0">IF(D4="","",$A$1)</f>
        <v>MOSTI23247</v>
      </c>
      <c r="D4" t="str">
        <f ca="1"/>
        <v>DYNAMIC SL</v>
      </c>
      <c r="E4">
        <f ca="1"/>
        <v>1</v>
      </c>
      <c r="F4" t="str">
        <f ca="1"/>
        <v>Derivatives</v>
      </c>
      <c r="G4" t="str">
        <f ca="1"/>
        <v>NF_ATM DY_14:15</v>
      </c>
      <c r="H4" t="str">
        <f ca="1"/>
        <v>NSE</v>
      </c>
      <c r="I4" t="str">
        <f ca="1"/>
        <v>NIFTY</v>
      </c>
      <c r="J4" s="50">
        <f ca="1"/>
        <v>46125</v>
      </c>
      <c r="K4" s="75">
        <f ca="1"/>
        <v>0.59375</v>
      </c>
      <c r="L4" s="75">
        <f ca="1"/>
        <v>0.1423611111111111</v>
      </c>
      <c r="M4" t="str">
        <f ca="1"/>
        <v>ATM</v>
      </c>
      <c r="N4" t="str">
        <f ca="1"/>
        <v>CE&amp; PE Both</v>
      </c>
      <c r="O4" t="str">
        <f ca="1"/>
        <v>Sell</v>
      </c>
      <c r="P4" s="77">
        <f ca="1"/>
        <v>0.7</v>
      </c>
      <c r="Q4" cm="1">
        <f t="array" aca="1" ref="Q4" ca="1">IFERROR(IF($P4="","",_xlfn._xlws.FILTER(LT_LST[Lot],(LT_LST[Client Id.]=$C4)*(LT_LST[Strategy]=$D4)*(LT_LST[DTE/WTE]=$E4)*(LT_LST[Symbol]=$I4))),"-")</f>
        <v>1</v>
      </c>
    </row>
    <row r="5" spans="1:17" x14ac:dyDescent="0.25">
      <c r="C5" t="str">
        <f t="shared" ca="1" si="0"/>
        <v>MOSTI23247</v>
      </c>
      <c r="D5" t="str">
        <f ca="1"/>
        <v>DYNAMIC SL</v>
      </c>
      <c r="E5">
        <f ca="1"/>
        <v>1</v>
      </c>
      <c r="F5" t="str">
        <f ca="1"/>
        <v>Derivatives</v>
      </c>
      <c r="G5" t="str">
        <f ca="1"/>
        <v>NF_ATM DY_14:30</v>
      </c>
      <c r="H5" t="str">
        <f ca="1"/>
        <v>NSE</v>
      </c>
      <c r="I5" t="str">
        <f ca="1"/>
        <v>NIFTY</v>
      </c>
      <c r="J5" s="50">
        <f ca="1"/>
        <v>46125</v>
      </c>
      <c r="K5" s="75">
        <f ca="1"/>
        <v>0.60416666666666663</v>
      </c>
      <c r="L5" s="75">
        <f ca="1"/>
        <v>0.1423611111111111</v>
      </c>
      <c r="M5" t="str">
        <f ca="1"/>
        <v>ATM</v>
      </c>
      <c r="N5" t="str">
        <f ca="1"/>
        <v>CE&amp; PE Both</v>
      </c>
      <c r="O5" t="str">
        <f ca="1"/>
        <v>Sell</v>
      </c>
      <c r="P5" s="77">
        <f ca="1"/>
        <v>0.7</v>
      </c>
      <c r="Q5" cm="1">
        <f t="array" aca="1" ref="Q5" ca="1">IFERROR(IF($P5="","",_xlfn._xlws.FILTER(LT_LST[Lot],(LT_LST[Client Id.]=$C5)*(LT_LST[Strategy]=$D5)*(LT_LST[DTE/WTE]=$E5)*(LT_LST[Symbol]=$I5))),"-")</f>
        <v>1</v>
      </c>
    </row>
    <row r="6" spans="1:17" x14ac:dyDescent="0.25">
      <c r="C6" t="str">
        <f t="shared" ca="1" si="0"/>
        <v>MOSTI23247</v>
      </c>
      <c r="D6" t="str">
        <f ca="1"/>
        <v>DYNAMIC SL</v>
      </c>
      <c r="E6">
        <f ca="1"/>
        <v>1</v>
      </c>
      <c r="F6" t="str">
        <f ca="1"/>
        <v>Derivatives</v>
      </c>
      <c r="G6" t="str">
        <f ca="1"/>
        <v>NF_ATM DY_14:45</v>
      </c>
      <c r="H6" t="str">
        <f ca="1"/>
        <v>NSE</v>
      </c>
      <c r="I6" t="str">
        <f ca="1"/>
        <v>NIFTY</v>
      </c>
      <c r="J6" s="50">
        <f ca="1"/>
        <v>46125</v>
      </c>
      <c r="K6" s="75">
        <f ca="1"/>
        <v>0.61458333333333337</v>
      </c>
      <c r="L6" s="75">
        <f ca="1"/>
        <v>0.1423611111111111</v>
      </c>
      <c r="M6" t="str">
        <f ca="1"/>
        <v>ATM</v>
      </c>
      <c r="N6" t="str">
        <f ca="1"/>
        <v>CE&amp; PE Both</v>
      </c>
      <c r="O6" t="str">
        <f ca="1"/>
        <v>Sell</v>
      </c>
      <c r="P6" s="77">
        <f ca="1"/>
        <v>0.7</v>
      </c>
      <c r="Q6" cm="1">
        <f t="array" aca="1" ref="Q6" ca="1">IFERROR(IF($P6="","",_xlfn._xlws.FILTER(LT_LST[Lot],(LT_LST[Client Id.]=$C6)*(LT_LST[Strategy]=$D6)*(LT_LST[DTE/WTE]=$E6)*(LT_LST[Symbol]=$I6))),"-")</f>
        <v>1</v>
      </c>
    </row>
    <row r="7" spans="1:17" x14ac:dyDescent="0.25">
      <c r="C7" t="str">
        <f t="shared" ca="1" si="0"/>
        <v>MOSTI23247</v>
      </c>
      <c r="D7" t="str">
        <f ca="1"/>
        <v>DYNAMIC SL</v>
      </c>
      <c r="E7">
        <f ca="1"/>
        <v>1</v>
      </c>
      <c r="F7" t="str">
        <f ca="1"/>
        <v>Derivatives</v>
      </c>
      <c r="G7" t="str">
        <f ca="1"/>
        <v>NF_ATM DY_15:00</v>
      </c>
      <c r="H7" t="str">
        <f ca="1"/>
        <v>NSE</v>
      </c>
      <c r="I7" t="str">
        <f ca="1"/>
        <v>NIFTY</v>
      </c>
      <c r="J7" s="50">
        <f ca="1"/>
        <v>46125</v>
      </c>
      <c r="K7" s="75">
        <f ca="1"/>
        <v>0.625</v>
      </c>
      <c r="L7" s="75">
        <f ca="1"/>
        <v>0.1423611111111111</v>
      </c>
      <c r="M7" t="str">
        <f ca="1"/>
        <v>ATM</v>
      </c>
      <c r="N7" t="str">
        <f ca="1"/>
        <v>CE&amp; PE Both</v>
      </c>
      <c r="O7" t="str">
        <f ca="1"/>
        <v>Sell</v>
      </c>
      <c r="P7" s="77">
        <f ca="1"/>
        <v>0.7</v>
      </c>
      <c r="Q7" cm="1">
        <f t="array" aca="1" ref="Q7" ca="1">IFERROR(IF($P7="","",_xlfn._xlws.FILTER(LT_LST[Lot],(LT_LST[Client Id.]=$C7)*(LT_LST[Strategy]=$D7)*(LT_LST[DTE/WTE]=$E7)*(LT_LST[Symbol]=$I7))),"-")</f>
        <v>1</v>
      </c>
    </row>
    <row r="8" spans="1:17" x14ac:dyDescent="0.25">
      <c r="C8" t="str">
        <f t="shared" ca="1" si="0"/>
        <v>MOSTI23247</v>
      </c>
      <c r="D8" t="str">
        <f ca="1"/>
        <v>DYNAMIC SL</v>
      </c>
      <c r="E8">
        <f ca="1"/>
        <v>1</v>
      </c>
      <c r="F8" t="str">
        <f ca="1"/>
        <v>Derivatives</v>
      </c>
      <c r="G8" t="str">
        <f ca="1"/>
        <v>NF_ATM DY_14:00</v>
      </c>
      <c r="H8" t="str">
        <f ca="1"/>
        <v>NSE</v>
      </c>
      <c r="I8" t="str">
        <f ca="1"/>
        <v>NIFTY</v>
      </c>
      <c r="J8" s="50">
        <f ca="1"/>
        <v>46125</v>
      </c>
      <c r="K8" s="75">
        <f ca="1"/>
        <v>0.58333333333333337</v>
      </c>
      <c r="L8" s="75">
        <f ca="1"/>
        <v>0.1423611111111111</v>
      </c>
      <c r="M8" t="str">
        <f ca="1"/>
        <v>ATM</v>
      </c>
      <c r="N8" t="str">
        <f ca="1"/>
        <v>CE&amp; PE Both</v>
      </c>
      <c r="O8" t="str">
        <f ca="1"/>
        <v>Sell</v>
      </c>
      <c r="P8" s="77">
        <f ca="1"/>
        <v>0.7</v>
      </c>
      <c r="Q8" cm="1">
        <f t="array" aca="1" ref="Q8" ca="1">IFERROR(IF($P8="","",_xlfn._xlws.FILTER(LT_LST[Lot],(LT_LST[Client Id.]=$C8)*(LT_LST[Strategy]=$D8)*(LT_LST[DTE/WTE]=$E8)*(LT_LST[Symbol]=$I8))),"-")</f>
        <v>1</v>
      </c>
    </row>
    <row r="9" spans="1:17" x14ac:dyDescent="0.25">
      <c r="C9" t="str">
        <f t="shared" ca="1" si="0"/>
        <v>MOSTI23247</v>
      </c>
      <c r="D9" t="str">
        <f ca="1"/>
        <v>DYNAMIC SL</v>
      </c>
      <c r="E9">
        <f ca="1"/>
        <v>1</v>
      </c>
      <c r="F9" t="str">
        <f ca="1"/>
        <v>Derivatives</v>
      </c>
      <c r="G9" t="str">
        <f ca="1"/>
        <v>NF_ATM DY_14:15</v>
      </c>
      <c r="H9" t="str">
        <f ca="1"/>
        <v>NSE</v>
      </c>
      <c r="I9" t="str">
        <f ca="1"/>
        <v>NIFTY</v>
      </c>
      <c r="J9" s="50">
        <f ca="1"/>
        <v>46125</v>
      </c>
      <c r="K9" s="75">
        <f ca="1"/>
        <v>0.59375</v>
      </c>
      <c r="L9" s="75">
        <f ca="1"/>
        <v>0.1423611111111111</v>
      </c>
      <c r="M9" t="str">
        <f ca="1"/>
        <v>ATM</v>
      </c>
      <c r="N9" t="str">
        <f ca="1"/>
        <v>CE&amp; PE Both</v>
      </c>
      <c r="O9" t="str">
        <f ca="1"/>
        <v>Sell</v>
      </c>
      <c r="P9" s="77">
        <f ca="1"/>
        <v>0.7</v>
      </c>
      <c r="Q9" cm="1">
        <f t="array" aca="1" ref="Q9" ca="1">IFERROR(IF($P9="","",_xlfn._xlws.FILTER(LT_LST[Lot],(LT_LST[Client Id.]=$C9)*(LT_LST[Strategy]=$D9)*(LT_LST[DTE/WTE]=$E9)*(LT_LST[Symbol]=$I9))),"-")</f>
        <v>1</v>
      </c>
    </row>
    <row r="10" spans="1:17" x14ac:dyDescent="0.25">
      <c r="C10" t="str">
        <f t="shared" ca="1" si="0"/>
        <v>MOSTI23247</v>
      </c>
      <c r="D10" t="str">
        <f ca="1"/>
        <v>DYNAMIC SL</v>
      </c>
      <c r="E10">
        <f ca="1"/>
        <v>1</v>
      </c>
      <c r="F10" t="str">
        <f ca="1"/>
        <v>Derivatives</v>
      </c>
      <c r="G10" t="str">
        <f ca="1"/>
        <v>NF_ATM DY_14:30</v>
      </c>
      <c r="H10" t="str">
        <f ca="1"/>
        <v>NSE</v>
      </c>
      <c r="I10" t="str">
        <f ca="1"/>
        <v>NIFTY</v>
      </c>
      <c r="J10" s="50">
        <f ca="1"/>
        <v>46125</v>
      </c>
      <c r="K10" s="75">
        <f ca="1"/>
        <v>0.60416666666666663</v>
      </c>
      <c r="L10" s="75">
        <f ca="1"/>
        <v>0.1423611111111111</v>
      </c>
      <c r="M10" t="str">
        <f ca="1"/>
        <v>ATM</v>
      </c>
      <c r="N10" t="str">
        <f ca="1"/>
        <v>CE&amp; PE Both</v>
      </c>
      <c r="O10" t="str">
        <f ca="1"/>
        <v>Sell</v>
      </c>
      <c r="P10" s="77">
        <f ca="1"/>
        <v>0.7</v>
      </c>
      <c r="Q10" cm="1">
        <f t="array" aca="1" ref="Q10" ca="1">IFERROR(IF($P10="","",_xlfn._xlws.FILTER(LT_LST[Lot],(LT_LST[Client Id.]=$C10)*(LT_LST[Strategy]=$D10)*(LT_LST[DTE/WTE]=$E10)*(LT_LST[Symbol]=$I10))),"-")</f>
        <v>1</v>
      </c>
    </row>
    <row r="11" spans="1:17" x14ac:dyDescent="0.25">
      <c r="C11" t="str">
        <f t="shared" ca="1" si="0"/>
        <v>MOSTI23247</v>
      </c>
      <c r="D11" t="str">
        <f ca="1"/>
        <v>DYNAMIC SL</v>
      </c>
      <c r="E11">
        <f ca="1"/>
        <v>1</v>
      </c>
      <c r="F11" t="str">
        <f ca="1"/>
        <v>Derivatives</v>
      </c>
      <c r="G11" t="str">
        <f ca="1"/>
        <v>NF_ATM DY_14:45</v>
      </c>
      <c r="H11" t="str">
        <f ca="1"/>
        <v>NSE</v>
      </c>
      <c r="I11" t="str">
        <f ca="1"/>
        <v>NIFTY</v>
      </c>
      <c r="J11" s="50">
        <f ca="1"/>
        <v>46125</v>
      </c>
      <c r="K11" s="75">
        <f ca="1"/>
        <v>0.61458333333333337</v>
      </c>
      <c r="L11" s="75">
        <f ca="1"/>
        <v>0.1423611111111111</v>
      </c>
      <c r="M11" t="str">
        <f ca="1"/>
        <v>ATM</v>
      </c>
      <c r="N11" t="str">
        <f ca="1"/>
        <v>CE&amp; PE Both</v>
      </c>
      <c r="O11" t="str">
        <f ca="1"/>
        <v>Sell</v>
      </c>
      <c r="P11" s="77">
        <f ca="1"/>
        <v>0.7</v>
      </c>
      <c r="Q11" cm="1">
        <f t="array" aca="1" ref="Q11" ca="1">IFERROR(IF($P11="","",_xlfn._xlws.FILTER(LT_LST[Lot],(LT_LST[Client Id.]=$C11)*(LT_LST[Strategy]=$D11)*(LT_LST[DTE/WTE]=$E11)*(LT_LST[Symbol]=$I11))),"-")</f>
        <v>1</v>
      </c>
    </row>
    <row r="12" spans="1:17" x14ac:dyDescent="0.25">
      <c r="C12" t="str">
        <f t="shared" ca="1" si="0"/>
        <v>MOSTI23247</v>
      </c>
      <c r="D12" t="str">
        <f ca="1"/>
        <v>DYNAMIC SL</v>
      </c>
      <c r="E12">
        <f ca="1"/>
        <v>1</v>
      </c>
      <c r="F12" t="str">
        <f ca="1"/>
        <v>Derivatives</v>
      </c>
      <c r="G12" t="str">
        <f ca="1"/>
        <v>NF_ATM DY_15:00</v>
      </c>
      <c r="H12" t="str">
        <f ca="1"/>
        <v>NSE</v>
      </c>
      <c r="I12" t="str">
        <f ca="1"/>
        <v>NIFTY</v>
      </c>
      <c r="J12" s="50">
        <f ca="1"/>
        <v>46125</v>
      </c>
      <c r="K12" s="75">
        <f ca="1"/>
        <v>0.625</v>
      </c>
      <c r="L12" s="75">
        <f ca="1"/>
        <v>0.1423611111111111</v>
      </c>
      <c r="M12" t="str">
        <f ca="1"/>
        <v>ATM</v>
      </c>
      <c r="N12" t="str">
        <f ca="1"/>
        <v>CE&amp; PE Both</v>
      </c>
      <c r="O12" t="str">
        <f ca="1"/>
        <v>Sell</v>
      </c>
      <c r="P12" s="77">
        <f ca="1"/>
        <v>0.7</v>
      </c>
      <c r="Q12" cm="1">
        <f t="array" aca="1" ref="Q12" ca="1">IFERROR(IF($P12="","",_xlfn._xlws.FILTER(LT_LST[Lot],(LT_LST[Client Id.]=$C12)*(LT_LST[Strategy]=$D12)*(LT_LST[DTE/WTE]=$E12)*(LT_LST[Symbol]=$I12))),"-")</f>
        <v>1</v>
      </c>
    </row>
    <row r="13" spans="1:17" x14ac:dyDescent="0.25">
      <c r="C13" t="str">
        <f t="shared" ca="1" si="0"/>
        <v>MOSTI23247</v>
      </c>
      <c r="D13" t="str">
        <f ca="1"/>
        <v>DYNAMIC SL</v>
      </c>
      <c r="E13">
        <f ca="1"/>
        <v>3</v>
      </c>
      <c r="F13" t="str">
        <f ca="1"/>
        <v>Derivatives</v>
      </c>
      <c r="G13" t="str">
        <f ca="1"/>
        <v>BNF_ATM DY_10:15</v>
      </c>
      <c r="H13" t="str">
        <f ca="1"/>
        <v>NSE</v>
      </c>
      <c r="I13" t="str">
        <f ca="1"/>
        <v>BANKNIFTY</v>
      </c>
      <c r="J13" s="50">
        <f ca="1"/>
        <v>46140</v>
      </c>
      <c r="K13" s="75">
        <f ca="1"/>
        <v>0.42708333333333331</v>
      </c>
      <c r="L13" s="75">
        <f ca="1"/>
        <v>0.1423611111111111</v>
      </c>
      <c r="M13" t="str">
        <f ca="1"/>
        <v>ATM</v>
      </c>
      <c r="N13" t="str">
        <f ca="1"/>
        <v>CE&amp; PE Both</v>
      </c>
      <c r="O13" t="str">
        <f ca="1"/>
        <v>Sell</v>
      </c>
      <c r="P13" s="77">
        <f ca="1"/>
        <v>0.3</v>
      </c>
      <c r="Q13" cm="1">
        <f t="array" aca="1" ref="Q13" ca="1">IFERROR(IF($P13="","",_xlfn._xlws.FILTER(LT_LST[Lot],(LT_LST[Client Id.]=$C13)*(LT_LST[Strategy]=$D13)*(LT_LST[DTE/WTE]=$E13)*(LT_LST[Symbol]=$I13))),"-")</f>
        <v>1</v>
      </c>
    </row>
    <row r="14" spans="1:17" x14ac:dyDescent="0.25">
      <c r="C14" t="str">
        <f t="shared" ca="1" si="0"/>
        <v>MOSTI23247</v>
      </c>
      <c r="D14" t="str">
        <f ca="1"/>
        <v>DYNAMIC SL</v>
      </c>
      <c r="E14">
        <f ca="1"/>
        <v>3</v>
      </c>
      <c r="F14" t="str">
        <f ca="1"/>
        <v>Derivatives</v>
      </c>
      <c r="G14" t="str">
        <f ca="1"/>
        <v>BNF_ATM DY_10:30</v>
      </c>
      <c r="H14" t="str">
        <f ca="1"/>
        <v>NSE</v>
      </c>
      <c r="I14" t="str">
        <f ca="1"/>
        <v>BANKNIFTY</v>
      </c>
      <c r="J14" s="50">
        <f ca="1"/>
        <v>46140</v>
      </c>
      <c r="K14" s="75">
        <f ca="1"/>
        <v>0.4375</v>
      </c>
      <c r="L14" s="75">
        <f ca="1"/>
        <v>0.1423611111111111</v>
      </c>
      <c r="M14" t="str">
        <f ca="1"/>
        <v>ATM</v>
      </c>
      <c r="N14" t="str">
        <f ca="1"/>
        <v>CE&amp; PE Both</v>
      </c>
      <c r="O14" t="str">
        <f ca="1"/>
        <v>Sell</v>
      </c>
      <c r="P14" s="77">
        <f ca="1"/>
        <v>0.3</v>
      </c>
      <c r="Q14" cm="1">
        <f t="array" aca="1" ref="Q14" ca="1">IFERROR(IF($P14="","",_xlfn._xlws.FILTER(LT_LST[Lot],(LT_LST[Client Id.]=$C14)*(LT_LST[Strategy]=$D14)*(LT_LST[DTE/WTE]=$E14)*(LT_LST[Symbol]=$I14))),"-")</f>
        <v>1</v>
      </c>
    </row>
    <row r="15" spans="1:17" x14ac:dyDescent="0.25">
      <c r="C15" t="str">
        <f t="shared" ca="1" si="0"/>
        <v>MOSTI23247</v>
      </c>
      <c r="D15" t="str">
        <f ca="1"/>
        <v>DYNAMIC SL</v>
      </c>
      <c r="E15">
        <f ca="1"/>
        <v>3</v>
      </c>
      <c r="F15" t="str">
        <f ca="1"/>
        <v>Derivatives</v>
      </c>
      <c r="G15" t="str">
        <f ca="1"/>
        <v>BNF_ATM DY_10:45</v>
      </c>
      <c r="H15" t="str">
        <f ca="1"/>
        <v>NSE</v>
      </c>
      <c r="I15" t="str">
        <f ca="1"/>
        <v>BANKNIFTY</v>
      </c>
      <c r="J15" s="50">
        <f ca="1"/>
        <v>46140</v>
      </c>
      <c r="K15" s="75">
        <f ca="1"/>
        <v>0.44791666666666669</v>
      </c>
      <c r="L15" s="75">
        <f ca="1"/>
        <v>0.1423611111111111</v>
      </c>
      <c r="M15" t="str">
        <f ca="1"/>
        <v>ATM</v>
      </c>
      <c r="N15" t="str">
        <f ca="1"/>
        <v>CE&amp; PE Both</v>
      </c>
      <c r="O15" t="str">
        <f ca="1"/>
        <v>Sell</v>
      </c>
      <c r="P15" s="77">
        <f ca="1"/>
        <v>0.3</v>
      </c>
      <c r="Q15" cm="1">
        <f t="array" aca="1" ref="Q15" ca="1">IFERROR(IF($P15="","",_xlfn._xlws.FILTER(LT_LST[Lot],(LT_LST[Client Id.]=$C15)*(LT_LST[Strategy]=$D15)*(LT_LST[DTE/WTE]=$E15)*(LT_LST[Symbol]=$I15))),"-")</f>
        <v>1</v>
      </c>
    </row>
    <row r="16" spans="1:17" x14ac:dyDescent="0.25">
      <c r="C16" t="str">
        <f t="shared" ca="1" si="0"/>
        <v>MOSTI23247</v>
      </c>
      <c r="D16" t="str">
        <f ca="1"/>
        <v>DYNAMIC SL</v>
      </c>
      <c r="E16">
        <f ca="1"/>
        <v>3</v>
      </c>
      <c r="F16" t="str">
        <f ca="1"/>
        <v>Derivatives</v>
      </c>
      <c r="G16" t="str">
        <f ca="1"/>
        <v>BNF_ITM1 DY_09:30</v>
      </c>
      <c r="H16" t="str">
        <f ca="1"/>
        <v>NSE</v>
      </c>
      <c r="I16" t="str">
        <f ca="1"/>
        <v>BANKNIFTY</v>
      </c>
      <c r="J16" s="50">
        <f ca="1"/>
        <v>46140</v>
      </c>
      <c r="K16" s="75">
        <f ca="1"/>
        <v>0.39583333333333331</v>
      </c>
      <c r="L16" s="75">
        <f ca="1"/>
        <v>0.1423611111111111</v>
      </c>
      <c r="M16" t="str">
        <f ca="1"/>
        <v>ITM1</v>
      </c>
      <c r="N16" t="str">
        <f ca="1"/>
        <v>CE&amp; PE Both</v>
      </c>
      <c r="O16" t="str">
        <f ca="1"/>
        <v>Sell</v>
      </c>
      <c r="P16" s="77">
        <f ca="1"/>
        <v>0.5</v>
      </c>
      <c r="Q16" cm="1">
        <f t="array" aca="1" ref="Q16" ca="1">IFERROR(IF($P16="","",_xlfn._xlws.FILTER(LT_LST[Lot],(LT_LST[Client Id.]=$C16)*(LT_LST[Strategy]=$D16)*(LT_LST[DTE/WTE]=$E16)*(LT_LST[Symbol]=$I16))),"-")</f>
        <v>1</v>
      </c>
    </row>
    <row r="17" spans="3:17" x14ac:dyDescent="0.25">
      <c r="C17" t="str">
        <f t="shared" ca="1" si="0"/>
        <v>MOSTI23247</v>
      </c>
      <c r="D17" t="str">
        <f ca="1"/>
        <v>DYNAMIC SL</v>
      </c>
      <c r="E17">
        <f ca="1"/>
        <v>3</v>
      </c>
      <c r="F17" t="str">
        <f ca="1"/>
        <v>Derivatives</v>
      </c>
      <c r="G17" t="str">
        <f ca="1"/>
        <v>BNF_ITM1 DY_09:45</v>
      </c>
      <c r="H17" t="str">
        <f ca="1"/>
        <v>NSE</v>
      </c>
      <c r="I17" t="str">
        <f ca="1"/>
        <v>BANKNIFTY</v>
      </c>
      <c r="J17" s="50">
        <f ca="1"/>
        <v>46140</v>
      </c>
      <c r="K17" s="75">
        <f ca="1"/>
        <v>0.40625</v>
      </c>
      <c r="L17" s="75">
        <f ca="1"/>
        <v>0.1423611111111111</v>
      </c>
      <c r="M17" t="str">
        <f ca="1"/>
        <v>ITM1</v>
      </c>
      <c r="N17" t="str">
        <f ca="1"/>
        <v>CE&amp; PE Both</v>
      </c>
      <c r="O17" t="str">
        <f ca="1"/>
        <v>Sell</v>
      </c>
      <c r="P17" s="77">
        <f ca="1"/>
        <v>0.5</v>
      </c>
      <c r="Q17" cm="1">
        <f t="array" aca="1" ref="Q17" ca="1">IFERROR(IF($P17="","",_xlfn._xlws.FILTER(LT_LST[Lot],(LT_LST[Client Id.]=$C17)*(LT_LST[Strategy]=$D17)*(LT_LST[DTE/WTE]=$E17)*(LT_LST[Symbol]=$I17))),"-")</f>
        <v>1</v>
      </c>
    </row>
    <row r="18" spans="3:17" x14ac:dyDescent="0.25">
      <c r="C18" t="str">
        <f t="shared" ca="1" si="0"/>
        <v>MOSTI23247</v>
      </c>
      <c r="D18" t="str">
        <f ca="1"/>
        <v>DYNAMIC SL</v>
      </c>
      <c r="E18">
        <f ca="1"/>
        <v>3</v>
      </c>
      <c r="F18" t="str">
        <f ca="1"/>
        <v>Derivatives</v>
      </c>
      <c r="G18" t="str">
        <f ca="1"/>
        <v>BNF_ITM1 DY_10:00</v>
      </c>
      <c r="H18" t="str">
        <f ca="1"/>
        <v>NSE</v>
      </c>
      <c r="I18" t="str">
        <f ca="1"/>
        <v>BANKNIFTY</v>
      </c>
      <c r="J18" s="50">
        <f ca="1"/>
        <v>46140</v>
      </c>
      <c r="K18" s="75">
        <f ca="1"/>
        <v>0.41666666666666669</v>
      </c>
      <c r="L18" s="75">
        <f ca="1"/>
        <v>0.1423611111111111</v>
      </c>
      <c r="M18" t="str">
        <f ca="1"/>
        <v>ITM1</v>
      </c>
      <c r="N18" t="str">
        <f ca="1"/>
        <v>CE&amp; PE Both</v>
      </c>
      <c r="O18" t="str">
        <f ca="1"/>
        <v>Sell</v>
      </c>
      <c r="P18" s="77">
        <f ca="1"/>
        <v>0.5</v>
      </c>
      <c r="Q18" cm="1">
        <f t="array" aca="1" ref="Q18" ca="1">IFERROR(IF($P18="","",_xlfn._xlws.FILTER(LT_LST[Lot],(LT_LST[Client Id.]=$C18)*(LT_LST[Strategy]=$D18)*(LT_LST[DTE/WTE]=$E18)*(LT_LST[Symbol]=$I18))),"-")</f>
        <v>1</v>
      </c>
    </row>
    <row r="19" spans="3:17" x14ac:dyDescent="0.25">
      <c r="C19" t="str">
        <f t="shared" ca="1" si="0"/>
        <v>MOSTI23247</v>
      </c>
      <c r="D19" t="str">
        <f ca="1"/>
        <v>DYNAMIC SL</v>
      </c>
      <c r="E19">
        <f ca="1"/>
        <v>0</v>
      </c>
      <c r="F19" t="str">
        <f ca="1"/>
        <v>Derivatives</v>
      </c>
      <c r="G19" t="str">
        <f ca="1"/>
        <v>SDT_ITM5_09:45</v>
      </c>
      <c r="H19" t="str">
        <f ca="1"/>
        <v>BSE</v>
      </c>
      <c r="I19" t="str">
        <f ca="1"/>
        <v>SENSEX</v>
      </c>
      <c r="J19" s="50">
        <f ca="1"/>
        <v>46128</v>
      </c>
      <c r="K19" s="75">
        <f ca="1"/>
        <v>0.40625</v>
      </c>
      <c r="L19" s="75">
        <f ca="1"/>
        <v>0.1423611111111111</v>
      </c>
      <c r="M19" t="str">
        <f ca="1"/>
        <v>ITM 5</v>
      </c>
      <c r="N19" t="str">
        <f ca="1"/>
        <v>CE&amp; PE Both</v>
      </c>
      <c r="O19" t="str">
        <f ca="1"/>
        <v>Sell</v>
      </c>
      <c r="P19" s="77">
        <f ca="1"/>
        <v>0.3</v>
      </c>
      <c r="Q19" cm="1">
        <f t="array" aca="1" ref="Q19" ca="1">IFERROR(IF($P19="","",_xlfn._xlws.FILTER(LT_LST[Lot],(LT_LST[Client Id.]=$C19)*(LT_LST[Strategy]=$D19)*(LT_LST[DTE/WTE]=$E19)*(LT_LST[Symbol]=$I19))),"-")</f>
        <v>2</v>
      </c>
    </row>
    <row r="20" spans="3:17" x14ac:dyDescent="0.25">
      <c r="C20" t="str">
        <f t="shared" ca="1" si="0"/>
        <v>MOSTI23247</v>
      </c>
      <c r="D20" t="str">
        <f ca="1"/>
        <v>DYNAMIC SL</v>
      </c>
      <c r="E20">
        <f ca="1"/>
        <v>0</v>
      </c>
      <c r="F20" t="str">
        <f ca="1"/>
        <v>Derivatives</v>
      </c>
      <c r="G20" t="str">
        <f ca="1"/>
        <v>SDT_ITM5_10:00</v>
      </c>
      <c r="H20" t="str">
        <f ca="1"/>
        <v>BSE</v>
      </c>
      <c r="I20" t="str">
        <f ca="1"/>
        <v>SENSEX</v>
      </c>
      <c r="J20" s="50">
        <f ca="1"/>
        <v>46128</v>
      </c>
      <c r="K20" s="75">
        <f ca="1"/>
        <v>0.41666666666666669</v>
      </c>
      <c r="L20" s="75">
        <f ca="1"/>
        <v>0.1423611111111111</v>
      </c>
      <c r="M20" t="str">
        <f ca="1"/>
        <v>ITM 5</v>
      </c>
      <c r="N20" t="str">
        <f ca="1"/>
        <v>CE&amp; PE Both</v>
      </c>
      <c r="O20" t="str">
        <f ca="1"/>
        <v>Sell</v>
      </c>
      <c r="P20" s="77">
        <f ca="1"/>
        <v>0.3</v>
      </c>
      <c r="Q20" cm="1">
        <f t="array" aca="1" ref="Q20" ca="1">IFERROR(IF($P20="","",_xlfn._xlws.FILTER(LT_LST[Lot],(LT_LST[Client Id.]=$C20)*(LT_LST[Strategy]=$D20)*(LT_LST[DTE/WTE]=$E20)*(LT_LST[Symbol]=$I20))),"-")</f>
        <v>2</v>
      </c>
    </row>
    <row r="21" spans="3:17" x14ac:dyDescent="0.25">
      <c r="C21" t="str">
        <f t="shared" ca="1" si="0"/>
        <v>MOSTI23247</v>
      </c>
      <c r="D21" t="str">
        <f ca="1"/>
        <v>DYNAMIC SL</v>
      </c>
      <c r="E21">
        <f ca="1"/>
        <v>0</v>
      </c>
      <c r="F21" t="str">
        <f ca="1"/>
        <v>Derivatives</v>
      </c>
      <c r="G21" t="str">
        <f ca="1"/>
        <v>SDT_ITM5_10:15</v>
      </c>
      <c r="H21" t="str">
        <f ca="1"/>
        <v>BSE</v>
      </c>
      <c r="I21" t="str">
        <f ca="1"/>
        <v>SENSEX</v>
      </c>
      <c r="J21" s="50">
        <f ca="1"/>
        <v>46128</v>
      </c>
      <c r="K21" s="75">
        <f ca="1"/>
        <v>0.42708333333333331</v>
      </c>
      <c r="L21" s="75">
        <f ca="1"/>
        <v>0.1423611111111111</v>
      </c>
      <c r="M21" t="str">
        <f ca="1"/>
        <v>ITM 5</v>
      </c>
      <c r="N21" t="str">
        <f ca="1"/>
        <v>CE&amp; PE Both</v>
      </c>
      <c r="O21" t="str">
        <f ca="1"/>
        <v>Sell</v>
      </c>
      <c r="P21" s="77">
        <f ca="1"/>
        <v>0.3</v>
      </c>
      <c r="Q21" cm="1">
        <f t="array" aca="1" ref="Q21" ca="1">IFERROR(IF($P21="","",_xlfn._xlws.FILTER(LT_LST[Lot],(LT_LST[Client Id.]=$C21)*(LT_LST[Strategy]=$D21)*(LT_LST[DTE/WTE]=$E21)*(LT_LST[Symbol]=$I21))),"-")</f>
        <v>2</v>
      </c>
    </row>
    <row r="22" spans="3:17" x14ac:dyDescent="0.25">
      <c r="C22" t="str">
        <f t="shared" ca="1" si="0"/>
        <v>MOSTI23247</v>
      </c>
      <c r="D22" t="str">
        <f ca="1"/>
        <v>DYNAMIC SL</v>
      </c>
      <c r="E22">
        <f ca="1"/>
        <v>0</v>
      </c>
      <c r="F22" t="str">
        <f ca="1"/>
        <v>Derivatives</v>
      </c>
      <c r="G22" t="str">
        <f ca="1"/>
        <v>SDT_ITM3_09:45</v>
      </c>
      <c r="H22" t="str">
        <f ca="1"/>
        <v>BSE</v>
      </c>
      <c r="I22" t="str">
        <f ca="1"/>
        <v>SENSEX</v>
      </c>
      <c r="J22" s="50">
        <f ca="1"/>
        <v>46128</v>
      </c>
      <c r="K22" s="75">
        <f ca="1"/>
        <v>0.40625</v>
      </c>
      <c r="L22" s="75">
        <f ca="1"/>
        <v>0.1423611111111111</v>
      </c>
      <c r="M22" t="str">
        <f ca="1"/>
        <v>ITM 3</v>
      </c>
      <c r="N22" t="str">
        <f ca="1"/>
        <v>CE&amp; PE Both</v>
      </c>
      <c r="O22" t="str">
        <f ca="1"/>
        <v>Sell</v>
      </c>
      <c r="P22" s="77">
        <f ca="1"/>
        <v>0.5</v>
      </c>
      <c r="Q22" cm="1">
        <f t="array" aca="1" ref="Q22" ca="1">IFERROR(IF($P22="","",_xlfn._xlws.FILTER(LT_LST[Lot],(LT_LST[Client Id.]=$C22)*(LT_LST[Strategy]=$D22)*(LT_LST[DTE/WTE]=$E22)*(LT_LST[Symbol]=$I22))),"-")</f>
        <v>2</v>
      </c>
    </row>
    <row r="23" spans="3:17" x14ac:dyDescent="0.25">
      <c r="C23" t="str">
        <f t="shared" ca="1" si="0"/>
        <v>MOSTI23247</v>
      </c>
      <c r="D23" t="str">
        <f ca="1"/>
        <v>DYNAMIC SL</v>
      </c>
      <c r="E23">
        <f ca="1"/>
        <v>0</v>
      </c>
      <c r="F23" t="str">
        <f ca="1"/>
        <v>Derivatives</v>
      </c>
      <c r="G23" t="str">
        <f ca="1"/>
        <v>SDT_ITM3_10:00</v>
      </c>
      <c r="H23" t="str">
        <f ca="1"/>
        <v>BSE</v>
      </c>
      <c r="I23" t="str">
        <f ca="1"/>
        <v>SENSEX</v>
      </c>
      <c r="J23" s="50">
        <f ca="1"/>
        <v>46128</v>
      </c>
      <c r="K23" s="75">
        <f ca="1"/>
        <v>0.41666666666666669</v>
      </c>
      <c r="L23" s="75">
        <f ca="1"/>
        <v>0.1423611111111111</v>
      </c>
      <c r="M23" t="str">
        <f ca="1"/>
        <v>ITM 3</v>
      </c>
      <c r="N23" t="str">
        <f ca="1"/>
        <v>CE&amp; PE Both</v>
      </c>
      <c r="O23" t="str">
        <f ca="1"/>
        <v>Sell</v>
      </c>
      <c r="P23" s="77">
        <f ca="1"/>
        <v>0.5</v>
      </c>
      <c r="Q23" cm="1">
        <f t="array" aca="1" ref="Q23" ca="1">IFERROR(IF($P23="","",_xlfn._xlws.FILTER(LT_LST[Lot],(LT_LST[Client Id.]=$C23)*(LT_LST[Strategy]=$D23)*(LT_LST[DTE/WTE]=$E23)*(LT_LST[Symbol]=$I23))),"-")</f>
        <v>2</v>
      </c>
    </row>
    <row r="24" spans="3:17" x14ac:dyDescent="0.25">
      <c r="C24" t="str">
        <f t="shared" ca="1" si="0"/>
        <v>MOSTI23247</v>
      </c>
      <c r="D24" t="str">
        <f ca="1"/>
        <v>DYNAMIC SL</v>
      </c>
      <c r="E24">
        <f ca="1"/>
        <v>0</v>
      </c>
      <c r="F24" t="str">
        <f ca="1"/>
        <v>Derivatives</v>
      </c>
      <c r="G24" t="str">
        <f ca="1"/>
        <v>SDT_ITM3_10:15</v>
      </c>
      <c r="H24" t="str">
        <f ca="1"/>
        <v>BSE</v>
      </c>
      <c r="I24" t="str">
        <f ca="1"/>
        <v>SENSEX</v>
      </c>
      <c r="J24" s="50">
        <f ca="1"/>
        <v>46128</v>
      </c>
      <c r="K24" s="75">
        <f ca="1"/>
        <v>0.42708333333333331</v>
      </c>
      <c r="L24" s="75">
        <f ca="1"/>
        <v>0.1423611111111111</v>
      </c>
      <c r="M24" t="str">
        <f ca="1"/>
        <v>ITM 3</v>
      </c>
      <c r="N24" t="str">
        <f ca="1"/>
        <v>CE&amp; PE Both</v>
      </c>
      <c r="O24" t="str">
        <f ca="1"/>
        <v>Sell</v>
      </c>
      <c r="P24" s="77">
        <f ca="1"/>
        <v>0.5</v>
      </c>
      <c r="Q24" cm="1">
        <f t="array" aca="1" ref="Q24" ca="1">IFERROR(IF($P24="","",_xlfn._xlws.FILTER(LT_LST[Lot],(LT_LST[Client Id.]=$C24)*(LT_LST[Strategy]=$D24)*(LT_LST[DTE/WTE]=$E24)*(LT_LST[Symbol]=$I24))),"-")</f>
        <v>2</v>
      </c>
    </row>
    <row r="25" spans="3:17" x14ac:dyDescent="0.25">
      <c r="C25" t="str">
        <f t="shared" si="0"/>
        <v/>
      </c>
      <c r="Q25" t="str" cm="1">
        <f t="array" ref="Q25">IFERROR(IF($P25="","",_xlfn._xlws.FILTER(LT_LST[Lot],(LT_LST[Client Id.]=$C25)*(LT_LST[Strategy]=$D25)*(LT_LST[DTE/WTE]=$E25)*(LT_LST[Symbol]=$I25))),"-")</f>
        <v/>
      </c>
    </row>
    <row r="26" spans="3:17" x14ac:dyDescent="0.25">
      <c r="C26" t="str">
        <f t="shared" si="0"/>
        <v/>
      </c>
      <c r="Q26" t="str" cm="1">
        <f t="array" ref="Q26">IFERROR(IF($P26="","",_xlfn._xlws.FILTER(LT_LST[Lot],(LT_LST[Client Id.]=$C26)*(LT_LST[Strategy]=$D26)*(LT_LST[DTE/WTE]=$E26)*(LT_LST[Symbol]=$I26))),"-")</f>
        <v/>
      </c>
    </row>
    <row r="27" spans="3:17" x14ac:dyDescent="0.25">
      <c r="C27" t="str">
        <f t="shared" si="0"/>
        <v/>
      </c>
      <c r="Q27" t="str" cm="1">
        <f t="array" ref="Q27">IFERROR(IF($P27="","",_xlfn._xlws.FILTER(LT_LST[Lot],(LT_LST[Client Id.]=$C27)*(LT_LST[Strategy]=$D27)*(LT_LST[DTE/WTE]=$E27)*(LT_LST[Symbol]=$I27))),"-")</f>
        <v/>
      </c>
    </row>
    <row r="28" spans="3:17" x14ac:dyDescent="0.25">
      <c r="C28" t="str">
        <f t="shared" si="0"/>
        <v/>
      </c>
      <c r="Q28" t="str" cm="1">
        <f t="array" ref="Q28">IFERROR(IF($P28="","",_xlfn._xlws.FILTER(LT_LST[Lot],(LT_LST[Client Id.]=$C28)*(LT_LST[Strategy]=$D28)*(LT_LST[DTE/WTE]=$E28)*(LT_LST[Symbol]=$I28))),"-")</f>
        <v/>
      </c>
    </row>
    <row r="29" spans="3:17" x14ac:dyDescent="0.25">
      <c r="C29" t="str">
        <f t="shared" si="0"/>
        <v/>
      </c>
      <c r="Q29" t="str" cm="1">
        <f t="array" ref="Q29">IFERROR(IF($P29="","",_xlfn._xlws.FILTER(LT_LST[Lot],(LT_LST[Client Id.]=$C29)*(LT_LST[Strategy]=$D29)*(LT_LST[DTE/WTE]=$E29)*(LT_LST[Symbol]=$I29))),"-")</f>
        <v/>
      </c>
    </row>
    <row r="30" spans="3:17" x14ac:dyDescent="0.25">
      <c r="C30" t="str">
        <f t="shared" si="0"/>
        <v/>
      </c>
      <c r="Q30" t="str" cm="1">
        <f t="array" ref="Q30">IFERROR(IF($P30="","",_xlfn._xlws.FILTER(LT_LST[Lot],(LT_LST[Client Id.]=$C30)*(LT_LST[Strategy]=$D30)*(LT_LST[DTE/WTE]=$E30)*(LT_LST[Symbol]=$I30))),"-")</f>
        <v/>
      </c>
    </row>
    <row r="31" spans="3:17" x14ac:dyDescent="0.25">
      <c r="C31" t="str">
        <f t="shared" si="0"/>
        <v/>
      </c>
      <c r="Q31" t="str" cm="1">
        <f t="array" ref="Q31">IFERROR(IF($P31="","",_xlfn._xlws.FILTER(LT_LST[Lot],(LT_LST[Client Id.]=$C31)*(LT_LST[Strategy]=$D31)*(LT_LST[DTE/WTE]=$E31)*(LT_LST[Symbol]=$I31))),"-")</f>
        <v/>
      </c>
    </row>
    <row r="32" spans="3:17" x14ac:dyDescent="0.25">
      <c r="C32" t="str">
        <f t="shared" si="0"/>
        <v/>
      </c>
      <c r="Q32" t="str" cm="1">
        <f t="array" ref="Q32">IFERROR(IF($P32="","",_xlfn._xlws.FILTER(LT_LST[Lot],(LT_LST[Client Id.]=$C32)*(LT_LST[Strategy]=$D32)*(LT_LST[DTE/WTE]=$E32)*(LT_LST[Symbol]=$I32))),"-")</f>
        <v/>
      </c>
    </row>
    <row r="33" spans="3:17" x14ac:dyDescent="0.25">
      <c r="C33" t="str">
        <f t="shared" si="0"/>
        <v/>
      </c>
      <c r="Q33" t="str" cm="1">
        <f t="array" ref="Q33">IFERROR(IF($P33="","",_xlfn._xlws.FILTER(LT_LST[Lot],(LT_LST[Client Id.]=$C33)*(LT_LST[Strategy]=$D33)*(LT_LST[DTE/WTE]=$E33)*(LT_LST[Symbol]=$I33))),"-")</f>
        <v/>
      </c>
    </row>
    <row r="34" spans="3:17" x14ac:dyDescent="0.25">
      <c r="C34" t="str">
        <f t="shared" si="0"/>
        <v/>
      </c>
      <c r="Q34" t="str" cm="1">
        <f t="array" ref="Q34">IFERROR(IF($P34="","",_xlfn._xlws.FILTER(LT_LST[Lot],(LT_LST[Client Id.]=$C34)*(LT_LST[Strategy]=$D34)*(LT_LST[DTE/WTE]=$E34)*(LT_LST[Symbol]=$I34))),"-")</f>
        <v/>
      </c>
    </row>
    <row r="35" spans="3:17" x14ac:dyDescent="0.25">
      <c r="C35" t="str">
        <f t="shared" si="0"/>
        <v/>
      </c>
      <c r="Q35" t="str" cm="1">
        <f t="array" ref="Q35">IFERROR(IF($P35="","",_xlfn._xlws.FILTER(LT_LST[Lot],(LT_LST[Client Id.]=$C35)*(LT_LST[Strategy]=$D35)*(LT_LST[DTE/WTE]=$E35)*(LT_LST[Symbol]=$I35))),"-")</f>
        <v/>
      </c>
    </row>
    <row r="36" spans="3:17" x14ac:dyDescent="0.25">
      <c r="C36" t="str">
        <f t="shared" si="0"/>
        <v/>
      </c>
      <c r="Q36" t="str" cm="1">
        <f t="array" ref="Q36">IFERROR(IF($P36="","",_xlfn._xlws.FILTER(LT_LST[Lot],(LT_LST[Client Id.]=$C36)*(LT_LST[Strategy]=$D36)*(LT_LST[DTE/WTE]=$E36)*(LT_LST[Symbol]=$I36))),"-")</f>
        <v/>
      </c>
    </row>
    <row r="37" spans="3:17" x14ac:dyDescent="0.25">
      <c r="C37" t="str">
        <f t="shared" si="0"/>
        <v/>
      </c>
      <c r="Q37" t="str" cm="1">
        <f t="array" ref="Q37">IFERROR(IF($P37="","",_xlfn._xlws.FILTER(LT_LST[Lot],(LT_LST[Client Id.]=$C37)*(LT_LST[Strategy]=$D37)*(LT_LST[DTE/WTE]=$E37)*(LT_LST[Symbol]=$I37))),"-")</f>
        <v/>
      </c>
    </row>
    <row r="38" spans="3:17" x14ac:dyDescent="0.25">
      <c r="C38" t="str">
        <f t="shared" si="0"/>
        <v/>
      </c>
      <c r="Q38" t="str" cm="1">
        <f t="array" ref="Q38">IFERROR(IF($P38="","",_xlfn._xlws.FILTER(LT_LST[Lot],(LT_LST[Client Id.]=$C38)*(LT_LST[Strategy]=$D38)*(LT_LST[DTE/WTE]=$E38)*(LT_LST[Symbol]=$I38))),"-")</f>
        <v/>
      </c>
    </row>
    <row r="39" spans="3:17" x14ac:dyDescent="0.25">
      <c r="C39" t="str">
        <f t="shared" si="0"/>
        <v/>
      </c>
      <c r="Q39" t="str" cm="1">
        <f t="array" ref="Q39">IFERROR(IF($P39="","",_xlfn._xlws.FILTER(LT_LST[Lot],(LT_LST[Client Id.]=$C39)*(LT_LST[Strategy]=$D39)*(LT_LST[DTE/WTE]=$E39)*(LT_LST[Symbol]=$I39))),"-")</f>
        <v/>
      </c>
    </row>
    <row r="40" spans="3:17" x14ac:dyDescent="0.25">
      <c r="C40" t="str">
        <f t="shared" si="0"/>
        <v/>
      </c>
      <c r="Q40" t="str" cm="1">
        <f t="array" ref="Q40">IFERROR(IF($P40="","",_xlfn._xlws.FILTER(LT_LST[Lot],(LT_LST[Client Id.]=$C40)*(LT_LST[Strategy]=$D40)*(LT_LST[DTE/WTE]=$E40)*(LT_LST[Symbol]=$I40))),"-")</f>
        <v/>
      </c>
    </row>
    <row r="41" spans="3:17" x14ac:dyDescent="0.25">
      <c r="C41" t="str">
        <f t="shared" si="0"/>
        <v/>
      </c>
      <c r="Q41" t="str" cm="1">
        <f t="array" ref="Q41">IFERROR(IF($P41="","",_xlfn._xlws.FILTER(LT_LST[Lot],(LT_LST[Client Id.]=$C41)*(LT_LST[Strategy]=$D41)*(LT_LST[DTE/WTE]=$E41)*(LT_LST[Symbol]=$I41))),"-")</f>
        <v/>
      </c>
    </row>
    <row r="42" spans="3:17" x14ac:dyDescent="0.25">
      <c r="C42" t="str">
        <f t="shared" si="0"/>
        <v/>
      </c>
      <c r="Q42" t="str" cm="1">
        <f t="array" ref="Q42">IFERROR(IF($P42="","",_xlfn._xlws.FILTER(LT_LST[Lot],(LT_LST[Client Id.]=$C42)*(LT_LST[Strategy]=$D42)*(LT_LST[DTE/WTE]=$E42)*(LT_LST[Symbol]=$I42))),"-")</f>
        <v/>
      </c>
    </row>
    <row r="43" spans="3:17" x14ac:dyDescent="0.25">
      <c r="C43" t="str">
        <f t="shared" si="0"/>
        <v/>
      </c>
      <c r="Q43" t="str" cm="1">
        <f t="array" ref="Q43">IFERROR(IF($P43="","",_xlfn._xlws.FILTER(LT_LST[Lot],(LT_LST[Client Id.]=$C43)*(LT_LST[Strategy]=$D43)*(LT_LST[DTE/WTE]=$E43)*(LT_LST[Symbol]=$I43))),"-")</f>
        <v/>
      </c>
    </row>
    <row r="44" spans="3:17" x14ac:dyDescent="0.25">
      <c r="C44" t="str">
        <f t="shared" si="0"/>
        <v/>
      </c>
      <c r="Q44" t="str" cm="1">
        <f t="array" ref="Q44">IFERROR(IF($P44="","",_xlfn._xlws.FILTER(LT_LST[Lot],(LT_LST[Client Id.]=$C44)*(LT_LST[Strategy]=$D44)*(LT_LST[DTE/WTE]=$E44)*(LT_LST[Symbol]=$I44))),"-")</f>
        <v/>
      </c>
    </row>
    <row r="45" spans="3:17" x14ac:dyDescent="0.25">
      <c r="C45" t="str">
        <f t="shared" si="0"/>
        <v/>
      </c>
      <c r="Q45" t="str" cm="1">
        <f t="array" ref="Q45">IFERROR(IF($P45="","",_xlfn._xlws.FILTER(LT_LST[Lot],(LT_LST[Client Id.]=$C45)*(LT_LST[Strategy]=$D45)*(LT_LST[DTE/WTE]=$E45)*(LT_LST[Symbol]=$I45))),"-")</f>
        <v/>
      </c>
    </row>
    <row r="46" spans="3:17" x14ac:dyDescent="0.25">
      <c r="C46" t="str">
        <f t="shared" si="0"/>
        <v/>
      </c>
      <c r="Q46" t="str" cm="1">
        <f t="array" ref="Q46">IFERROR(IF($P46="","",_xlfn._xlws.FILTER(LT_LST[Lot],(LT_LST[Client Id.]=$C46)*(LT_LST[Strategy]=$D46)*(LT_LST[DTE/WTE]=$E46)*(LT_LST[Symbol]=$I46))),"-")</f>
        <v/>
      </c>
    </row>
    <row r="47" spans="3:17" x14ac:dyDescent="0.25">
      <c r="C47" t="str">
        <f t="shared" si="0"/>
        <v/>
      </c>
      <c r="Q47" t="str" cm="1">
        <f t="array" ref="Q47">IFERROR(IF($P47="","",_xlfn._xlws.FILTER(LT_LST[Lot],(LT_LST[Client Id.]=$C47)*(LT_LST[Strategy]=$D47)*(LT_LST[DTE/WTE]=$E47)*(LT_LST[Symbol]=$I47))),"-")</f>
        <v/>
      </c>
    </row>
    <row r="48" spans="3:17" x14ac:dyDescent="0.25">
      <c r="C48" t="str">
        <f t="shared" si="0"/>
        <v/>
      </c>
      <c r="Q48" t="str" cm="1">
        <f t="array" ref="Q48">IFERROR(IF($P48="","",_xlfn._xlws.FILTER(LT_LST[Lot],(LT_LST[Client Id.]=$C48)*(LT_LST[Strategy]=$D48)*(LT_LST[DTE/WTE]=$E48)*(LT_LST[Symbol]=$I48))),"-")</f>
        <v/>
      </c>
    </row>
    <row r="49" spans="3:17" x14ac:dyDescent="0.25">
      <c r="C49" t="str">
        <f t="shared" si="0"/>
        <v/>
      </c>
      <c r="Q49" t="str" cm="1">
        <f t="array" ref="Q49">IFERROR(IF($P49="","",_xlfn._xlws.FILTER(LT_LST[Lot],(LT_LST[Client Id.]=$C49)*(LT_LST[Strategy]=$D49)*(LT_LST[DTE/WTE]=$E49)*(LT_LST[Symbol]=$I49))),"-")</f>
        <v/>
      </c>
    </row>
    <row r="50" spans="3:17" x14ac:dyDescent="0.25">
      <c r="C50" t="str">
        <f t="shared" si="0"/>
        <v/>
      </c>
      <c r="Q50" t="str" cm="1">
        <f t="array" ref="Q50">IFERROR(IF($P50="","",_xlfn._xlws.FILTER(LT_LST[Lot],(LT_LST[Client Id.]=$C50)*(LT_LST[Strategy]=$D50)*(LT_LST[DTE/WTE]=$E50)*(LT_LST[Symbol]=$I50))),"-")</f>
        <v/>
      </c>
    </row>
    <row r="51" spans="3:17" x14ac:dyDescent="0.25">
      <c r="C51" t="str">
        <f t="shared" si="0"/>
        <v/>
      </c>
      <c r="Q51" t="str" cm="1">
        <f t="array" ref="Q51">IFERROR(IF($P51="","",_xlfn._xlws.FILTER(LT_LST[Lot],(LT_LST[Client Id.]=$C51)*(LT_LST[Strategy]=$D51)*(LT_LST[DTE/WTE]=$E51)*(LT_LST[Symbol]=$I51))),"-")</f>
        <v/>
      </c>
    </row>
    <row r="52" spans="3:17" x14ac:dyDescent="0.25">
      <c r="C52" t="str">
        <f t="shared" si="0"/>
        <v/>
      </c>
      <c r="Q52" t="str" cm="1">
        <f t="array" ref="Q52">IFERROR(IF($P52="","",_xlfn._xlws.FILTER(LT_LST[Lot],(LT_LST[Client Id.]=$C52)*(LT_LST[Strategy]=$D52)*(LT_LST[DTE/WTE]=$E52)*(LT_LST[Symbol]=$I52))),"-")</f>
        <v/>
      </c>
    </row>
    <row r="53" spans="3:17" x14ac:dyDescent="0.25">
      <c r="C53" t="str">
        <f t="shared" si="0"/>
        <v/>
      </c>
      <c r="Q53" t="str" cm="1">
        <f t="array" ref="Q53">IFERROR(IF($P53="","",_xlfn._xlws.FILTER(LT_LST[Lot],(LT_LST[Client Id.]=$C53)*(LT_LST[Strategy]=$D53)*(LT_LST[DTE/WTE]=$E53)*(LT_LST[Symbol]=$I53))),"-")</f>
        <v/>
      </c>
    </row>
    <row r="54" spans="3:17" x14ac:dyDescent="0.25">
      <c r="C54" t="str">
        <f t="shared" si="0"/>
        <v/>
      </c>
      <c r="Q54" t="str" cm="1">
        <f t="array" ref="Q54">IFERROR(IF($P54="","",_xlfn._xlws.FILTER(LT_LST[Lot],(LT_LST[Client Id.]=$C54)*(LT_LST[Strategy]=$D54)*(LT_LST[DTE/WTE]=$E54)*(LT_LST[Symbol]=$I54))),"-")</f>
        <v/>
      </c>
    </row>
    <row r="55" spans="3:17" x14ac:dyDescent="0.25">
      <c r="C55" t="str">
        <f t="shared" si="0"/>
        <v/>
      </c>
      <c r="Q55" t="str" cm="1">
        <f t="array" ref="Q55">IFERROR(IF($P55="","",_xlfn._xlws.FILTER(LT_LST[Lot],(LT_LST[Client Id.]=$C55)*(LT_LST[Strategy]=$D55)*(LT_LST[DTE/WTE]=$E55)*(LT_LST[Symbol]=$I55))),"-")</f>
        <v/>
      </c>
    </row>
    <row r="56" spans="3:17" x14ac:dyDescent="0.25">
      <c r="C56" t="str">
        <f t="shared" si="0"/>
        <v/>
      </c>
      <c r="Q56" t="str" cm="1">
        <f t="array" ref="Q56">IFERROR(IF($P56="","",_xlfn._xlws.FILTER(LT_LST[Lot],(LT_LST[Client Id.]=$C56)*(LT_LST[Strategy]=$D56)*(LT_LST[DTE/WTE]=$E56)*(LT_LST[Symbol]=$I56))),"-")</f>
        <v/>
      </c>
    </row>
    <row r="57" spans="3:17" x14ac:dyDescent="0.25">
      <c r="C57" t="str">
        <f t="shared" si="0"/>
        <v/>
      </c>
      <c r="Q57" t="str" cm="1">
        <f t="array" ref="Q57">IFERROR(IF($P57="","",_xlfn._xlws.FILTER(LT_LST[Lot],(LT_LST[Client Id.]=$C57)*(LT_LST[Strategy]=$D57)*(LT_LST[DTE/WTE]=$E57)*(LT_LST[Symbol]=$I57))),"-")</f>
        <v/>
      </c>
    </row>
    <row r="58" spans="3:17" x14ac:dyDescent="0.25">
      <c r="C58" t="str">
        <f t="shared" si="0"/>
        <v/>
      </c>
      <c r="Q58" t="str" cm="1">
        <f t="array" ref="Q58">IFERROR(IF($P58="","",_xlfn._xlws.FILTER(LT_LST[Lot],(LT_LST[Client Id.]=$C58)*(LT_LST[Strategy]=$D58)*(LT_LST[DTE/WTE]=$E58)*(LT_LST[Symbol]=$I58))),"-")</f>
        <v/>
      </c>
    </row>
    <row r="59" spans="3:17" x14ac:dyDescent="0.25">
      <c r="C59" t="str">
        <f t="shared" si="0"/>
        <v/>
      </c>
      <c r="Q59" t="str" cm="1">
        <f t="array" ref="Q59">IFERROR(IF($P59="","",_xlfn._xlws.FILTER(LT_LST[Lot],(LT_LST[Client Id.]=$C59)*(LT_LST[Strategy]=$D59)*(LT_LST[DTE/WTE]=$E59)*(LT_LST[Symbol]=$I59))),"-")</f>
        <v/>
      </c>
    </row>
    <row r="60" spans="3:17" x14ac:dyDescent="0.25">
      <c r="C60" t="str">
        <f t="shared" si="0"/>
        <v/>
      </c>
      <c r="Q60" t="str" cm="1">
        <f t="array" ref="Q60">IFERROR(IF($P60="","",_xlfn._xlws.FILTER(LT_LST[Lot],(LT_LST[Client Id.]=$C60)*(LT_LST[Strategy]=$D60)*(LT_LST[DTE/WTE]=$E60)*(LT_LST[Symbol]=$I60))),"-")</f>
        <v/>
      </c>
    </row>
    <row r="61" spans="3:17" x14ac:dyDescent="0.25">
      <c r="C61" t="str">
        <f t="shared" si="0"/>
        <v/>
      </c>
      <c r="Q61" t="str" cm="1">
        <f t="array" ref="Q61">IFERROR(IF($P61="","",_xlfn._xlws.FILTER(LT_LST[Lot],(LT_LST[Client Id.]=$C61)*(LT_LST[Strategy]=$D61)*(LT_LST[DTE/WTE]=$E61)*(LT_LST[Symbol]=$I61))),"-")</f>
        <v/>
      </c>
    </row>
    <row r="62" spans="3:17" x14ac:dyDescent="0.25">
      <c r="C62" t="str">
        <f t="shared" si="0"/>
        <v/>
      </c>
      <c r="Q62" t="str" cm="1">
        <f t="array" ref="Q62">IFERROR(IF($P62="","",_xlfn._xlws.FILTER(LT_LST[Lot],(LT_LST[Client Id.]=$C62)*(LT_LST[Strategy]=$D62)*(LT_LST[DTE/WTE]=$E62)*(LT_LST[Symbol]=$I62))),"-")</f>
        <v/>
      </c>
    </row>
    <row r="63" spans="3:17" x14ac:dyDescent="0.25">
      <c r="C63" t="str">
        <f t="shared" si="0"/>
        <v/>
      </c>
      <c r="Q63" t="str" cm="1">
        <f t="array" ref="Q63">IFERROR(IF($P63="","",_xlfn._xlws.FILTER(LT_LST[Lot],(LT_LST[Client Id.]=$C63)*(LT_LST[Strategy]=$D63)*(LT_LST[DTE/WTE]=$E63)*(LT_LST[Symbol]=$I63))),"-")</f>
        <v/>
      </c>
    </row>
    <row r="64" spans="3:17" x14ac:dyDescent="0.25">
      <c r="C64" t="str">
        <f t="shared" si="0"/>
        <v/>
      </c>
      <c r="Q64" t="str" cm="1">
        <f t="array" ref="Q64">IFERROR(IF($P64="","",_xlfn._xlws.FILTER(LT_LST[Lot],(LT_LST[Client Id.]=$C64)*(LT_LST[Strategy]=$D64)*(LT_LST[DTE/WTE]=$E64)*(LT_LST[Symbol]=$I64))),"-")</f>
        <v/>
      </c>
    </row>
    <row r="65" spans="3:17" x14ac:dyDescent="0.25">
      <c r="C65" t="str">
        <f t="shared" si="0"/>
        <v/>
      </c>
      <c r="Q65" t="str" cm="1">
        <f t="array" ref="Q65">IFERROR(IF($P65="","",_xlfn._xlws.FILTER(LT_LST[Lot],(LT_LST[Client Id.]=$C65)*(LT_LST[Strategy]=$D65)*(LT_LST[DTE/WTE]=$E65)*(LT_LST[Symbol]=$I65))),"-")</f>
        <v/>
      </c>
    </row>
    <row r="66" spans="3:17" x14ac:dyDescent="0.25">
      <c r="C66" t="str">
        <f t="shared" si="0"/>
        <v/>
      </c>
      <c r="Q66" t="str" cm="1">
        <f t="array" ref="Q66">IFERROR(IF($P66="","",_xlfn._xlws.FILTER(LT_LST[Lot],(LT_LST[Client Id.]=$C66)*(LT_LST[Strategy]=$D66)*(LT_LST[DTE/WTE]=$E66)*(LT_LST[Symbol]=$I66))),"-")</f>
        <v/>
      </c>
    </row>
    <row r="67" spans="3:17" x14ac:dyDescent="0.25">
      <c r="C67" t="str">
        <f t="shared" si="0"/>
        <v/>
      </c>
      <c r="Q67" t="str" cm="1">
        <f t="array" ref="Q67">IFERROR(IF($P67="","",_xlfn._xlws.FILTER(LT_LST[Lot],(LT_LST[Client Id.]=$C67)*(LT_LST[Strategy]=$D67)*(LT_LST[DTE/WTE]=$E67)*(LT_LST[Symbol]=$I67))),"-")</f>
        <v/>
      </c>
    </row>
    <row r="68" spans="3:17" x14ac:dyDescent="0.25">
      <c r="C68" t="str">
        <f t="shared" ref="C68:C131" si="1">IF(D68="","",$A$1)</f>
        <v/>
      </c>
      <c r="Q68" t="str" cm="1">
        <f t="array" ref="Q68">IFERROR(IF($P68="","",_xlfn._xlws.FILTER(LT_LST[Lot],(LT_LST[Client Id.]=$C68)*(LT_LST[Strategy]=$D68)*(LT_LST[DTE/WTE]=$E68)*(LT_LST[Symbol]=$I68))),"-")</f>
        <v/>
      </c>
    </row>
    <row r="69" spans="3:17" x14ac:dyDescent="0.25">
      <c r="C69" t="str">
        <f t="shared" si="1"/>
        <v/>
      </c>
      <c r="Q69" t="str" cm="1">
        <f t="array" ref="Q69">IFERROR(IF($P69="","",_xlfn._xlws.FILTER(LT_LST[Lot],(LT_LST[Client Id.]=$C69)*(LT_LST[Strategy]=$D69)*(LT_LST[DTE/WTE]=$E69)*(LT_LST[Symbol]=$I69))),"-")</f>
        <v/>
      </c>
    </row>
    <row r="70" spans="3:17" x14ac:dyDescent="0.25">
      <c r="C70" t="str">
        <f t="shared" si="1"/>
        <v/>
      </c>
      <c r="Q70" t="str" cm="1">
        <f t="array" ref="Q70">IFERROR(IF($P70="","",_xlfn._xlws.FILTER(LT_LST[Lot],(LT_LST[Client Id.]=$C70)*(LT_LST[Strategy]=$D70)*(LT_LST[DTE/WTE]=$E70)*(LT_LST[Symbol]=$I70))),"-")</f>
        <v/>
      </c>
    </row>
    <row r="71" spans="3:17" x14ac:dyDescent="0.25">
      <c r="C71" t="str">
        <f t="shared" si="1"/>
        <v/>
      </c>
      <c r="Q71" t="str" cm="1">
        <f t="array" ref="Q71">IFERROR(IF($P71="","",_xlfn._xlws.FILTER(LT_LST[Lot],(LT_LST[Client Id.]=$C71)*(LT_LST[Strategy]=$D71)*(LT_LST[DTE/WTE]=$E71)*(LT_LST[Symbol]=$I71))),"-")</f>
        <v/>
      </c>
    </row>
    <row r="72" spans="3:17" x14ac:dyDescent="0.25">
      <c r="C72" t="str">
        <f t="shared" si="1"/>
        <v/>
      </c>
      <c r="Q72" t="str" cm="1">
        <f t="array" ref="Q72">IFERROR(IF($P72="","",_xlfn._xlws.FILTER(LT_LST[Lot],(LT_LST[Client Id.]=$C72)*(LT_LST[Strategy]=$D72)*(LT_LST[DTE/WTE]=$E72)*(LT_LST[Symbol]=$I72))),"-")</f>
        <v/>
      </c>
    </row>
    <row r="73" spans="3:17" x14ac:dyDescent="0.25">
      <c r="C73" t="str">
        <f t="shared" si="1"/>
        <v/>
      </c>
      <c r="Q73" t="str" cm="1">
        <f t="array" ref="Q73">IFERROR(IF($P73="","",_xlfn._xlws.FILTER(LT_LST[Lot],(LT_LST[Client Id.]=$C73)*(LT_LST[Strategy]=$D73)*(LT_LST[DTE/WTE]=$E73)*(LT_LST[Symbol]=$I73))),"-")</f>
        <v/>
      </c>
    </row>
    <row r="74" spans="3:17" x14ac:dyDescent="0.25">
      <c r="C74" t="str">
        <f t="shared" si="1"/>
        <v/>
      </c>
      <c r="Q74" t="str" cm="1">
        <f t="array" ref="Q74">IFERROR(IF($P74="","",_xlfn._xlws.FILTER(LT_LST[Lot],(LT_LST[Client Id.]=$C74)*(LT_LST[Strategy]=$D74)*(LT_LST[DTE/WTE]=$E74)*(LT_LST[Symbol]=$I74))),"-")</f>
        <v/>
      </c>
    </row>
    <row r="75" spans="3:17" x14ac:dyDescent="0.25">
      <c r="C75" t="str">
        <f t="shared" si="1"/>
        <v/>
      </c>
      <c r="Q75" t="str" cm="1">
        <f t="array" ref="Q75">IFERROR(IF($P75="","",_xlfn._xlws.FILTER(LT_LST[Lot],(LT_LST[Client Id.]=$C75)*(LT_LST[Strategy]=$D75)*(LT_LST[DTE/WTE]=$E75)*(LT_LST[Symbol]=$I75))),"-")</f>
        <v/>
      </c>
    </row>
    <row r="76" spans="3:17" x14ac:dyDescent="0.25">
      <c r="C76" t="str">
        <f t="shared" si="1"/>
        <v/>
      </c>
      <c r="Q76" t="str" cm="1">
        <f t="array" ref="Q76">IFERROR(IF($P76="","",_xlfn._xlws.FILTER(LT_LST[Lot],(LT_LST[Client Id.]=$C76)*(LT_LST[Strategy]=$D76)*(LT_LST[DTE/WTE]=$E76)*(LT_LST[Symbol]=$I76))),"-")</f>
        <v/>
      </c>
    </row>
    <row r="77" spans="3:17" x14ac:dyDescent="0.25">
      <c r="C77" t="str">
        <f t="shared" si="1"/>
        <v/>
      </c>
      <c r="Q77" t="str" cm="1">
        <f t="array" ref="Q77">IFERROR(IF($P77="","",_xlfn._xlws.FILTER(LT_LST[Lot],(LT_LST[Client Id.]=$C77)*(LT_LST[Strategy]=$D77)*(LT_LST[DTE/WTE]=$E77)*(LT_LST[Symbol]=$I77))),"-")</f>
        <v/>
      </c>
    </row>
    <row r="78" spans="3:17" x14ac:dyDescent="0.25">
      <c r="C78" t="str">
        <f t="shared" si="1"/>
        <v/>
      </c>
      <c r="Q78" t="str" cm="1">
        <f t="array" ref="Q78">IFERROR(IF($P78="","",_xlfn._xlws.FILTER(LT_LST[Lot],(LT_LST[Client Id.]=$C78)*(LT_LST[Strategy]=$D78)*(LT_LST[DTE/WTE]=$E78)*(LT_LST[Symbol]=$I78))),"-")</f>
        <v/>
      </c>
    </row>
    <row r="79" spans="3:17" x14ac:dyDescent="0.25">
      <c r="C79" t="str">
        <f t="shared" si="1"/>
        <v/>
      </c>
      <c r="Q79" t="str" cm="1">
        <f t="array" ref="Q79">IFERROR(IF($P79="","",_xlfn._xlws.FILTER(LT_LST[Lot],(LT_LST[Client Id.]=$C79)*(LT_LST[Strategy]=$D79)*(LT_LST[DTE/WTE]=$E79)*(LT_LST[Symbol]=$I79))),"-")</f>
        <v/>
      </c>
    </row>
    <row r="80" spans="3:17" x14ac:dyDescent="0.25">
      <c r="C80" t="str">
        <f t="shared" si="1"/>
        <v/>
      </c>
      <c r="Q80" t="str" cm="1">
        <f t="array" ref="Q80">IFERROR(IF($P80="","",_xlfn._xlws.FILTER(LT_LST[Lot],(LT_LST[Client Id.]=$C80)*(LT_LST[Strategy]=$D80)*(LT_LST[DTE/WTE]=$E80)*(LT_LST[Symbol]=$I80))),"-")</f>
        <v/>
      </c>
    </row>
    <row r="81" spans="3:17" x14ac:dyDescent="0.25">
      <c r="C81" t="str">
        <f t="shared" si="1"/>
        <v/>
      </c>
      <c r="Q81" t="str" cm="1">
        <f t="array" ref="Q81">IFERROR(IF($P81="","",_xlfn._xlws.FILTER(LT_LST[Lot],(LT_LST[Client Id.]=$C81)*(LT_LST[Strategy]=$D81)*(LT_LST[DTE/WTE]=$E81)*(LT_LST[Symbol]=$I81))),"-")</f>
        <v/>
      </c>
    </row>
    <row r="82" spans="3:17" x14ac:dyDescent="0.25">
      <c r="C82" t="str">
        <f t="shared" si="1"/>
        <v/>
      </c>
      <c r="Q82" t="str" cm="1">
        <f t="array" ref="Q82">IFERROR(IF($P82="","",_xlfn._xlws.FILTER(LT_LST[Lot],(LT_LST[Client Id.]=$C82)*(LT_LST[Strategy]=$D82)*(LT_LST[DTE/WTE]=$E82)*(LT_LST[Symbol]=$I82))),"-")</f>
        <v/>
      </c>
    </row>
    <row r="83" spans="3:17" x14ac:dyDescent="0.25">
      <c r="C83" t="str">
        <f t="shared" si="1"/>
        <v/>
      </c>
      <c r="Q83" t="str" cm="1">
        <f t="array" ref="Q83">IFERROR(IF($P83="","",_xlfn._xlws.FILTER(LT_LST[Lot],(LT_LST[Client Id.]=$C83)*(LT_LST[Strategy]=$D83)*(LT_LST[DTE/WTE]=$E83)*(LT_LST[Symbol]=$I83))),"-")</f>
        <v/>
      </c>
    </row>
    <row r="84" spans="3:17" x14ac:dyDescent="0.25">
      <c r="C84" t="str">
        <f t="shared" si="1"/>
        <v/>
      </c>
      <c r="Q84" t="str" cm="1">
        <f t="array" ref="Q84">IFERROR(IF($P84="","",_xlfn._xlws.FILTER(LT_LST[Lot],(LT_LST[Client Id.]=$C84)*(LT_LST[Strategy]=$D84)*(LT_LST[DTE/WTE]=$E84)*(LT_LST[Symbol]=$I84))),"-")</f>
        <v/>
      </c>
    </row>
    <row r="85" spans="3:17" x14ac:dyDescent="0.25">
      <c r="C85" t="str">
        <f t="shared" si="1"/>
        <v/>
      </c>
      <c r="Q85" t="str" cm="1">
        <f t="array" ref="Q85">IFERROR(IF($P85="","",_xlfn._xlws.FILTER(LT_LST[Lot],(LT_LST[Client Id.]=$C85)*(LT_LST[Strategy]=$D85)*(LT_LST[DTE/WTE]=$E85)*(LT_LST[Symbol]=$I85))),"-")</f>
        <v/>
      </c>
    </row>
    <row r="86" spans="3:17" x14ac:dyDescent="0.25">
      <c r="C86" t="str">
        <f t="shared" si="1"/>
        <v/>
      </c>
      <c r="Q86" t="str" cm="1">
        <f t="array" ref="Q86">IFERROR(IF($P86="","",_xlfn._xlws.FILTER(LT_LST[Lot],(LT_LST[Client Id.]=$C86)*(LT_LST[Strategy]=$D86)*(LT_LST[DTE/WTE]=$E86)*(LT_LST[Symbol]=$I86))),"-")</f>
        <v/>
      </c>
    </row>
    <row r="87" spans="3:17" x14ac:dyDescent="0.25">
      <c r="C87" t="str">
        <f t="shared" si="1"/>
        <v/>
      </c>
      <c r="Q87" t="str" cm="1">
        <f t="array" ref="Q87">IFERROR(IF($P87="","",_xlfn._xlws.FILTER(LT_LST[Lot],(LT_LST[Client Id.]=$C87)*(LT_LST[Strategy]=$D87)*(LT_LST[DTE/WTE]=$E87)*(LT_LST[Symbol]=$I87))),"-")</f>
        <v/>
      </c>
    </row>
    <row r="88" spans="3:17" x14ac:dyDescent="0.25">
      <c r="C88" t="str">
        <f t="shared" si="1"/>
        <v/>
      </c>
      <c r="Q88" t="str" cm="1">
        <f t="array" ref="Q88">IFERROR(IF($P88="","",_xlfn._xlws.FILTER(LT_LST[Lot],(LT_LST[Client Id.]=$C88)*(LT_LST[Strategy]=$D88)*(LT_LST[DTE/WTE]=$E88)*(LT_LST[Symbol]=$I88))),"-")</f>
        <v/>
      </c>
    </row>
    <row r="89" spans="3:17" x14ac:dyDescent="0.25">
      <c r="C89" t="str">
        <f t="shared" si="1"/>
        <v/>
      </c>
      <c r="Q89" t="str" cm="1">
        <f t="array" ref="Q89">IFERROR(IF($P89="","",_xlfn._xlws.FILTER(LT_LST[Lot],(LT_LST[Client Id.]=$C89)*(LT_LST[Strategy]=$D89)*(LT_LST[DTE/WTE]=$E89)*(LT_LST[Symbol]=$I89))),"-")</f>
        <v/>
      </c>
    </row>
    <row r="90" spans="3:17" x14ac:dyDescent="0.25">
      <c r="C90" t="str">
        <f t="shared" si="1"/>
        <v/>
      </c>
      <c r="Q90" t="str" cm="1">
        <f t="array" ref="Q90">IFERROR(IF($P90="","",_xlfn._xlws.FILTER(LT_LST[Lot],(LT_LST[Client Id.]=$C90)*(LT_LST[Strategy]=$D90)*(LT_LST[DTE/WTE]=$E90)*(LT_LST[Symbol]=$I90))),"-")</f>
        <v/>
      </c>
    </row>
    <row r="91" spans="3:17" x14ac:dyDescent="0.25">
      <c r="C91" t="str">
        <f t="shared" si="1"/>
        <v/>
      </c>
      <c r="Q91" t="str" cm="1">
        <f t="array" ref="Q91">IFERROR(IF($P91="","",_xlfn._xlws.FILTER(LT_LST[Lot],(LT_LST[Client Id.]=$C91)*(LT_LST[Strategy]=$D91)*(LT_LST[DTE/WTE]=$E91)*(LT_LST[Symbol]=$I91))),"-")</f>
        <v/>
      </c>
    </row>
    <row r="92" spans="3:17" x14ac:dyDescent="0.25">
      <c r="C92" t="str">
        <f t="shared" si="1"/>
        <v/>
      </c>
      <c r="Q92" t="str" cm="1">
        <f t="array" ref="Q92">IFERROR(IF($P92="","",_xlfn._xlws.FILTER(LT_LST[Lot],(LT_LST[Client Id.]=$C92)*(LT_LST[Strategy]=$D92)*(LT_LST[DTE/WTE]=$E92)*(LT_LST[Symbol]=$I92))),"-")</f>
        <v/>
      </c>
    </row>
    <row r="93" spans="3:17" x14ac:dyDescent="0.25">
      <c r="C93" t="str">
        <f t="shared" si="1"/>
        <v/>
      </c>
      <c r="Q93" t="str" cm="1">
        <f t="array" ref="Q93">IFERROR(IF($P93="","",_xlfn._xlws.FILTER(LT_LST[Lot],(LT_LST[Client Id.]=$C93)*(LT_LST[Strategy]=$D93)*(LT_LST[DTE/WTE]=$E93)*(LT_LST[Symbol]=$I93))),"-")</f>
        <v/>
      </c>
    </row>
    <row r="94" spans="3:17" x14ac:dyDescent="0.25">
      <c r="C94" t="str">
        <f t="shared" si="1"/>
        <v/>
      </c>
      <c r="Q94" t="str" cm="1">
        <f t="array" ref="Q94">IFERROR(IF($P94="","",_xlfn._xlws.FILTER(LT_LST[Lot],(LT_LST[Client Id.]=$C94)*(LT_LST[Strategy]=$D94)*(LT_LST[DTE/WTE]=$E94)*(LT_LST[Symbol]=$I94))),"-")</f>
        <v/>
      </c>
    </row>
    <row r="95" spans="3:17" x14ac:dyDescent="0.25">
      <c r="C95" t="str">
        <f t="shared" si="1"/>
        <v/>
      </c>
      <c r="Q95" t="str" cm="1">
        <f t="array" ref="Q95">IFERROR(IF($P95="","",_xlfn._xlws.FILTER(LT_LST[Lot],(LT_LST[Client Id.]=$C95)*(LT_LST[Strategy]=$D95)*(LT_LST[DTE/WTE]=$E95)*(LT_LST[Symbol]=$I95))),"-")</f>
        <v/>
      </c>
    </row>
    <row r="96" spans="3:17" x14ac:dyDescent="0.25">
      <c r="C96" t="str">
        <f t="shared" si="1"/>
        <v/>
      </c>
      <c r="Q96" t="str" cm="1">
        <f t="array" ref="Q96">IFERROR(IF($P96="","",_xlfn._xlws.FILTER(LT_LST[Lot],(LT_LST[Client Id.]=$C96)*(LT_LST[Strategy]=$D96)*(LT_LST[DTE/WTE]=$E96)*(LT_LST[Symbol]=$I96))),"-")</f>
        <v/>
      </c>
    </row>
    <row r="97" spans="3:17" x14ac:dyDescent="0.25">
      <c r="C97" t="str">
        <f t="shared" si="1"/>
        <v/>
      </c>
      <c r="Q97" t="str" cm="1">
        <f t="array" ref="Q97">IFERROR(IF($P97="","",_xlfn._xlws.FILTER(LT_LST[Lot],(LT_LST[Client Id.]=$C97)*(LT_LST[Strategy]=$D97)*(LT_LST[DTE/WTE]=$E97)*(LT_LST[Symbol]=$I97))),"-")</f>
        <v/>
      </c>
    </row>
    <row r="98" spans="3:17" x14ac:dyDescent="0.25">
      <c r="C98" t="str">
        <f t="shared" si="1"/>
        <v/>
      </c>
      <c r="Q98" t="str" cm="1">
        <f t="array" ref="Q98">IFERROR(IF($P98="","",_xlfn._xlws.FILTER(LT_LST[Lot],(LT_LST[Client Id.]=$C98)*(LT_LST[Strategy]=$D98)*(LT_LST[DTE/WTE]=$E98)*(LT_LST[Symbol]=$I98))),"-")</f>
        <v/>
      </c>
    </row>
    <row r="99" spans="3:17" x14ac:dyDescent="0.25">
      <c r="C99" t="str">
        <f t="shared" si="1"/>
        <v/>
      </c>
      <c r="Q99" t="str" cm="1">
        <f t="array" ref="Q99">IFERROR(IF($P99="","",_xlfn._xlws.FILTER(LT_LST[Lot],(LT_LST[Client Id.]=$C99)*(LT_LST[Strategy]=$D99)*(LT_LST[DTE/WTE]=$E99)*(LT_LST[Symbol]=$I99))),"-")</f>
        <v/>
      </c>
    </row>
    <row r="100" spans="3:17" x14ac:dyDescent="0.25">
      <c r="C100" t="str">
        <f t="shared" si="1"/>
        <v/>
      </c>
      <c r="Q100" t="str" cm="1">
        <f t="array" ref="Q100">IFERROR(IF($P100="","",_xlfn._xlws.FILTER(LT_LST[Lot],(LT_LST[Client Id.]=$C100)*(LT_LST[Strategy]=$D100)*(LT_LST[DTE/WTE]=$E100)*(LT_LST[Symbol]=$I100))),"-")</f>
        <v/>
      </c>
    </row>
    <row r="101" spans="3:17" x14ac:dyDescent="0.25">
      <c r="C101" t="str">
        <f t="shared" si="1"/>
        <v/>
      </c>
      <c r="Q101" t="str" cm="1">
        <f t="array" ref="Q101">IFERROR(IF($P101="","",_xlfn._xlws.FILTER(LT_LST[Lot],(LT_LST[Client Id.]=$C101)*(LT_LST[Strategy]=$D101)*(LT_LST[DTE/WTE]=$E101)*(LT_LST[Symbol]=$I101))),"-")</f>
        <v/>
      </c>
    </row>
    <row r="102" spans="3:17" x14ac:dyDescent="0.25">
      <c r="C102" t="str">
        <f t="shared" si="1"/>
        <v/>
      </c>
      <c r="Q102" t="str" cm="1">
        <f t="array" ref="Q102">IFERROR(IF($P102="","",_xlfn._xlws.FILTER(LT_LST[Lot],(LT_LST[Client Id.]=$C102)*(LT_LST[Strategy]=$D102)*(LT_LST[DTE/WTE]=$E102)*(LT_LST[Symbol]=$I102))),"-")</f>
        <v/>
      </c>
    </row>
    <row r="103" spans="3:17" x14ac:dyDescent="0.25">
      <c r="C103" t="str">
        <f t="shared" si="1"/>
        <v/>
      </c>
      <c r="Q103" t="str" cm="1">
        <f t="array" ref="Q103">IFERROR(IF($P103="","",_xlfn._xlws.FILTER(LT_LST[Lot],(LT_LST[Client Id.]=$C103)*(LT_LST[Strategy]=$D103)*(LT_LST[DTE/WTE]=$E103)*(LT_LST[Symbol]=$I103))),"-")</f>
        <v/>
      </c>
    </row>
    <row r="104" spans="3:17" x14ac:dyDescent="0.25">
      <c r="C104" t="str">
        <f t="shared" si="1"/>
        <v/>
      </c>
      <c r="Q104" t="str" cm="1">
        <f t="array" ref="Q104">IFERROR(IF($P104="","",_xlfn._xlws.FILTER(LT_LST[Lot],(LT_LST[Client Id.]=$C104)*(LT_LST[Strategy]=$D104)*(LT_LST[DTE/WTE]=$E104)*(LT_LST[Symbol]=$I104))),"-")</f>
        <v/>
      </c>
    </row>
    <row r="105" spans="3:17" x14ac:dyDescent="0.25">
      <c r="C105" t="str">
        <f t="shared" si="1"/>
        <v/>
      </c>
      <c r="Q105" t="str" cm="1">
        <f t="array" ref="Q105">IFERROR(IF($P105="","",_xlfn._xlws.FILTER(LT_LST[Lot],(LT_LST[Client Id.]=$C105)*(LT_LST[Strategy]=$D105)*(LT_LST[DTE/WTE]=$E105)*(LT_LST[Symbol]=$I105))),"-")</f>
        <v/>
      </c>
    </row>
    <row r="106" spans="3:17" x14ac:dyDescent="0.25">
      <c r="C106" t="str">
        <f t="shared" si="1"/>
        <v/>
      </c>
      <c r="Q106" t="str" cm="1">
        <f t="array" ref="Q106">IFERROR(IF($P106="","",_xlfn._xlws.FILTER(LT_LST[Lot],(LT_LST[Client Id.]=$C106)*(LT_LST[Strategy]=$D106)*(LT_LST[DTE/WTE]=$E106)*(LT_LST[Symbol]=$I106))),"-")</f>
        <v/>
      </c>
    </row>
    <row r="107" spans="3:17" x14ac:dyDescent="0.25">
      <c r="C107" t="str">
        <f t="shared" si="1"/>
        <v/>
      </c>
      <c r="Q107" t="str" cm="1">
        <f t="array" ref="Q107">IFERROR(IF($P107="","",_xlfn._xlws.FILTER(LT_LST[Lot],(LT_LST[Client Id.]=$C107)*(LT_LST[Strategy]=$D107)*(LT_LST[DTE/WTE]=$E107)*(LT_LST[Symbol]=$I107))),"-")</f>
        <v/>
      </c>
    </row>
    <row r="108" spans="3:17" x14ac:dyDescent="0.25">
      <c r="C108" t="str">
        <f t="shared" si="1"/>
        <v/>
      </c>
      <c r="Q108" t="str" cm="1">
        <f t="array" ref="Q108">IFERROR(IF($P108="","",_xlfn._xlws.FILTER(LT_LST[Lot],(LT_LST[Client Id.]=$C108)*(LT_LST[Strategy]=$D108)*(LT_LST[DTE/WTE]=$E108)*(LT_LST[Symbol]=$I108))),"-")</f>
        <v/>
      </c>
    </row>
    <row r="109" spans="3:17" x14ac:dyDescent="0.25">
      <c r="C109" t="str">
        <f t="shared" si="1"/>
        <v/>
      </c>
      <c r="Q109" t="str" cm="1">
        <f t="array" ref="Q109">IFERROR(IF($P109="","",_xlfn._xlws.FILTER(LT_LST[Lot],(LT_LST[Client Id.]=$C109)*(LT_LST[Strategy]=$D109)*(LT_LST[DTE/WTE]=$E109)*(LT_LST[Symbol]=$I109))),"-")</f>
        <v/>
      </c>
    </row>
    <row r="110" spans="3:17" x14ac:dyDescent="0.25">
      <c r="C110" t="str">
        <f t="shared" si="1"/>
        <v/>
      </c>
      <c r="Q110" t="str" cm="1">
        <f t="array" ref="Q110">IFERROR(IF($P110="","",_xlfn._xlws.FILTER(LT_LST[Lot],(LT_LST[Client Id.]=$C110)*(LT_LST[Strategy]=$D110)*(LT_LST[DTE/WTE]=$E110)*(LT_LST[Symbol]=$I110))),"-")</f>
        <v/>
      </c>
    </row>
    <row r="111" spans="3:17" x14ac:dyDescent="0.25">
      <c r="C111" t="str">
        <f t="shared" si="1"/>
        <v/>
      </c>
      <c r="Q111" t="str" cm="1">
        <f t="array" ref="Q111">IFERROR(IF($P111="","",_xlfn._xlws.FILTER(LT_LST[Lot],(LT_LST[Client Id.]=$C111)*(LT_LST[Strategy]=$D111)*(LT_LST[DTE/WTE]=$E111)*(LT_LST[Symbol]=$I111))),"-")</f>
        <v/>
      </c>
    </row>
    <row r="112" spans="3:17" x14ac:dyDescent="0.25">
      <c r="C112" t="str">
        <f t="shared" si="1"/>
        <v/>
      </c>
      <c r="Q112" t="str" cm="1">
        <f t="array" ref="Q112">IFERROR(IF($P112="","",_xlfn._xlws.FILTER(LT_LST[Lot],(LT_LST[Client Id.]=$C112)*(LT_LST[Strategy]=$D112)*(LT_LST[DTE/WTE]=$E112)*(LT_LST[Symbol]=$I112))),"-")</f>
        <v/>
      </c>
    </row>
    <row r="113" spans="3:17" x14ac:dyDescent="0.25">
      <c r="C113" t="str">
        <f t="shared" si="1"/>
        <v/>
      </c>
      <c r="Q113" t="str" cm="1">
        <f t="array" ref="Q113">IFERROR(IF($P113="","",_xlfn._xlws.FILTER(LT_LST[Lot],(LT_LST[Client Id.]=$C113)*(LT_LST[Strategy]=$D113)*(LT_LST[DTE/WTE]=$E113)*(LT_LST[Symbol]=$I113))),"-")</f>
        <v/>
      </c>
    </row>
    <row r="114" spans="3:17" x14ac:dyDescent="0.25">
      <c r="C114" t="str">
        <f t="shared" si="1"/>
        <v/>
      </c>
      <c r="Q114" t="str" cm="1">
        <f t="array" ref="Q114">IFERROR(IF($P114="","",_xlfn._xlws.FILTER(LT_LST[Lot],(LT_LST[Client Id.]=$C114)*(LT_LST[Strategy]=$D114)*(LT_LST[DTE/WTE]=$E114)*(LT_LST[Symbol]=$I114))),"-")</f>
        <v/>
      </c>
    </row>
    <row r="115" spans="3:17" x14ac:dyDescent="0.25">
      <c r="C115" t="str">
        <f t="shared" si="1"/>
        <v/>
      </c>
      <c r="Q115" t="str" cm="1">
        <f t="array" ref="Q115">IFERROR(IF($P115="","",_xlfn._xlws.FILTER(LT_LST[Lot],(LT_LST[Client Id.]=$C115)*(LT_LST[Strategy]=$D115)*(LT_LST[DTE/WTE]=$E115)*(LT_LST[Symbol]=$I115))),"-")</f>
        <v/>
      </c>
    </row>
    <row r="116" spans="3:17" x14ac:dyDescent="0.25">
      <c r="C116" t="str">
        <f t="shared" si="1"/>
        <v/>
      </c>
      <c r="Q116" t="str" cm="1">
        <f t="array" ref="Q116">IFERROR(IF($P116="","",_xlfn._xlws.FILTER(LT_LST[Lot],(LT_LST[Client Id.]=$C116)*(LT_LST[Strategy]=$D116)*(LT_LST[DTE/WTE]=$E116)*(LT_LST[Symbol]=$I116))),"-")</f>
        <v/>
      </c>
    </row>
    <row r="117" spans="3:17" x14ac:dyDescent="0.25">
      <c r="C117" t="str">
        <f t="shared" si="1"/>
        <v/>
      </c>
      <c r="Q117" t="str" cm="1">
        <f t="array" ref="Q117">IFERROR(IF($P117="","",_xlfn._xlws.FILTER(LT_LST[Lot],(LT_LST[Client Id.]=$C117)*(LT_LST[Strategy]=$D117)*(LT_LST[DTE/WTE]=$E117)*(LT_LST[Symbol]=$I117))),"-")</f>
        <v/>
      </c>
    </row>
    <row r="118" spans="3:17" x14ac:dyDescent="0.25">
      <c r="C118" t="str">
        <f t="shared" si="1"/>
        <v/>
      </c>
      <c r="Q118" t="str" cm="1">
        <f t="array" ref="Q118">IFERROR(IF($P118="","",_xlfn._xlws.FILTER(LT_LST[Lot],(LT_LST[Client Id.]=$C118)*(LT_LST[Strategy]=$D118)*(LT_LST[DTE/WTE]=$E118)*(LT_LST[Symbol]=$I118))),"-")</f>
        <v/>
      </c>
    </row>
    <row r="119" spans="3:17" x14ac:dyDescent="0.25">
      <c r="C119" t="str">
        <f t="shared" si="1"/>
        <v/>
      </c>
      <c r="Q119" t="str" cm="1">
        <f t="array" ref="Q119">IFERROR(IF($P119="","",_xlfn._xlws.FILTER(LT_LST[Lot],(LT_LST[Client Id.]=$C119)*(LT_LST[Strategy]=$D119)*(LT_LST[DTE/WTE]=$E119)*(LT_LST[Symbol]=$I119))),"-")</f>
        <v/>
      </c>
    </row>
    <row r="120" spans="3:17" x14ac:dyDescent="0.25">
      <c r="C120" t="str">
        <f t="shared" si="1"/>
        <v/>
      </c>
      <c r="Q120" t="str" cm="1">
        <f t="array" ref="Q120">IFERROR(IF($P120="","",_xlfn._xlws.FILTER(LT_LST[Lot],(LT_LST[Client Id.]=$C120)*(LT_LST[Strategy]=$D120)*(LT_LST[DTE/WTE]=$E120)*(LT_LST[Symbol]=$I120))),"-")</f>
        <v/>
      </c>
    </row>
    <row r="121" spans="3:17" x14ac:dyDescent="0.25">
      <c r="C121" t="str">
        <f t="shared" si="1"/>
        <v/>
      </c>
      <c r="Q121" t="str" cm="1">
        <f t="array" ref="Q121">IFERROR(IF($P121="","",_xlfn._xlws.FILTER(LT_LST[Lot],(LT_LST[Client Id.]=$C121)*(LT_LST[Strategy]=$D121)*(LT_LST[DTE/WTE]=$E121)*(LT_LST[Symbol]=$I121))),"-")</f>
        <v/>
      </c>
    </row>
    <row r="122" spans="3:17" x14ac:dyDescent="0.25">
      <c r="C122" t="str">
        <f t="shared" si="1"/>
        <v/>
      </c>
      <c r="Q122" t="str" cm="1">
        <f t="array" ref="Q122">IFERROR(IF($P122="","",_xlfn._xlws.FILTER(LT_LST[Lot],(LT_LST[Client Id.]=$C122)*(LT_LST[Strategy]=$D122)*(LT_LST[DTE/WTE]=$E122)*(LT_LST[Symbol]=$I122))),"-")</f>
        <v/>
      </c>
    </row>
    <row r="123" spans="3:17" x14ac:dyDescent="0.25">
      <c r="C123" t="str">
        <f t="shared" si="1"/>
        <v/>
      </c>
      <c r="Q123" t="str" cm="1">
        <f t="array" ref="Q123">IFERROR(IF($P123="","",_xlfn._xlws.FILTER(LT_LST[Lot],(LT_LST[Client Id.]=$C123)*(LT_LST[Strategy]=$D123)*(LT_LST[DTE/WTE]=$E123)*(LT_LST[Symbol]=$I123))),"-")</f>
        <v/>
      </c>
    </row>
    <row r="124" spans="3:17" x14ac:dyDescent="0.25">
      <c r="C124" t="str">
        <f t="shared" si="1"/>
        <v/>
      </c>
      <c r="Q124" t="str" cm="1">
        <f t="array" ref="Q124">IFERROR(IF($P124="","",_xlfn._xlws.FILTER(LT_LST[Lot],(LT_LST[Client Id.]=$C124)*(LT_LST[Strategy]=$D124)*(LT_LST[DTE/WTE]=$E124)*(LT_LST[Symbol]=$I124))),"-")</f>
        <v/>
      </c>
    </row>
    <row r="125" spans="3:17" x14ac:dyDescent="0.25">
      <c r="C125" t="str">
        <f t="shared" si="1"/>
        <v/>
      </c>
      <c r="Q125" t="str" cm="1">
        <f t="array" ref="Q125">IFERROR(IF($P125="","",_xlfn._xlws.FILTER(LT_LST[Lot],(LT_LST[Client Id.]=$C125)*(LT_LST[Strategy]=$D125)*(LT_LST[DTE/WTE]=$E125)*(LT_LST[Symbol]=$I125))),"-")</f>
        <v/>
      </c>
    </row>
    <row r="126" spans="3:17" x14ac:dyDescent="0.25">
      <c r="C126" t="str">
        <f t="shared" si="1"/>
        <v/>
      </c>
      <c r="Q126" t="str" cm="1">
        <f t="array" ref="Q126">IFERROR(IF($P126="","",_xlfn._xlws.FILTER(LT_LST[Lot],(LT_LST[Client Id.]=$C126)*(LT_LST[Strategy]=$D126)*(LT_LST[DTE/WTE]=$E126)*(LT_LST[Symbol]=$I126))),"-")</f>
        <v/>
      </c>
    </row>
    <row r="127" spans="3:17" x14ac:dyDescent="0.25">
      <c r="C127" t="str">
        <f t="shared" si="1"/>
        <v/>
      </c>
      <c r="Q127" t="str" cm="1">
        <f t="array" ref="Q127">IFERROR(IF($P127="","",_xlfn._xlws.FILTER(LT_LST[Lot],(LT_LST[Client Id.]=$C127)*(LT_LST[Strategy]=$D127)*(LT_LST[DTE/WTE]=$E127)*(LT_LST[Symbol]=$I127))),"-")</f>
        <v/>
      </c>
    </row>
    <row r="128" spans="3:17" x14ac:dyDescent="0.25">
      <c r="C128" t="str">
        <f t="shared" si="1"/>
        <v/>
      </c>
      <c r="Q128" t="str" cm="1">
        <f t="array" ref="Q128">IFERROR(IF($P128="","",_xlfn._xlws.FILTER(LT_LST[Lot],(LT_LST[Client Id.]=$C128)*(LT_LST[Strategy]=$D128)*(LT_LST[DTE/WTE]=$E128)*(LT_LST[Symbol]=$I128))),"-")</f>
        <v/>
      </c>
    </row>
    <row r="129" spans="3:17" x14ac:dyDescent="0.25">
      <c r="C129" t="str">
        <f t="shared" si="1"/>
        <v/>
      </c>
      <c r="Q129" t="str" cm="1">
        <f t="array" ref="Q129">IFERROR(IF($P129="","",_xlfn._xlws.FILTER(LT_LST[Lot],(LT_LST[Client Id.]=$C129)*(LT_LST[Strategy]=$D129)*(LT_LST[DTE/WTE]=$E129)*(LT_LST[Symbol]=$I129))),"-")</f>
        <v/>
      </c>
    </row>
    <row r="130" spans="3:17" x14ac:dyDescent="0.25">
      <c r="C130" t="str">
        <f t="shared" si="1"/>
        <v/>
      </c>
      <c r="Q130" t="str" cm="1">
        <f t="array" ref="Q130">IFERROR(IF($P130="","",_xlfn._xlws.FILTER(LT_LST[Lot],(LT_LST[Client Id.]=$C130)*(LT_LST[Strategy]=$D130)*(LT_LST[DTE/WTE]=$E130)*(LT_LST[Symbol]=$I130))),"-")</f>
        <v/>
      </c>
    </row>
    <row r="131" spans="3:17" x14ac:dyDescent="0.25">
      <c r="C131" t="str">
        <f t="shared" si="1"/>
        <v/>
      </c>
      <c r="Q131" t="str" cm="1">
        <f t="array" ref="Q131">IFERROR(IF($P131="","",_xlfn._xlws.FILTER(LT_LST[Lot],(LT_LST[Client Id.]=$C131)*(LT_LST[Strategy]=$D131)*(LT_LST[DTE/WTE]=$E131)*(LT_LST[Symbol]=$I131))),"-")</f>
        <v/>
      </c>
    </row>
    <row r="132" spans="3:17" x14ac:dyDescent="0.25">
      <c r="C132" t="str">
        <f t="shared" ref="C132:C195" si="2">IF(D132="","",$A$1)</f>
        <v/>
      </c>
      <c r="Q132" t="str" cm="1">
        <f t="array" ref="Q132">IFERROR(IF($P132="","",_xlfn._xlws.FILTER(LT_LST[Lot],(LT_LST[Client Id.]=$C132)*(LT_LST[Strategy]=$D132)*(LT_LST[DTE/WTE]=$E132)*(LT_LST[Symbol]=$I132))),"-")</f>
        <v/>
      </c>
    </row>
    <row r="133" spans="3:17" x14ac:dyDescent="0.25">
      <c r="C133" t="str">
        <f t="shared" si="2"/>
        <v/>
      </c>
      <c r="Q133" t="str" cm="1">
        <f t="array" ref="Q133">IFERROR(IF($P133="","",_xlfn._xlws.FILTER(LT_LST[Lot],(LT_LST[Client Id.]=$C133)*(LT_LST[Strategy]=$D133)*(LT_LST[DTE/WTE]=$E133)*(LT_LST[Symbol]=$I133))),"-")</f>
        <v/>
      </c>
    </row>
    <row r="134" spans="3:17" x14ac:dyDescent="0.25">
      <c r="C134" t="str">
        <f t="shared" si="2"/>
        <v/>
      </c>
      <c r="Q134" t="str" cm="1">
        <f t="array" ref="Q134">IFERROR(IF($P134="","",_xlfn._xlws.FILTER(LT_LST[Lot],(LT_LST[Client Id.]=$C134)*(LT_LST[Strategy]=$D134)*(LT_LST[DTE/WTE]=$E134)*(LT_LST[Symbol]=$I134))),"-")</f>
        <v/>
      </c>
    </row>
    <row r="135" spans="3:17" x14ac:dyDescent="0.25">
      <c r="C135" t="str">
        <f t="shared" si="2"/>
        <v/>
      </c>
      <c r="Q135" t="str" cm="1">
        <f t="array" ref="Q135">IFERROR(IF($P135="","",_xlfn._xlws.FILTER(LT_LST[Lot],(LT_LST[Client Id.]=$C135)*(LT_LST[Strategy]=$D135)*(LT_LST[DTE/WTE]=$E135)*(LT_LST[Symbol]=$I135))),"-")</f>
        <v/>
      </c>
    </row>
    <row r="136" spans="3:17" x14ac:dyDescent="0.25">
      <c r="C136" t="str">
        <f t="shared" si="2"/>
        <v/>
      </c>
      <c r="Q136" t="str" cm="1">
        <f t="array" ref="Q136">IFERROR(IF($P136="","",_xlfn._xlws.FILTER(LT_LST[Lot],(LT_LST[Client Id.]=$C136)*(LT_LST[Strategy]=$D136)*(LT_LST[DTE/WTE]=$E136)*(LT_LST[Symbol]=$I136))),"-")</f>
        <v/>
      </c>
    </row>
    <row r="137" spans="3:17" x14ac:dyDescent="0.25">
      <c r="C137" t="str">
        <f t="shared" si="2"/>
        <v/>
      </c>
      <c r="Q137" t="str" cm="1">
        <f t="array" ref="Q137">IFERROR(IF($P137="","",_xlfn._xlws.FILTER(LT_LST[Lot],(LT_LST[Client Id.]=$C137)*(LT_LST[Strategy]=$D137)*(LT_LST[DTE/WTE]=$E137)*(LT_LST[Symbol]=$I137))),"-")</f>
        <v/>
      </c>
    </row>
    <row r="138" spans="3:17" x14ac:dyDescent="0.25">
      <c r="C138" t="str">
        <f t="shared" si="2"/>
        <v/>
      </c>
      <c r="Q138" t="str" cm="1">
        <f t="array" ref="Q138">IFERROR(IF($P138="","",_xlfn._xlws.FILTER(LT_LST[Lot],(LT_LST[Client Id.]=$C138)*(LT_LST[Strategy]=$D138)*(LT_LST[DTE/WTE]=$E138)*(LT_LST[Symbol]=$I138))),"-")</f>
        <v/>
      </c>
    </row>
    <row r="139" spans="3:17" x14ac:dyDescent="0.25">
      <c r="C139" t="str">
        <f t="shared" si="2"/>
        <v/>
      </c>
      <c r="Q139" t="str" cm="1">
        <f t="array" ref="Q139">IFERROR(IF($P139="","",_xlfn._xlws.FILTER(LT_LST[Lot],(LT_LST[Client Id.]=$C139)*(LT_LST[Strategy]=$D139)*(LT_LST[DTE/WTE]=$E139)*(LT_LST[Symbol]=$I139))),"-")</f>
        <v/>
      </c>
    </row>
    <row r="140" spans="3:17" x14ac:dyDescent="0.25">
      <c r="C140" t="str">
        <f t="shared" si="2"/>
        <v/>
      </c>
      <c r="Q140" t="str" cm="1">
        <f t="array" ref="Q140">IFERROR(IF($P140="","",_xlfn._xlws.FILTER(LT_LST[Lot],(LT_LST[Client Id.]=$C140)*(LT_LST[Strategy]=$D140)*(LT_LST[DTE/WTE]=$E140)*(LT_LST[Symbol]=$I140))),"-")</f>
        <v/>
      </c>
    </row>
    <row r="141" spans="3:17" x14ac:dyDescent="0.25">
      <c r="C141" t="str">
        <f t="shared" si="2"/>
        <v/>
      </c>
      <c r="Q141" t="str" cm="1">
        <f t="array" ref="Q141">IFERROR(IF($P141="","",_xlfn._xlws.FILTER(LT_LST[Lot],(LT_LST[Client Id.]=$C141)*(LT_LST[Strategy]=$D141)*(LT_LST[DTE/WTE]=$E141)*(LT_LST[Symbol]=$I141))),"-")</f>
        <v/>
      </c>
    </row>
    <row r="142" spans="3:17" x14ac:dyDescent="0.25">
      <c r="C142" t="str">
        <f t="shared" si="2"/>
        <v/>
      </c>
      <c r="Q142" t="str" cm="1">
        <f t="array" ref="Q142">IFERROR(IF($P142="","",_xlfn._xlws.FILTER(LT_LST[Lot],(LT_LST[Client Id.]=$C142)*(LT_LST[Strategy]=$D142)*(LT_LST[DTE/WTE]=$E142)*(LT_LST[Symbol]=$I142))),"-")</f>
        <v/>
      </c>
    </row>
    <row r="143" spans="3:17" x14ac:dyDescent="0.25">
      <c r="C143" t="str">
        <f t="shared" si="2"/>
        <v/>
      </c>
      <c r="Q143" t="str" cm="1">
        <f t="array" ref="Q143">IFERROR(IF($P143="","",_xlfn._xlws.FILTER(LT_LST[Lot],(LT_LST[Client Id.]=$C143)*(LT_LST[Strategy]=$D143)*(LT_LST[DTE/WTE]=$E143)*(LT_LST[Symbol]=$I143))),"-")</f>
        <v/>
      </c>
    </row>
    <row r="144" spans="3:17" x14ac:dyDescent="0.25">
      <c r="C144" t="str">
        <f t="shared" si="2"/>
        <v/>
      </c>
      <c r="Q144" t="str" cm="1">
        <f t="array" ref="Q144">IFERROR(IF($P144="","",_xlfn._xlws.FILTER(LT_LST[Lot],(LT_LST[Client Id.]=$C144)*(LT_LST[Strategy]=$D144)*(LT_LST[DTE/WTE]=$E144)*(LT_LST[Symbol]=$I144))),"-")</f>
        <v/>
      </c>
    </row>
    <row r="145" spans="3:17" x14ac:dyDescent="0.25">
      <c r="C145" t="str">
        <f t="shared" si="2"/>
        <v/>
      </c>
      <c r="Q145" t="str" cm="1">
        <f t="array" ref="Q145">IFERROR(IF($P145="","",_xlfn._xlws.FILTER(LT_LST[Lot],(LT_LST[Client Id.]=$C145)*(LT_LST[Strategy]=$D145)*(LT_LST[DTE/WTE]=$E145)*(LT_LST[Symbol]=$I145))),"-")</f>
        <v/>
      </c>
    </row>
    <row r="146" spans="3:17" x14ac:dyDescent="0.25">
      <c r="C146" t="str">
        <f t="shared" si="2"/>
        <v/>
      </c>
      <c r="Q146" t="str" cm="1">
        <f t="array" ref="Q146">IFERROR(IF($P146="","",_xlfn._xlws.FILTER(LT_LST[Lot],(LT_LST[Client Id.]=$C146)*(LT_LST[Strategy]=$D146)*(LT_LST[DTE/WTE]=$E146)*(LT_LST[Symbol]=$I146))),"-")</f>
        <v/>
      </c>
    </row>
    <row r="147" spans="3:17" x14ac:dyDescent="0.25">
      <c r="C147" t="str">
        <f t="shared" si="2"/>
        <v/>
      </c>
      <c r="Q147" t="str" cm="1">
        <f t="array" ref="Q147">IFERROR(IF($P147="","",_xlfn._xlws.FILTER(LT_LST[Lot],(LT_LST[Client Id.]=$C147)*(LT_LST[Strategy]=$D147)*(LT_LST[DTE/WTE]=$E147)*(LT_LST[Symbol]=$I147))),"-")</f>
        <v/>
      </c>
    </row>
    <row r="148" spans="3:17" x14ac:dyDescent="0.25">
      <c r="C148" t="str">
        <f t="shared" si="2"/>
        <v/>
      </c>
      <c r="Q148" t="str" cm="1">
        <f t="array" ref="Q148">IFERROR(IF($P148="","",_xlfn._xlws.FILTER(LT_LST[Lot],(LT_LST[Client Id.]=$C148)*(LT_LST[Strategy]=$D148)*(LT_LST[DTE/WTE]=$E148)*(LT_LST[Symbol]=$I148))),"-")</f>
        <v/>
      </c>
    </row>
    <row r="149" spans="3:17" x14ac:dyDescent="0.25">
      <c r="C149" t="str">
        <f t="shared" si="2"/>
        <v/>
      </c>
      <c r="Q149" t="str" cm="1">
        <f t="array" ref="Q149">IFERROR(IF($P149="","",_xlfn._xlws.FILTER(LT_LST[Lot],(LT_LST[Client Id.]=$C149)*(LT_LST[Strategy]=$D149)*(LT_LST[DTE/WTE]=$E149)*(LT_LST[Symbol]=$I149))),"-")</f>
        <v/>
      </c>
    </row>
    <row r="150" spans="3:17" x14ac:dyDescent="0.25">
      <c r="C150" t="str">
        <f t="shared" si="2"/>
        <v/>
      </c>
      <c r="Q150" t="str" cm="1">
        <f t="array" ref="Q150">IFERROR(IF($P150="","",_xlfn._xlws.FILTER(LT_LST[Lot],(LT_LST[Client Id.]=$C150)*(LT_LST[Strategy]=$D150)*(LT_LST[DTE/WTE]=$E150)*(LT_LST[Symbol]=$I150))),"-")</f>
        <v/>
      </c>
    </row>
    <row r="151" spans="3:17" x14ac:dyDescent="0.25">
      <c r="C151" t="str">
        <f t="shared" si="2"/>
        <v/>
      </c>
      <c r="Q151" t="str" cm="1">
        <f t="array" ref="Q151">IFERROR(IF($P151="","",_xlfn._xlws.FILTER(LT_LST[Lot],(LT_LST[Client Id.]=$C151)*(LT_LST[Strategy]=$D151)*(LT_LST[DTE/WTE]=$E151)*(LT_LST[Symbol]=$I151))),"-")</f>
        <v/>
      </c>
    </row>
    <row r="152" spans="3:17" x14ac:dyDescent="0.25">
      <c r="C152" t="str">
        <f t="shared" si="2"/>
        <v/>
      </c>
      <c r="Q152" t="str" cm="1">
        <f t="array" ref="Q152">IFERROR(IF($P152="","",_xlfn._xlws.FILTER(LT_LST[Lot],(LT_LST[Client Id.]=$C152)*(LT_LST[Strategy]=$D152)*(LT_LST[DTE/WTE]=$E152)*(LT_LST[Symbol]=$I152))),"-")</f>
        <v/>
      </c>
    </row>
    <row r="153" spans="3:17" x14ac:dyDescent="0.25">
      <c r="C153" t="str">
        <f t="shared" si="2"/>
        <v/>
      </c>
      <c r="Q153" t="str" cm="1">
        <f t="array" ref="Q153">IFERROR(IF($P153="","",_xlfn._xlws.FILTER(LT_LST[Lot],(LT_LST[Client Id.]=$C153)*(LT_LST[Strategy]=$D153)*(LT_LST[DTE/WTE]=$E153)*(LT_LST[Symbol]=$I153))),"-")</f>
        <v/>
      </c>
    </row>
    <row r="154" spans="3:17" x14ac:dyDescent="0.25">
      <c r="C154" t="str">
        <f t="shared" si="2"/>
        <v/>
      </c>
      <c r="Q154" t="str" cm="1">
        <f t="array" ref="Q154">IFERROR(IF($P154="","",_xlfn._xlws.FILTER(LT_LST[Lot],(LT_LST[Client Id.]=$C154)*(LT_LST[Strategy]=$D154)*(LT_LST[DTE/WTE]=$E154)*(LT_LST[Symbol]=$I154))),"-")</f>
        <v/>
      </c>
    </row>
    <row r="155" spans="3:17" x14ac:dyDescent="0.25">
      <c r="C155" t="str">
        <f t="shared" si="2"/>
        <v/>
      </c>
      <c r="Q155" t="str" cm="1">
        <f t="array" ref="Q155">IFERROR(IF($P155="","",_xlfn._xlws.FILTER(LT_LST[Lot],(LT_LST[Client Id.]=$C155)*(LT_LST[Strategy]=$D155)*(LT_LST[DTE/WTE]=$E155)*(LT_LST[Symbol]=$I155))),"-")</f>
        <v/>
      </c>
    </row>
    <row r="156" spans="3:17" x14ac:dyDescent="0.25">
      <c r="C156" t="str">
        <f t="shared" si="2"/>
        <v/>
      </c>
      <c r="Q156" t="str" cm="1">
        <f t="array" ref="Q156">IFERROR(IF($P156="","",_xlfn._xlws.FILTER(LT_LST[Lot],(LT_LST[Client Id.]=$C156)*(LT_LST[Strategy]=$D156)*(LT_LST[DTE/WTE]=$E156)*(LT_LST[Symbol]=$I156))),"-")</f>
        <v/>
      </c>
    </row>
    <row r="157" spans="3:17" x14ac:dyDescent="0.25">
      <c r="C157" t="str">
        <f t="shared" si="2"/>
        <v/>
      </c>
      <c r="Q157" t="str" cm="1">
        <f t="array" ref="Q157">IFERROR(IF($P157="","",_xlfn._xlws.FILTER(LT_LST[Lot],(LT_LST[Client Id.]=$C157)*(LT_LST[Strategy]=$D157)*(LT_LST[DTE/WTE]=$E157)*(LT_LST[Symbol]=$I157))),"-")</f>
        <v/>
      </c>
    </row>
    <row r="158" spans="3:17" x14ac:dyDescent="0.25">
      <c r="C158" t="str">
        <f t="shared" si="2"/>
        <v/>
      </c>
      <c r="Q158" t="str" cm="1">
        <f t="array" ref="Q158">IFERROR(IF($P158="","",_xlfn._xlws.FILTER(LT_LST[Lot],(LT_LST[Client Id.]=$C158)*(LT_LST[Strategy]=$D158)*(LT_LST[DTE/WTE]=$E158)*(LT_LST[Symbol]=$I158))),"-")</f>
        <v/>
      </c>
    </row>
    <row r="159" spans="3:17" x14ac:dyDescent="0.25">
      <c r="C159" t="str">
        <f t="shared" si="2"/>
        <v/>
      </c>
      <c r="Q159" t="str" cm="1">
        <f t="array" ref="Q159">IFERROR(IF($P159="","",_xlfn._xlws.FILTER(LT_LST[Lot],(LT_LST[Client Id.]=$C159)*(LT_LST[Strategy]=$D159)*(LT_LST[DTE/WTE]=$E159)*(LT_LST[Symbol]=$I159))),"-")</f>
        <v/>
      </c>
    </row>
    <row r="160" spans="3:17" x14ac:dyDescent="0.25">
      <c r="C160" t="str">
        <f t="shared" si="2"/>
        <v/>
      </c>
      <c r="Q160" t="str" cm="1">
        <f t="array" ref="Q160">IFERROR(IF($P160="","",_xlfn._xlws.FILTER(LT_LST[Lot],(LT_LST[Client Id.]=$C160)*(LT_LST[Strategy]=$D160)*(LT_LST[DTE/WTE]=$E160)*(LT_LST[Symbol]=$I160))),"-")</f>
        <v/>
      </c>
    </row>
    <row r="161" spans="3:17" x14ac:dyDescent="0.25">
      <c r="C161" t="str">
        <f t="shared" si="2"/>
        <v/>
      </c>
      <c r="Q161" t="str" cm="1">
        <f t="array" ref="Q161">IFERROR(IF($P161="","",_xlfn._xlws.FILTER(LT_LST[Lot],(LT_LST[Client Id.]=$C161)*(LT_LST[Strategy]=$D161)*(LT_LST[DTE/WTE]=$E161)*(LT_LST[Symbol]=$I161))),"-")</f>
        <v/>
      </c>
    </row>
    <row r="162" spans="3:17" x14ac:dyDescent="0.25">
      <c r="C162" t="str">
        <f t="shared" si="2"/>
        <v/>
      </c>
      <c r="Q162" t="str" cm="1">
        <f t="array" ref="Q162">IFERROR(IF($P162="","",_xlfn._xlws.FILTER(LT_LST[Lot],(LT_LST[Client Id.]=$C162)*(LT_LST[Strategy]=$D162)*(LT_LST[DTE/WTE]=$E162)*(LT_LST[Symbol]=$I162))),"-")</f>
        <v/>
      </c>
    </row>
    <row r="163" spans="3:17" x14ac:dyDescent="0.25">
      <c r="C163" t="str">
        <f t="shared" si="2"/>
        <v/>
      </c>
      <c r="Q163" t="str" cm="1">
        <f t="array" ref="Q163">IFERROR(IF($P163="","",_xlfn._xlws.FILTER(LT_LST[Lot],(LT_LST[Client Id.]=$C163)*(LT_LST[Strategy]=$D163)*(LT_LST[DTE/WTE]=$E163)*(LT_LST[Symbol]=$I163))),"-")</f>
        <v/>
      </c>
    </row>
    <row r="164" spans="3:17" x14ac:dyDescent="0.25">
      <c r="C164" t="str">
        <f t="shared" si="2"/>
        <v/>
      </c>
      <c r="Q164" t="str" cm="1">
        <f t="array" ref="Q164">IFERROR(IF($P164="","",_xlfn._xlws.FILTER(LT_LST[Lot],(LT_LST[Client Id.]=$C164)*(LT_LST[Strategy]=$D164)*(LT_LST[DTE/WTE]=$E164)*(LT_LST[Symbol]=$I164))),"-")</f>
        <v/>
      </c>
    </row>
    <row r="165" spans="3:17" x14ac:dyDescent="0.25">
      <c r="C165" t="str">
        <f t="shared" si="2"/>
        <v/>
      </c>
      <c r="Q165" t="str" cm="1">
        <f t="array" ref="Q165">IFERROR(IF($P165="","",_xlfn._xlws.FILTER(LT_LST[Lot],(LT_LST[Client Id.]=$C165)*(LT_LST[Strategy]=$D165)*(LT_LST[DTE/WTE]=$E165)*(LT_LST[Symbol]=$I165))),"-")</f>
        <v/>
      </c>
    </row>
    <row r="166" spans="3:17" x14ac:dyDescent="0.25">
      <c r="C166" t="str">
        <f t="shared" si="2"/>
        <v/>
      </c>
      <c r="Q166" t="str" cm="1">
        <f t="array" ref="Q166">IFERROR(IF($P166="","",_xlfn._xlws.FILTER(LT_LST[Lot],(LT_LST[Client Id.]=$C166)*(LT_LST[Strategy]=$D166)*(LT_LST[DTE/WTE]=$E166)*(LT_LST[Symbol]=$I166))),"-")</f>
        <v/>
      </c>
    </row>
    <row r="167" spans="3:17" x14ac:dyDescent="0.25">
      <c r="C167" t="str">
        <f t="shared" si="2"/>
        <v/>
      </c>
      <c r="Q167" t="str" cm="1">
        <f t="array" ref="Q167">IFERROR(IF($P167="","",_xlfn._xlws.FILTER(LT_LST[Lot],(LT_LST[Client Id.]=$C167)*(LT_LST[Strategy]=$D167)*(LT_LST[DTE/WTE]=$E167)*(LT_LST[Symbol]=$I167))),"-")</f>
        <v/>
      </c>
    </row>
    <row r="168" spans="3:17" x14ac:dyDescent="0.25">
      <c r="C168" t="str">
        <f t="shared" si="2"/>
        <v/>
      </c>
      <c r="Q168" t="str" cm="1">
        <f t="array" ref="Q168">IFERROR(IF($P168="","",_xlfn._xlws.FILTER(LT_LST[Lot],(LT_LST[Client Id.]=$C168)*(LT_LST[Strategy]=$D168)*(LT_LST[DTE/WTE]=$E168)*(LT_LST[Symbol]=$I168))),"-")</f>
        <v/>
      </c>
    </row>
    <row r="169" spans="3:17" x14ac:dyDescent="0.25">
      <c r="C169" t="str">
        <f t="shared" si="2"/>
        <v/>
      </c>
      <c r="Q169" t="str" cm="1">
        <f t="array" ref="Q169">IFERROR(IF($P169="","",_xlfn._xlws.FILTER(LT_LST[Lot],(LT_LST[Client Id.]=$C169)*(LT_LST[Strategy]=$D169)*(LT_LST[DTE/WTE]=$E169)*(LT_LST[Symbol]=$I169))),"-")</f>
        <v/>
      </c>
    </row>
    <row r="170" spans="3:17" x14ac:dyDescent="0.25">
      <c r="C170" t="str">
        <f t="shared" si="2"/>
        <v/>
      </c>
      <c r="Q170" t="str" cm="1">
        <f t="array" ref="Q170">IFERROR(IF($P170="","",_xlfn._xlws.FILTER(LT_LST[Lot],(LT_LST[Client Id.]=$C170)*(LT_LST[Strategy]=$D170)*(LT_LST[DTE/WTE]=$E170)*(LT_LST[Symbol]=$I170))),"-")</f>
        <v/>
      </c>
    </row>
    <row r="171" spans="3:17" x14ac:dyDescent="0.25">
      <c r="C171" t="str">
        <f t="shared" si="2"/>
        <v/>
      </c>
      <c r="Q171" t="str" cm="1">
        <f t="array" ref="Q171">IFERROR(IF($P171="","",_xlfn._xlws.FILTER(LT_LST[Lot],(LT_LST[Client Id.]=$C171)*(LT_LST[Strategy]=$D171)*(LT_LST[DTE/WTE]=$E171)*(LT_LST[Symbol]=$I171))),"-")</f>
        <v/>
      </c>
    </row>
    <row r="172" spans="3:17" x14ac:dyDescent="0.25">
      <c r="C172" t="str">
        <f t="shared" si="2"/>
        <v/>
      </c>
      <c r="Q172" t="str" cm="1">
        <f t="array" ref="Q172">IFERROR(IF($P172="","",_xlfn._xlws.FILTER(LT_LST[Lot],(LT_LST[Client Id.]=$C172)*(LT_LST[Strategy]=$D172)*(LT_LST[DTE/WTE]=$E172)*(LT_LST[Symbol]=$I172))),"-")</f>
        <v/>
      </c>
    </row>
    <row r="173" spans="3:17" x14ac:dyDescent="0.25">
      <c r="C173" t="str">
        <f t="shared" si="2"/>
        <v/>
      </c>
      <c r="Q173" t="str" cm="1">
        <f t="array" ref="Q173">IFERROR(IF($P173="","",_xlfn._xlws.FILTER(LT_LST[Lot],(LT_LST[Client Id.]=$C173)*(LT_LST[Strategy]=$D173)*(LT_LST[DTE/WTE]=$E173)*(LT_LST[Symbol]=$I173))),"-")</f>
        <v/>
      </c>
    </row>
    <row r="174" spans="3:17" x14ac:dyDescent="0.25">
      <c r="C174" t="str">
        <f t="shared" si="2"/>
        <v/>
      </c>
      <c r="Q174" t="str" cm="1">
        <f t="array" ref="Q174">IFERROR(IF($P174="","",_xlfn._xlws.FILTER(LT_LST[Lot],(LT_LST[Client Id.]=$C174)*(LT_LST[Strategy]=$D174)*(LT_LST[DTE/WTE]=$E174)*(LT_LST[Symbol]=$I174))),"-")</f>
        <v/>
      </c>
    </row>
    <row r="175" spans="3:17" x14ac:dyDescent="0.25">
      <c r="C175" t="str">
        <f t="shared" si="2"/>
        <v/>
      </c>
      <c r="Q175" t="str" cm="1">
        <f t="array" ref="Q175">IFERROR(IF($P175="","",_xlfn._xlws.FILTER(LT_LST[Lot],(LT_LST[Client Id.]=$C175)*(LT_LST[Strategy]=$D175)*(LT_LST[DTE/WTE]=$E175)*(LT_LST[Symbol]=$I175))),"-")</f>
        <v/>
      </c>
    </row>
    <row r="176" spans="3:17" x14ac:dyDescent="0.25">
      <c r="C176" t="str">
        <f t="shared" si="2"/>
        <v/>
      </c>
      <c r="Q176" t="str" cm="1">
        <f t="array" ref="Q176">IFERROR(IF($P176="","",_xlfn._xlws.FILTER(LT_LST[Lot],(LT_LST[Client Id.]=$C176)*(LT_LST[Strategy]=$D176)*(LT_LST[DTE/WTE]=$E176)*(LT_LST[Symbol]=$I176))),"-")</f>
        <v/>
      </c>
    </row>
    <row r="177" spans="3:17" x14ac:dyDescent="0.25">
      <c r="C177" t="str">
        <f t="shared" si="2"/>
        <v/>
      </c>
      <c r="Q177" t="str" cm="1">
        <f t="array" ref="Q177">IFERROR(IF($P177="","",_xlfn._xlws.FILTER(LT_LST[Lot],(LT_LST[Client Id.]=$C177)*(LT_LST[Strategy]=$D177)*(LT_LST[DTE/WTE]=$E177)*(LT_LST[Symbol]=$I177))),"-")</f>
        <v/>
      </c>
    </row>
    <row r="178" spans="3:17" x14ac:dyDescent="0.25">
      <c r="C178" t="str">
        <f t="shared" si="2"/>
        <v/>
      </c>
      <c r="Q178" t="str" cm="1">
        <f t="array" ref="Q178">IFERROR(IF($P178="","",_xlfn._xlws.FILTER(LT_LST[Lot],(LT_LST[Client Id.]=$C178)*(LT_LST[Strategy]=$D178)*(LT_LST[DTE/WTE]=$E178)*(LT_LST[Symbol]=$I178))),"-")</f>
        <v/>
      </c>
    </row>
    <row r="179" spans="3:17" x14ac:dyDescent="0.25">
      <c r="C179" t="str">
        <f t="shared" si="2"/>
        <v/>
      </c>
      <c r="Q179" t="str" cm="1">
        <f t="array" ref="Q179">IFERROR(IF($P179="","",_xlfn._xlws.FILTER(LT_LST[Lot],(LT_LST[Client Id.]=$C179)*(LT_LST[Strategy]=$D179)*(LT_LST[DTE/WTE]=$E179)*(LT_LST[Symbol]=$I179))),"-")</f>
        <v/>
      </c>
    </row>
    <row r="180" spans="3:17" x14ac:dyDescent="0.25">
      <c r="C180" t="str">
        <f t="shared" si="2"/>
        <v/>
      </c>
      <c r="Q180" t="str" cm="1">
        <f t="array" ref="Q180">IFERROR(IF($P180="","",_xlfn._xlws.FILTER(LT_LST[Lot],(LT_LST[Client Id.]=$C180)*(LT_LST[Strategy]=$D180)*(LT_LST[DTE/WTE]=$E180)*(LT_LST[Symbol]=$I180))),"-")</f>
        <v/>
      </c>
    </row>
    <row r="181" spans="3:17" x14ac:dyDescent="0.25">
      <c r="C181" t="str">
        <f t="shared" si="2"/>
        <v/>
      </c>
      <c r="Q181" t="str" cm="1">
        <f t="array" ref="Q181">IFERROR(IF($P181="","",_xlfn._xlws.FILTER(LT_LST[Lot],(LT_LST[Client Id.]=$C181)*(LT_LST[Strategy]=$D181)*(LT_LST[DTE/WTE]=$E181)*(LT_LST[Symbol]=$I181))),"-")</f>
        <v/>
      </c>
    </row>
    <row r="182" spans="3:17" x14ac:dyDescent="0.25">
      <c r="C182" t="str">
        <f t="shared" si="2"/>
        <v/>
      </c>
      <c r="Q182" t="str" cm="1">
        <f t="array" ref="Q182">IFERROR(IF($P182="","",_xlfn._xlws.FILTER(LT_LST[Lot],(LT_LST[Client Id.]=$C182)*(LT_LST[Strategy]=$D182)*(LT_LST[DTE/WTE]=$E182)*(LT_LST[Symbol]=$I182))),"-")</f>
        <v/>
      </c>
    </row>
    <row r="183" spans="3:17" x14ac:dyDescent="0.25">
      <c r="C183" t="str">
        <f t="shared" si="2"/>
        <v/>
      </c>
      <c r="Q183" t="str" cm="1">
        <f t="array" ref="Q183">IFERROR(IF($P183="","",_xlfn._xlws.FILTER(LT_LST[Lot],(LT_LST[Client Id.]=$C183)*(LT_LST[Strategy]=$D183)*(LT_LST[DTE/WTE]=$E183)*(LT_LST[Symbol]=$I183))),"-")</f>
        <v/>
      </c>
    </row>
    <row r="184" spans="3:17" x14ac:dyDescent="0.25">
      <c r="C184" t="str">
        <f t="shared" si="2"/>
        <v/>
      </c>
      <c r="Q184" t="str" cm="1">
        <f t="array" ref="Q184">IFERROR(IF($P184="","",_xlfn._xlws.FILTER(LT_LST[Lot],(LT_LST[Client Id.]=$C184)*(LT_LST[Strategy]=$D184)*(LT_LST[DTE/WTE]=$E184)*(LT_LST[Symbol]=$I184))),"-")</f>
        <v/>
      </c>
    </row>
    <row r="185" spans="3:17" x14ac:dyDescent="0.25">
      <c r="C185" t="str">
        <f t="shared" si="2"/>
        <v/>
      </c>
      <c r="Q185" t="str" cm="1">
        <f t="array" ref="Q185">IFERROR(IF($P185="","",_xlfn._xlws.FILTER(LT_LST[Lot],(LT_LST[Client Id.]=$C185)*(LT_LST[Strategy]=$D185)*(LT_LST[DTE/WTE]=$E185)*(LT_LST[Symbol]=$I185))),"-")</f>
        <v/>
      </c>
    </row>
    <row r="186" spans="3:17" x14ac:dyDescent="0.25">
      <c r="C186" t="str">
        <f t="shared" si="2"/>
        <v/>
      </c>
      <c r="Q186" t="str" cm="1">
        <f t="array" ref="Q186">IFERROR(IF($P186="","",_xlfn._xlws.FILTER(LT_LST[Lot],(LT_LST[Client Id.]=$C186)*(LT_LST[Strategy]=$D186)*(LT_LST[DTE/WTE]=$E186)*(LT_LST[Symbol]=$I186))),"-")</f>
        <v/>
      </c>
    </row>
    <row r="187" spans="3:17" x14ac:dyDescent="0.25">
      <c r="C187" t="str">
        <f t="shared" si="2"/>
        <v/>
      </c>
      <c r="Q187" t="str" cm="1">
        <f t="array" ref="Q187">IFERROR(IF($P187="","",_xlfn._xlws.FILTER(LT_LST[Lot],(LT_LST[Client Id.]=$C187)*(LT_LST[Strategy]=$D187)*(LT_LST[DTE/WTE]=$E187)*(LT_LST[Symbol]=$I187))),"-")</f>
        <v/>
      </c>
    </row>
    <row r="188" spans="3:17" x14ac:dyDescent="0.25">
      <c r="C188" t="str">
        <f t="shared" si="2"/>
        <v/>
      </c>
      <c r="Q188" t="str" cm="1">
        <f t="array" ref="Q188">IFERROR(IF($P188="","",_xlfn._xlws.FILTER(LT_LST[Lot],(LT_LST[Client Id.]=$C188)*(LT_LST[Strategy]=$D188)*(LT_LST[DTE/WTE]=$E188)*(LT_LST[Symbol]=$I188))),"-")</f>
        <v/>
      </c>
    </row>
    <row r="189" spans="3:17" x14ac:dyDescent="0.25">
      <c r="C189" t="str">
        <f t="shared" si="2"/>
        <v/>
      </c>
      <c r="Q189" t="str" cm="1">
        <f t="array" ref="Q189">IFERROR(IF($P189="","",_xlfn._xlws.FILTER(LT_LST[Lot],(LT_LST[Client Id.]=$C189)*(LT_LST[Strategy]=$D189)*(LT_LST[DTE/WTE]=$E189)*(LT_LST[Symbol]=$I189))),"-")</f>
        <v/>
      </c>
    </row>
    <row r="190" spans="3:17" x14ac:dyDescent="0.25">
      <c r="C190" t="str">
        <f t="shared" si="2"/>
        <v/>
      </c>
      <c r="Q190" t="str" cm="1">
        <f t="array" ref="Q190">IFERROR(IF($P190="","",_xlfn._xlws.FILTER(LT_LST[Lot],(LT_LST[Client Id.]=$C190)*(LT_LST[Strategy]=$D190)*(LT_LST[DTE/WTE]=$E190)*(LT_LST[Symbol]=$I190))),"-")</f>
        <v/>
      </c>
    </row>
    <row r="191" spans="3:17" x14ac:dyDescent="0.25">
      <c r="C191" t="str">
        <f t="shared" si="2"/>
        <v/>
      </c>
      <c r="Q191" t="str" cm="1">
        <f t="array" ref="Q191">IFERROR(IF($P191="","",_xlfn._xlws.FILTER(LT_LST[Lot],(LT_LST[Client Id.]=$C191)*(LT_LST[Strategy]=$D191)*(LT_LST[DTE/WTE]=$E191)*(LT_LST[Symbol]=$I191))),"-")</f>
        <v/>
      </c>
    </row>
    <row r="192" spans="3:17" x14ac:dyDescent="0.25">
      <c r="C192" t="str">
        <f t="shared" si="2"/>
        <v/>
      </c>
      <c r="Q192" t="str" cm="1">
        <f t="array" ref="Q192">IFERROR(IF($P192="","",_xlfn._xlws.FILTER(LT_LST[Lot],(LT_LST[Client Id.]=$C192)*(LT_LST[Strategy]=$D192)*(LT_LST[DTE/WTE]=$E192)*(LT_LST[Symbol]=$I192))),"-")</f>
        <v/>
      </c>
    </row>
    <row r="193" spans="3:17" x14ac:dyDescent="0.25">
      <c r="C193" t="str">
        <f t="shared" si="2"/>
        <v/>
      </c>
      <c r="Q193" t="str" cm="1">
        <f t="array" ref="Q193">IFERROR(IF($P193="","",_xlfn._xlws.FILTER(LT_LST[Lot],(LT_LST[Client Id.]=$C193)*(LT_LST[Strategy]=$D193)*(LT_LST[DTE/WTE]=$E193)*(LT_LST[Symbol]=$I193))),"-")</f>
        <v/>
      </c>
    </row>
    <row r="194" spans="3:17" x14ac:dyDescent="0.25">
      <c r="C194" t="str">
        <f t="shared" si="2"/>
        <v/>
      </c>
      <c r="Q194" t="str" cm="1">
        <f t="array" ref="Q194">IFERROR(IF($P194="","",_xlfn._xlws.FILTER(LT_LST[Lot],(LT_LST[Client Id.]=$C194)*(LT_LST[Strategy]=$D194)*(LT_LST[DTE/WTE]=$E194)*(LT_LST[Symbol]=$I194))),"-")</f>
        <v/>
      </c>
    </row>
    <row r="195" spans="3:17" x14ac:dyDescent="0.25">
      <c r="C195" t="str">
        <f t="shared" si="2"/>
        <v/>
      </c>
      <c r="Q195" t="str" cm="1">
        <f t="array" ref="Q195">IFERROR(IF($P195="","",_xlfn._xlws.FILTER(LT_LST[Lot],(LT_LST[Client Id.]=$C195)*(LT_LST[Strategy]=$D195)*(LT_LST[DTE/WTE]=$E195)*(LT_LST[Symbol]=$I195))),"-")</f>
        <v/>
      </c>
    </row>
    <row r="196" spans="3:17" x14ac:dyDescent="0.25">
      <c r="C196" t="str">
        <f t="shared" ref="C196:C259" si="3">IF(D196="","",$A$1)</f>
        <v/>
      </c>
      <c r="Q196" t="str" cm="1">
        <f t="array" ref="Q196">IFERROR(IF($P196="","",_xlfn._xlws.FILTER(LT_LST[Lot],(LT_LST[Client Id.]=$C196)*(LT_LST[Strategy]=$D196)*(LT_LST[DTE/WTE]=$E196)*(LT_LST[Symbol]=$I196))),"-")</f>
        <v/>
      </c>
    </row>
    <row r="197" spans="3:17" x14ac:dyDescent="0.25">
      <c r="C197" t="str">
        <f t="shared" si="3"/>
        <v/>
      </c>
      <c r="Q197" t="str" cm="1">
        <f t="array" ref="Q197">IFERROR(IF($P197="","",_xlfn._xlws.FILTER(LT_LST[Lot],(LT_LST[Client Id.]=$C197)*(LT_LST[Strategy]=$D197)*(LT_LST[DTE/WTE]=$E197)*(LT_LST[Symbol]=$I197))),"-")</f>
        <v/>
      </c>
    </row>
    <row r="198" spans="3:17" x14ac:dyDescent="0.25">
      <c r="C198" t="str">
        <f t="shared" si="3"/>
        <v/>
      </c>
      <c r="Q198" t="str" cm="1">
        <f t="array" ref="Q198">IFERROR(IF($P198="","",_xlfn._xlws.FILTER(LT_LST[Lot],(LT_LST[Client Id.]=$C198)*(LT_LST[Strategy]=$D198)*(LT_LST[DTE/WTE]=$E198)*(LT_LST[Symbol]=$I198))),"-")</f>
        <v/>
      </c>
    </row>
    <row r="199" spans="3:17" x14ac:dyDescent="0.25">
      <c r="C199" t="str">
        <f t="shared" si="3"/>
        <v/>
      </c>
      <c r="Q199" t="str" cm="1">
        <f t="array" ref="Q199">IFERROR(IF($P199="","",_xlfn._xlws.FILTER(LT_LST[Lot],(LT_LST[Client Id.]=$C199)*(LT_LST[Strategy]=$D199)*(LT_LST[DTE/WTE]=$E199)*(LT_LST[Symbol]=$I199))),"-")</f>
        <v/>
      </c>
    </row>
    <row r="200" spans="3:17" x14ac:dyDescent="0.25">
      <c r="C200" t="str">
        <f t="shared" si="3"/>
        <v/>
      </c>
      <c r="Q200" t="str" cm="1">
        <f t="array" ref="Q200">IFERROR(IF($P200="","",_xlfn._xlws.FILTER(LT_LST[Lot],(LT_LST[Client Id.]=$C200)*(LT_LST[Strategy]=$D200)*(LT_LST[DTE/WTE]=$E200)*(LT_LST[Symbol]=$I200))),"-")</f>
        <v/>
      </c>
    </row>
    <row r="201" spans="3:17" x14ac:dyDescent="0.25">
      <c r="C201" t="str">
        <f t="shared" si="3"/>
        <v/>
      </c>
      <c r="Q201" t="str" cm="1">
        <f t="array" ref="Q201">IFERROR(IF($P201="","",_xlfn._xlws.FILTER(LT_LST[Lot],(LT_LST[Client Id.]=$C201)*(LT_LST[Strategy]=$D201)*(LT_LST[DTE/WTE]=$E201)*(LT_LST[Symbol]=$I201))),"-")</f>
        <v/>
      </c>
    </row>
    <row r="202" spans="3:17" x14ac:dyDescent="0.25">
      <c r="C202" t="str">
        <f t="shared" si="3"/>
        <v/>
      </c>
      <c r="Q202" t="str" cm="1">
        <f t="array" ref="Q202">IFERROR(IF($P202="","",_xlfn._xlws.FILTER(LT_LST[Lot],(LT_LST[Client Id.]=$C202)*(LT_LST[Strategy]=$D202)*(LT_LST[DTE/WTE]=$E202)*(LT_LST[Symbol]=$I202))),"-")</f>
        <v/>
      </c>
    </row>
    <row r="203" spans="3:17" x14ac:dyDescent="0.25">
      <c r="C203" t="str">
        <f t="shared" si="3"/>
        <v/>
      </c>
      <c r="Q203" t="str" cm="1">
        <f t="array" ref="Q203">IFERROR(IF($P203="","",_xlfn._xlws.FILTER(LT_LST[Lot],(LT_LST[Client Id.]=$C203)*(LT_LST[Strategy]=$D203)*(LT_LST[DTE/WTE]=$E203)*(LT_LST[Symbol]=$I203))),"-")</f>
        <v/>
      </c>
    </row>
    <row r="204" spans="3:17" x14ac:dyDescent="0.25">
      <c r="C204" t="str">
        <f t="shared" si="3"/>
        <v/>
      </c>
      <c r="Q204" t="str" cm="1">
        <f t="array" ref="Q204">IFERROR(IF($P204="","",_xlfn._xlws.FILTER(LT_LST[Lot],(LT_LST[Client Id.]=$C204)*(LT_LST[Strategy]=$D204)*(LT_LST[DTE/WTE]=$E204)*(LT_LST[Symbol]=$I204))),"-")</f>
        <v/>
      </c>
    </row>
    <row r="205" spans="3:17" x14ac:dyDescent="0.25">
      <c r="C205" t="str">
        <f t="shared" si="3"/>
        <v/>
      </c>
      <c r="Q205" t="str" cm="1">
        <f t="array" ref="Q205">IFERROR(IF($P205="","",_xlfn._xlws.FILTER(LT_LST[Lot],(LT_LST[Client Id.]=$C205)*(LT_LST[Strategy]=$D205)*(LT_LST[DTE/WTE]=$E205)*(LT_LST[Symbol]=$I205))),"-")</f>
        <v/>
      </c>
    </row>
    <row r="206" spans="3:17" x14ac:dyDescent="0.25">
      <c r="C206" t="str">
        <f t="shared" si="3"/>
        <v/>
      </c>
      <c r="Q206" t="str" cm="1">
        <f t="array" ref="Q206">IFERROR(IF($P206="","",_xlfn._xlws.FILTER(LT_LST[Lot],(LT_LST[Client Id.]=$C206)*(LT_LST[Strategy]=$D206)*(LT_LST[DTE/WTE]=$E206)*(LT_LST[Symbol]=$I206))),"-")</f>
        <v/>
      </c>
    </row>
    <row r="207" spans="3:17" x14ac:dyDescent="0.25">
      <c r="C207" t="str">
        <f t="shared" si="3"/>
        <v/>
      </c>
      <c r="Q207" t="str" cm="1">
        <f t="array" ref="Q207">IFERROR(IF($P207="","",_xlfn._xlws.FILTER(LT_LST[Lot],(LT_LST[Client Id.]=$C207)*(LT_LST[Strategy]=$D207)*(LT_LST[DTE/WTE]=$E207)*(LT_LST[Symbol]=$I207))),"-")</f>
        <v/>
      </c>
    </row>
    <row r="208" spans="3:17" x14ac:dyDescent="0.25">
      <c r="C208" t="str">
        <f t="shared" si="3"/>
        <v/>
      </c>
      <c r="Q208" t="str" cm="1">
        <f t="array" ref="Q208">IFERROR(IF($P208="","",_xlfn._xlws.FILTER(LT_LST[Lot],(LT_LST[Client Id.]=$C208)*(LT_LST[Strategy]=$D208)*(LT_LST[DTE/WTE]=$E208)*(LT_LST[Symbol]=$I208))),"-")</f>
        <v/>
      </c>
    </row>
    <row r="209" spans="3:17" x14ac:dyDescent="0.25">
      <c r="C209" t="str">
        <f t="shared" si="3"/>
        <v/>
      </c>
      <c r="Q209" t="str" cm="1">
        <f t="array" ref="Q209">IFERROR(IF($P209="","",_xlfn._xlws.FILTER(LT_LST[Lot],(LT_LST[Client Id.]=$C209)*(LT_LST[Strategy]=$D209)*(LT_LST[DTE/WTE]=$E209)*(LT_LST[Symbol]=$I209))),"-")</f>
        <v/>
      </c>
    </row>
    <row r="210" spans="3:17" x14ac:dyDescent="0.25">
      <c r="C210" t="str">
        <f t="shared" si="3"/>
        <v/>
      </c>
      <c r="Q210" t="str" cm="1">
        <f t="array" ref="Q210">IFERROR(IF($P210="","",_xlfn._xlws.FILTER(LT_LST[Lot],(LT_LST[Client Id.]=$C210)*(LT_LST[Strategy]=$D210)*(LT_LST[DTE/WTE]=$E210)*(LT_LST[Symbol]=$I210))),"-")</f>
        <v/>
      </c>
    </row>
    <row r="211" spans="3:17" x14ac:dyDescent="0.25">
      <c r="C211" t="str">
        <f t="shared" si="3"/>
        <v/>
      </c>
      <c r="Q211" t="str" cm="1">
        <f t="array" ref="Q211">IFERROR(IF($P211="","",_xlfn._xlws.FILTER(LT_LST[Lot],(LT_LST[Client Id.]=$C211)*(LT_LST[Strategy]=$D211)*(LT_LST[DTE/WTE]=$E211)*(LT_LST[Symbol]=$I211))),"-")</f>
        <v/>
      </c>
    </row>
    <row r="212" spans="3:17" x14ac:dyDescent="0.25">
      <c r="C212" t="str">
        <f t="shared" si="3"/>
        <v/>
      </c>
      <c r="Q212" t="str" cm="1">
        <f t="array" ref="Q212">IFERROR(IF($P212="","",_xlfn._xlws.FILTER(LT_LST[Lot],(LT_LST[Client Id.]=$C212)*(LT_LST[Strategy]=$D212)*(LT_LST[DTE/WTE]=$E212)*(LT_LST[Symbol]=$I212))),"-")</f>
        <v/>
      </c>
    </row>
    <row r="213" spans="3:17" x14ac:dyDescent="0.25">
      <c r="C213" t="str">
        <f t="shared" si="3"/>
        <v/>
      </c>
      <c r="Q213" t="str" cm="1">
        <f t="array" ref="Q213">IFERROR(IF($P213="","",_xlfn._xlws.FILTER(LT_LST[Lot],(LT_LST[Client Id.]=$C213)*(LT_LST[Strategy]=$D213)*(LT_LST[DTE/WTE]=$E213)*(LT_LST[Symbol]=$I213))),"-")</f>
        <v/>
      </c>
    </row>
    <row r="214" spans="3:17" x14ac:dyDescent="0.25">
      <c r="C214" t="str">
        <f t="shared" si="3"/>
        <v/>
      </c>
      <c r="Q214" t="str" cm="1">
        <f t="array" ref="Q214">IFERROR(IF($P214="","",_xlfn._xlws.FILTER(LT_LST[Lot],(LT_LST[Client Id.]=$C214)*(LT_LST[Strategy]=$D214)*(LT_LST[DTE/WTE]=$E214)*(LT_LST[Symbol]=$I214))),"-")</f>
        <v/>
      </c>
    </row>
    <row r="215" spans="3:17" x14ac:dyDescent="0.25">
      <c r="C215" t="str">
        <f t="shared" si="3"/>
        <v/>
      </c>
      <c r="Q215" t="str" cm="1">
        <f t="array" ref="Q215">IFERROR(IF($P215="","",_xlfn._xlws.FILTER(LT_LST[Lot],(LT_LST[Client Id.]=$C215)*(LT_LST[Strategy]=$D215)*(LT_LST[DTE/WTE]=$E215)*(LT_LST[Symbol]=$I215))),"-")</f>
        <v/>
      </c>
    </row>
    <row r="216" spans="3:17" x14ac:dyDescent="0.25">
      <c r="C216" t="str">
        <f t="shared" si="3"/>
        <v/>
      </c>
      <c r="Q216" t="str" cm="1">
        <f t="array" ref="Q216">IFERROR(IF($P216="","",_xlfn._xlws.FILTER(LT_LST[Lot],(LT_LST[Client Id.]=$C216)*(LT_LST[Strategy]=$D216)*(LT_LST[DTE/WTE]=$E216)*(LT_LST[Symbol]=$I216))),"-")</f>
        <v/>
      </c>
    </row>
    <row r="217" spans="3:17" x14ac:dyDescent="0.25">
      <c r="C217" t="str">
        <f t="shared" si="3"/>
        <v/>
      </c>
      <c r="Q217" t="str" cm="1">
        <f t="array" ref="Q217">IFERROR(IF($P217="","",_xlfn._xlws.FILTER(LT_LST[Lot],(LT_LST[Client Id.]=$C217)*(LT_LST[Strategy]=$D217)*(LT_LST[DTE/WTE]=$E217)*(LT_LST[Symbol]=$I217))),"-")</f>
        <v/>
      </c>
    </row>
    <row r="218" spans="3:17" x14ac:dyDescent="0.25">
      <c r="C218" t="str">
        <f t="shared" si="3"/>
        <v/>
      </c>
      <c r="Q218" t="str" cm="1">
        <f t="array" ref="Q218">IFERROR(IF($P218="","",_xlfn._xlws.FILTER(LT_LST[Lot],(LT_LST[Client Id.]=$C218)*(LT_LST[Strategy]=$D218)*(LT_LST[DTE/WTE]=$E218)*(LT_LST[Symbol]=$I218))),"-")</f>
        <v/>
      </c>
    </row>
    <row r="219" spans="3:17" x14ac:dyDescent="0.25">
      <c r="C219" t="str">
        <f t="shared" si="3"/>
        <v/>
      </c>
      <c r="Q219" t="str" cm="1">
        <f t="array" ref="Q219">IFERROR(IF($P219="","",_xlfn._xlws.FILTER(LT_LST[Lot],(LT_LST[Client Id.]=$C219)*(LT_LST[Strategy]=$D219)*(LT_LST[DTE/WTE]=$E219)*(LT_LST[Symbol]=$I219))),"-")</f>
        <v/>
      </c>
    </row>
    <row r="220" spans="3:17" x14ac:dyDescent="0.25">
      <c r="C220" t="str">
        <f t="shared" si="3"/>
        <v/>
      </c>
      <c r="Q220" t="str" cm="1">
        <f t="array" ref="Q220">IFERROR(IF($P220="","",_xlfn._xlws.FILTER(LT_LST[Lot],(LT_LST[Client Id.]=$C220)*(LT_LST[Strategy]=$D220)*(LT_LST[DTE/WTE]=$E220)*(LT_LST[Symbol]=$I220))),"-")</f>
        <v/>
      </c>
    </row>
    <row r="221" spans="3:17" x14ac:dyDescent="0.25">
      <c r="C221" t="str">
        <f t="shared" si="3"/>
        <v/>
      </c>
      <c r="Q221" t="str" cm="1">
        <f t="array" ref="Q221">IFERROR(IF($P221="","",_xlfn._xlws.FILTER(LT_LST[Lot],(LT_LST[Client Id.]=$C221)*(LT_LST[Strategy]=$D221)*(LT_LST[DTE/WTE]=$E221)*(LT_LST[Symbol]=$I221))),"-")</f>
        <v/>
      </c>
    </row>
    <row r="222" spans="3:17" x14ac:dyDescent="0.25">
      <c r="C222" t="str">
        <f t="shared" si="3"/>
        <v/>
      </c>
      <c r="Q222" t="str" cm="1">
        <f t="array" ref="Q222">IFERROR(IF($P222="","",_xlfn._xlws.FILTER(LT_LST[Lot],(LT_LST[Client Id.]=$C222)*(LT_LST[Strategy]=$D222)*(LT_LST[DTE/WTE]=$E222)*(LT_LST[Symbol]=$I222))),"-")</f>
        <v/>
      </c>
    </row>
    <row r="223" spans="3:17" x14ac:dyDescent="0.25">
      <c r="C223" t="str">
        <f t="shared" si="3"/>
        <v/>
      </c>
      <c r="Q223" t="str" cm="1">
        <f t="array" ref="Q223">IFERROR(IF($P223="","",_xlfn._xlws.FILTER(LT_LST[Lot],(LT_LST[Client Id.]=$C223)*(LT_LST[Strategy]=$D223)*(LT_LST[DTE/WTE]=$E223)*(LT_LST[Symbol]=$I223))),"-")</f>
        <v/>
      </c>
    </row>
    <row r="224" spans="3:17" x14ac:dyDescent="0.25">
      <c r="C224" t="str">
        <f t="shared" si="3"/>
        <v/>
      </c>
      <c r="Q224" t="str" cm="1">
        <f t="array" ref="Q224">IFERROR(IF($P224="","",_xlfn._xlws.FILTER(LT_LST[Lot],(LT_LST[Client Id.]=$C224)*(LT_LST[Strategy]=$D224)*(LT_LST[DTE/WTE]=$E224)*(LT_LST[Symbol]=$I224))),"-")</f>
        <v/>
      </c>
    </row>
    <row r="225" spans="3:17" x14ac:dyDescent="0.25">
      <c r="C225" t="str">
        <f t="shared" si="3"/>
        <v/>
      </c>
      <c r="Q225" t="str" cm="1">
        <f t="array" ref="Q225">IFERROR(IF($P225="","",_xlfn._xlws.FILTER(LT_LST[Lot],(LT_LST[Client Id.]=$C225)*(LT_LST[Strategy]=$D225)*(LT_LST[DTE/WTE]=$E225)*(LT_LST[Symbol]=$I225))),"-")</f>
        <v/>
      </c>
    </row>
    <row r="226" spans="3:17" x14ac:dyDescent="0.25">
      <c r="C226" t="str">
        <f t="shared" si="3"/>
        <v/>
      </c>
      <c r="Q226" t="str" cm="1">
        <f t="array" ref="Q226">IFERROR(IF($P226="","",_xlfn._xlws.FILTER(LT_LST[Lot],(LT_LST[Client Id.]=$C226)*(LT_LST[Strategy]=$D226)*(LT_LST[DTE/WTE]=$E226)*(LT_LST[Symbol]=$I226))),"-")</f>
        <v/>
      </c>
    </row>
    <row r="227" spans="3:17" x14ac:dyDescent="0.25">
      <c r="C227" t="str">
        <f t="shared" si="3"/>
        <v/>
      </c>
      <c r="Q227" t="str" cm="1">
        <f t="array" ref="Q227">IFERROR(IF($P227="","",_xlfn._xlws.FILTER(LT_LST[Lot],(LT_LST[Client Id.]=$C227)*(LT_LST[Strategy]=$D227)*(LT_LST[DTE/WTE]=$E227)*(LT_LST[Symbol]=$I227))),"-")</f>
        <v/>
      </c>
    </row>
    <row r="228" spans="3:17" x14ac:dyDescent="0.25">
      <c r="C228" t="str">
        <f t="shared" si="3"/>
        <v/>
      </c>
      <c r="Q228" t="str" cm="1">
        <f t="array" ref="Q228">IFERROR(IF($P228="","",_xlfn._xlws.FILTER(LT_LST[Lot],(LT_LST[Client Id.]=$C228)*(LT_LST[Strategy]=$D228)*(LT_LST[DTE/WTE]=$E228)*(LT_LST[Symbol]=$I228))),"-")</f>
        <v/>
      </c>
    </row>
    <row r="229" spans="3:17" x14ac:dyDescent="0.25">
      <c r="C229" t="str">
        <f t="shared" si="3"/>
        <v/>
      </c>
      <c r="Q229" t="str" cm="1">
        <f t="array" ref="Q229">IFERROR(IF($P229="","",_xlfn._xlws.FILTER(LT_LST[Lot],(LT_LST[Client Id.]=$C229)*(LT_LST[Strategy]=$D229)*(LT_LST[DTE/WTE]=$E229)*(LT_LST[Symbol]=$I229))),"-")</f>
        <v/>
      </c>
    </row>
    <row r="230" spans="3:17" x14ac:dyDescent="0.25">
      <c r="C230" t="str">
        <f t="shared" si="3"/>
        <v/>
      </c>
      <c r="Q230" t="str" cm="1">
        <f t="array" ref="Q230">IFERROR(IF($P230="","",_xlfn._xlws.FILTER(LT_LST[Lot],(LT_LST[Client Id.]=$C230)*(LT_LST[Strategy]=$D230)*(LT_LST[DTE/WTE]=$E230)*(LT_LST[Symbol]=$I230))),"-")</f>
        <v/>
      </c>
    </row>
    <row r="231" spans="3:17" x14ac:dyDescent="0.25">
      <c r="C231" t="str">
        <f t="shared" si="3"/>
        <v/>
      </c>
      <c r="Q231" t="str" cm="1">
        <f t="array" ref="Q231">IFERROR(IF($P231="","",_xlfn._xlws.FILTER(LT_LST[Lot],(LT_LST[Client Id.]=$C231)*(LT_LST[Strategy]=$D231)*(LT_LST[DTE/WTE]=$E231)*(LT_LST[Symbol]=$I231))),"-")</f>
        <v/>
      </c>
    </row>
    <row r="232" spans="3:17" x14ac:dyDescent="0.25">
      <c r="C232" t="str">
        <f t="shared" si="3"/>
        <v/>
      </c>
      <c r="Q232" t="str" cm="1">
        <f t="array" ref="Q232">IFERROR(IF($P232="","",_xlfn._xlws.FILTER(LT_LST[Lot],(LT_LST[Client Id.]=$C232)*(LT_LST[Strategy]=$D232)*(LT_LST[DTE/WTE]=$E232)*(LT_LST[Symbol]=$I232))),"-")</f>
        <v/>
      </c>
    </row>
    <row r="233" spans="3:17" x14ac:dyDescent="0.25">
      <c r="C233" t="str">
        <f t="shared" si="3"/>
        <v/>
      </c>
      <c r="Q233" t="str" cm="1">
        <f t="array" ref="Q233">IFERROR(IF($P233="","",_xlfn._xlws.FILTER(LT_LST[Lot],(LT_LST[Client Id.]=$C233)*(LT_LST[Strategy]=$D233)*(LT_LST[DTE/WTE]=$E233)*(LT_LST[Symbol]=$I233))),"-")</f>
        <v/>
      </c>
    </row>
    <row r="234" spans="3:17" x14ac:dyDescent="0.25">
      <c r="C234" t="str">
        <f t="shared" si="3"/>
        <v/>
      </c>
      <c r="Q234" t="str" cm="1">
        <f t="array" ref="Q234">IFERROR(IF($P234="","",_xlfn._xlws.FILTER(LT_LST[Lot],(LT_LST[Client Id.]=$C234)*(LT_LST[Strategy]=$D234)*(LT_LST[DTE/WTE]=$E234)*(LT_LST[Symbol]=$I234))),"-")</f>
        <v/>
      </c>
    </row>
    <row r="235" spans="3:17" x14ac:dyDescent="0.25">
      <c r="C235" t="str">
        <f t="shared" si="3"/>
        <v/>
      </c>
      <c r="Q235" t="str" cm="1">
        <f t="array" ref="Q235">IFERROR(IF($P235="","",_xlfn._xlws.FILTER(LT_LST[Lot],(LT_LST[Client Id.]=$C235)*(LT_LST[Strategy]=$D235)*(LT_LST[DTE/WTE]=$E235)*(LT_LST[Symbol]=$I235))),"-")</f>
        <v/>
      </c>
    </row>
    <row r="236" spans="3:17" x14ac:dyDescent="0.25">
      <c r="C236" t="str">
        <f t="shared" si="3"/>
        <v/>
      </c>
      <c r="Q236" t="str" cm="1">
        <f t="array" ref="Q236">IFERROR(IF($P236="","",_xlfn._xlws.FILTER(LT_LST[Lot],(LT_LST[Client Id.]=$C236)*(LT_LST[Strategy]=$D236)*(LT_LST[DTE/WTE]=$E236)*(LT_LST[Symbol]=$I236))),"-")</f>
        <v/>
      </c>
    </row>
    <row r="237" spans="3:17" x14ac:dyDescent="0.25">
      <c r="C237" t="str">
        <f t="shared" si="3"/>
        <v/>
      </c>
      <c r="Q237" t="str" cm="1">
        <f t="array" ref="Q237">IFERROR(IF($P237="","",_xlfn._xlws.FILTER(LT_LST[Lot],(LT_LST[Client Id.]=$C237)*(LT_LST[Strategy]=$D237)*(LT_LST[DTE/WTE]=$E237)*(LT_LST[Symbol]=$I237))),"-")</f>
        <v/>
      </c>
    </row>
    <row r="238" spans="3:17" x14ac:dyDescent="0.25">
      <c r="C238" t="str">
        <f t="shared" si="3"/>
        <v/>
      </c>
      <c r="Q238" t="str" cm="1">
        <f t="array" ref="Q238">IFERROR(IF($P238="","",_xlfn._xlws.FILTER(LT_LST[Lot],(LT_LST[Client Id.]=$C238)*(LT_LST[Strategy]=$D238)*(LT_LST[DTE/WTE]=$E238)*(LT_LST[Symbol]=$I238))),"-")</f>
        <v/>
      </c>
    </row>
    <row r="239" spans="3:17" x14ac:dyDescent="0.25">
      <c r="C239" t="str">
        <f t="shared" si="3"/>
        <v/>
      </c>
      <c r="Q239" t="str" cm="1">
        <f t="array" ref="Q239">IFERROR(IF($P239="","",_xlfn._xlws.FILTER(LT_LST[Lot],(LT_LST[Client Id.]=$C239)*(LT_LST[Strategy]=$D239)*(LT_LST[DTE/WTE]=$E239)*(LT_LST[Symbol]=$I239))),"-")</f>
        <v/>
      </c>
    </row>
    <row r="240" spans="3:17" x14ac:dyDescent="0.25">
      <c r="C240" t="str">
        <f t="shared" si="3"/>
        <v/>
      </c>
      <c r="Q240" t="str" cm="1">
        <f t="array" ref="Q240">IFERROR(IF($P240="","",_xlfn._xlws.FILTER(LT_LST[Lot],(LT_LST[Client Id.]=$C240)*(LT_LST[Strategy]=$D240)*(LT_LST[DTE/WTE]=$E240)*(LT_LST[Symbol]=$I240))),"-")</f>
        <v/>
      </c>
    </row>
    <row r="241" spans="3:17" x14ac:dyDescent="0.25">
      <c r="C241" t="str">
        <f t="shared" si="3"/>
        <v/>
      </c>
      <c r="Q241" t="str" cm="1">
        <f t="array" ref="Q241">IFERROR(IF($P241="","",_xlfn._xlws.FILTER(LT_LST[Lot],(LT_LST[Client Id.]=$C241)*(LT_LST[Strategy]=$D241)*(LT_LST[DTE/WTE]=$E241)*(LT_LST[Symbol]=$I241))),"-")</f>
        <v/>
      </c>
    </row>
    <row r="242" spans="3:17" x14ac:dyDescent="0.25">
      <c r="C242" t="str">
        <f t="shared" si="3"/>
        <v/>
      </c>
      <c r="Q242" t="str" cm="1">
        <f t="array" ref="Q242">IFERROR(IF($P242="","",_xlfn._xlws.FILTER(LT_LST[Lot],(LT_LST[Client Id.]=$C242)*(LT_LST[Strategy]=$D242)*(LT_LST[DTE/WTE]=$E242)*(LT_LST[Symbol]=$I242))),"-")</f>
        <v/>
      </c>
    </row>
    <row r="243" spans="3:17" x14ac:dyDescent="0.25">
      <c r="C243" t="str">
        <f t="shared" si="3"/>
        <v/>
      </c>
      <c r="Q243" t="str" cm="1">
        <f t="array" ref="Q243">IFERROR(IF($P243="","",_xlfn._xlws.FILTER(LT_LST[Lot],(LT_LST[Client Id.]=$C243)*(LT_LST[Strategy]=$D243)*(LT_LST[DTE/WTE]=$E243)*(LT_LST[Symbol]=$I243))),"-")</f>
        <v/>
      </c>
    </row>
    <row r="244" spans="3:17" x14ac:dyDescent="0.25">
      <c r="C244" t="str">
        <f t="shared" si="3"/>
        <v/>
      </c>
      <c r="Q244" t="str" cm="1">
        <f t="array" ref="Q244">IFERROR(IF($P244="","",_xlfn._xlws.FILTER(LT_LST[Lot],(LT_LST[Client Id.]=$C244)*(LT_LST[Strategy]=$D244)*(LT_LST[DTE/WTE]=$E244)*(LT_LST[Symbol]=$I244))),"-")</f>
        <v/>
      </c>
    </row>
    <row r="245" spans="3:17" x14ac:dyDescent="0.25">
      <c r="C245" t="str">
        <f t="shared" si="3"/>
        <v/>
      </c>
      <c r="Q245" t="str" cm="1">
        <f t="array" ref="Q245">IFERROR(IF($P245="","",_xlfn._xlws.FILTER(LT_LST[Lot],(LT_LST[Client Id.]=$C245)*(LT_LST[Strategy]=$D245)*(LT_LST[DTE/WTE]=$E245)*(LT_LST[Symbol]=$I245))),"-")</f>
        <v/>
      </c>
    </row>
    <row r="246" spans="3:17" x14ac:dyDescent="0.25">
      <c r="C246" t="str">
        <f t="shared" si="3"/>
        <v/>
      </c>
      <c r="Q246" t="str" cm="1">
        <f t="array" ref="Q246">IFERROR(IF($P246="","",_xlfn._xlws.FILTER(LT_LST[Lot],(LT_LST[Client Id.]=$C246)*(LT_LST[Strategy]=$D246)*(LT_LST[DTE/WTE]=$E246)*(LT_LST[Symbol]=$I246))),"-")</f>
        <v/>
      </c>
    </row>
    <row r="247" spans="3:17" x14ac:dyDescent="0.25">
      <c r="C247" t="str">
        <f t="shared" si="3"/>
        <v/>
      </c>
      <c r="Q247" t="str" cm="1">
        <f t="array" ref="Q247">IFERROR(IF($P247="","",_xlfn._xlws.FILTER(LT_LST[Lot],(LT_LST[Client Id.]=$C247)*(LT_LST[Strategy]=$D247)*(LT_LST[DTE/WTE]=$E247)*(LT_LST[Symbol]=$I247))),"-")</f>
        <v/>
      </c>
    </row>
    <row r="248" spans="3:17" x14ac:dyDescent="0.25">
      <c r="C248" t="str">
        <f t="shared" si="3"/>
        <v/>
      </c>
      <c r="Q248" t="str" cm="1">
        <f t="array" ref="Q248">IFERROR(IF($P248="","",_xlfn._xlws.FILTER(LT_LST[Lot],(LT_LST[Client Id.]=$C248)*(LT_LST[Strategy]=$D248)*(LT_LST[DTE/WTE]=$E248)*(LT_LST[Symbol]=$I248))),"-")</f>
        <v/>
      </c>
    </row>
    <row r="249" spans="3:17" x14ac:dyDescent="0.25">
      <c r="C249" t="str">
        <f t="shared" si="3"/>
        <v/>
      </c>
      <c r="Q249" t="str" cm="1">
        <f t="array" ref="Q249">IFERROR(IF($P249="","",_xlfn._xlws.FILTER(LT_LST[Lot],(LT_LST[Client Id.]=$C249)*(LT_LST[Strategy]=$D249)*(LT_LST[DTE/WTE]=$E249)*(LT_LST[Symbol]=$I249))),"-")</f>
        <v/>
      </c>
    </row>
    <row r="250" spans="3:17" x14ac:dyDescent="0.25">
      <c r="C250" t="str">
        <f t="shared" si="3"/>
        <v/>
      </c>
      <c r="Q250" t="str" cm="1">
        <f t="array" ref="Q250">IFERROR(IF($P250="","",_xlfn._xlws.FILTER(LT_LST[Lot],(LT_LST[Client Id.]=$C250)*(LT_LST[Strategy]=$D250)*(LT_LST[DTE/WTE]=$E250)*(LT_LST[Symbol]=$I250))),"-")</f>
        <v/>
      </c>
    </row>
    <row r="251" spans="3:17" x14ac:dyDescent="0.25">
      <c r="C251" t="str">
        <f t="shared" si="3"/>
        <v/>
      </c>
      <c r="Q251" t="str" cm="1">
        <f t="array" ref="Q251">IFERROR(IF($P251="","",_xlfn._xlws.FILTER(LT_LST[Lot],(LT_LST[Client Id.]=$C251)*(LT_LST[Strategy]=$D251)*(LT_LST[DTE/WTE]=$E251)*(LT_LST[Symbol]=$I251))),"-")</f>
        <v/>
      </c>
    </row>
    <row r="252" spans="3:17" x14ac:dyDescent="0.25">
      <c r="C252" t="str">
        <f t="shared" si="3"/>
        <v/>
      </c>
      <c r="Q252" t="str" cm="1">
        <f t="array" ref="Q252">IFERROR(IF($P252="","",_xlfn._xlws.FILTER(LT_LST[Lot],(LT_LST[Client Id.]=$C252)*(LT_LST[Strategy]=$D252)*(LT_LST[DTE/WTE]=$E252)*(LT_LST[Symbol]=$I252))),"-")</f>
        <v/>
      </c>
    </row>
    <row r="253" spans="3:17" x14ac:dyDescent="0.25">
      <c r="C253" t="str">
        <f t="shared" si="3"/>
        <v/>
      </c>
      <c r="Q253" t="str" cm="1">
        <f t="array" ref="Q253">IFERROR(IF($P253="","",_xlfn._xlws.FILTER(LT_LST[Lot],(LT_LST[Client Id.]=$C253)*(LT_LST[Strategy]=$D253)*(LT_LST[DTE/WTE]=$E253)*(LT_LST[Symbol]=$I253))),"-")</f>
        <v/>
      </c>
    </row>
    <row r="254" spans="3:17" x14ac:dyDescent="0.25">
      <c r="C254" t="str">
        <f t="shared" si="3"/>
        <v/>
      </c>
      <c r="Q254" t="str" cm="1">
        <f t="array" ref="Q254">IFERROR(IF($P254="","",_xlfn._xlws.FILTER(LT_LST[Lot],(LT_LST[Client Id.]=$C254)*(LT_LST[Strategy]=$D254)*(LT_LST[DTE/WTE]=$E254)*(LT_LST[Symbol]=$I254))),"-")</f>
        <v/>
      </c>
    </row>
    <row r="255" spans="3:17" x14ac:dyDescent="0.25">
      <c r="C255" t="str">
        <f t="shared" si="3"/>
        <v/>
      </c>
      <c r="Q255" t="str" cm="1">
        <f t="array" ref="Q255">IFERROR(IF($P255="","",_xlfn._xlws.FILTER(LT_LST[Lot],(LT_LST[Client Id.]=$C255)*(LT_LST[Strategy]=$D255)*(LT_LST[DTE/WTE]=$E255)*(LT_LST[Symbol]=$I255))),"-")</f>
        <v/>
      </c>
    </row>
    <row r="256" spans="3:17" x14ac:dyDescent="0.25">
      <c r="C256" t="str">
        <f t="shared" si="3"/>
        <v/>
      </c>
      <c r="Q256" t="str" cm="1">
        <f t="array" ref="Q256">IFERROR(IF($P256="","",_xlfn._xlws.FILTER(LT_LST[Lot],(LT_LST[Client Id.]=$C256)*(LT_LST[Strategy]=$D256)*(LT_LST[DTE/WTE]=$E256)*(LT_LST[Symbol]=$I256))),"-")</f>
        <v/>
      </c>
    </row>
    <row r="257" spans="3:17" x14ac:dyDescent="0.25">
      <c r="C257" t="str">
        <f t="shared" si="3"/>
        <v/>
      </c>
      <c r="Q257" t="str" cm="1">
        <f t="array" ref="Q257">IFERROR(IF($P257="","",_xlfn._xlws.FILTER(LT_LST[Lot],(LT_LST[Client Id.]=$C257)*(LT_LST[Strategy]=$D257)*(LT_LST[DTE/WTE]=$E257)*(LT_LST[Symbol]=$I257))),"-")</f>
        <v/>
      </c>
    </row>
    <row r="258" spans="3:17" x14ac:dyDescent="0.25">
      <c r="C258" t="str">
        <f t="shared" si="3"/>
        <v/>
      </c>
      <c r="Q258" t="str" cm="1">
        <f t="array" ref="Q258">IFERROR(IF($P258="","",_xlfn._xlws.FILTER(LT_LST[Lot],(LT_LST[Client Id.]=$C258)*(LT_LST[Strategy]=$D258)*(LT_LST[DTE/WTE]=$E258)*(LT_LST[Symbol]=$I258))),"-")</f>
        <v/>
      </c>
    </row>
    <row r="259" spans="3:17" x14ac:dyDescent="0.25">
      <c r="C259" t="str">
        <f t="shared" si="3"/>
        <v/>
      </c>
      <c r="Q259" t="str" cm="1">
        <f t="array" ref="Q259">IFERROR(IF($P259="","",_xlfn._xlws.FILTER(LT_LST[Lot],(LT_LST[Client Id.]=$C259)*(LT_LST[Strategy]=$D259)*(LT_LST[DTE/WTE]=$E259)*(LT_LST[Symbol]=$I259))),"-")</f>
        <v/>
      </c>
    </row>
    <row r="260" spans="3:17" x14ac:dyDescent="0.25">
      <c r="C260" t="str">
        <f t="shared" ref="C260:C323" si="4">IF(D260="","",$A$1)</f>
        <v/>
      </c>
      <c r="Q260" t="str" cm="1">
        <f t="array" ref="Q260">IFERROR(IF($P260="","",_xlfn._xlws.FILTER(LT_LST[Lot],(LT_LST[Client Id.]=$C260)*(LT_LST[Strategy]=$D260)*(LT_LST[DTE/WTE]=$E260)*(LT_LST[Symbol]=$I260))),"-")</f>
        <v/>
      </c>
    </row>
    <row r="261" spans="3:17" x14ac:dyDescent="0.25">
      <c r="C261" t="str">
        <f t="shared" si="4"/>
        <v/>
      </c>
      <c r="Q261" t="str" cm="1">
        <f t="array" ref="Q261">IFERROR(IF($P261="","",_xlfn._xlws.FILTER(LT_LST[Lot],(LT_LST[Client Id.]=$C261)*(LT_LST[Strategy]=$D261)*(LT_LST[DTE/WTE]=$E261)*(LT_LST[Symbol]=$I261))),"-")</f>
        <v/>
      </c>
    </row>
    <row r="262" spans="3:17" x14ac:dyDescent="0.25">
      <c r="C262" t="str">
        <f t="shared" si="4"/>
        <v/>
      </c>
      <c r="Q262" t="str" cm="1">
        <f t="array" ref="Q262">IFERROR(IF($P262="","",_xlfn._xlws.FILTER(LT_LST[Lot],(LT_LST[Client Id.]=$C262)*(LT_LST[Strategy]=$D262)*(LT_LST[DTE/WTE]=$E262)*(LT_LST[Symbol]=$I262))),"-")</f>
        <v/>
      </c>
    </row>
    <row r="263" spans="3:17" x14ac:dyDescent="0.25">
      <c r="C263" t="str">
        <f t="shared" si="4"/>
        <v/>
      </c>
      <c r="Q263" t="str" cm="1">
        <f t="array" ref="Q263">IFERROR(IF($P263="","",_xlfn._xlws.FILTER(LT_LST[Lot],(LT_LST[Client Id.]=$C263)*(LT_LST[Strategy]=$D263)*(LT_LST[DTE/WTE]=$E263)*(LT_LST[Symbol]=$I263))),"-")</f>
        <v/>
      </c>
    </row>
    <row r="264" spans="3:17" x14ac:dyDescent="0.25">
      <c r="C264" t="str">
        <f t="shared" si="4"/>
        <v/>
      </c>
      <c r="Q264" t="str" cm="1">
        <f t="array" ref="Q264">IFERROR(IF($P264="","",_xlfn._xlws.FILTER(LT_LST[Lot],(LT_LST[Client Id.]=$C264)*(LT_LST[Strategy]=$D264)*(LT_LST[DTE/WTE]=$E264)*(LT_LST[Symbol]=$I264))),"-")</f>
        <v/>
      </c>
    </row>
    <row r="265" spans="3:17" x14ac:dyDescent="0.25">
      <c r="C265" t="str">
        <f t="shared" si="4"/>
        <v/>
      </c>
      <c r="Q265" t="str" cm="1">
        <f t="array" ref="Q265">IFERROR(IF($P265="","",_xlfn._xlws.FILTER(LT_LST[Lot],(LT_LST[Client Id.]=$C265)*(LT_LST[Strategy]=$D265)*(LT_LST[DTE/WTE]=$E265)*(LT_LST[Symbol]=$I265))),"-")</f>
        <v/>
      </c>
    </row>
    <row r="266" spans="3:17" x14ac:dyDescent="0.25">
      <c r="C266" t="str">
        <f t="shared" si="4"/>
        <v/>
      </c>
      <c r="Q266" t="str" cm="1">
        <f t="array" ref="Q266">IFERROR(IF($P266="","",_xlfn._xlws.FILTER(LT_LST[Lot],(LT_LST[Client Id.]=$C266)*(LT_LST[Strategy]=$D266)*(LT_LST[DTE/WTE]=$E266)*(LT_LST[Symbol]=$I266))),"-")</f>
        <v/>
      </c>
    </row>
    <row r="267" spans="3:17" x14ac:dyDescent="0.25">
      <c r="C267" t="str">
        <f t="shared" si="4"/>
        <v/>
      </c>
      <c r="Q267" t="str" cm="1">
        <f t="array" ref="Q267">IFERROR(IF($P267="","",_xlfn._xlws.FILTER(LT_LST[Lot],(LT_LST[Client Id.]=$C267)*(LT_LST[Strategy]=$D267)*(LT_LST[DTE/WTE]=$E267)*(LT_LST[Symbol]=$I267))),"-")</f>
        <v/>
      </c>
    </row>
    <row r="268" spans="3:17" x14ac:dyDescent="0.25">
      <c r="C268" t="str">
        <f t="shared" si="4"/>
        <v/>
      </c>
      <c r="Q268" t="str" cm="1">
        <f t="array" ref="Q268">IFERROR(IF($P268="","",_xlfn._xlws.FILTER(LT_LST[Lot],(LT_LST[Client Id.]=$C268)*(LT_LST[Strategy]=$D268)*(LT_LST[DTE/WTE]=$E268)*(LT_LST[Symbol]=$I268))),"-")</f>
        <v/>
      </c>
    </row>
    <row r="269" spans="3:17" x14ac:dyDescent="0.25">
      <c r="C269" t="str">
        <f t="shared" si="4"/>
        <v/>
      </c>
      <c r="Q269" t="str" cm="1">
        <f t="array" ref="Q269">IFERROR(IF($P269="","",_xlfn._xlws.FILTER(LT_LST[Lot],(LT_LST[Client Id.]=$C269)*(LT_LST[Strategy]=$D269)*(LT_LST[DTE/WTE]=$E269)*(LT_LST[Symbol]=$I269))),"-")</f>
        <v/>
      </c>
    </row>
    <row r="270" spans="3:17" x14ac:dyDescent="0.25">
      <c r="C270" t="str">
        <f t="shared" si="4"/>
        <v/>
      </c>
      <c r="Q270" t="str" cm="1">
        <f t="array" ref="Q270">IFERROR(IF($P270="","",_xlfn._xlws.FILTER(LT_LST[Lot],(LT_LST[Client Id.]=$C270)*(LT_LST[Strategy]=$D270)*(LT_LST[DTE/WTE]=$E270)*(LT_LST[Symbol]=$I270))),"-")</f>
        <v/>
      </c>
    </row>
    <row r="271" spans="3:17" x14ac:dyDescent="0.25">
      <c r="C271" t="str">
        <f t="shared" si="4"/>
        <v/>
      </c>
      <c r="Q271" t="str" cm="1">
        <f t="array" ref="Q271">IFERROR(IF($P271="","",_xlfn._xlws.FILTER(LT_LST[Lot],(LT_LST[Client Id.]=$C271)*(LT_LST[Strategy]=$D271)*(LT_LST[DTE/WTE]=$E271)*(LT_LST[Symbol]=$I271))),"-")</f>
        <v/>
      </c>
    </row>
    <row r="272" spans="3:17" x14ac:dyDescent="0.25">
      <c r="C272" t="str">
        <f t="shared" si="4"/>
        <v/>
      </c>
      <c r="Q272" t="str" cm="1">
        <f t="array" ref="Q272">IFERROR(IF($P272="","",_xlfn._xlws.FILTER(LT_LST[Lot],(LT_LST[Client Id.]=$C272)*(LT_LST[Strategy]=$D272)*(LT_LST[DTE/WTE]=$E272)*(LT_LST[Symbol]=$I272))),"-")</f>
        <v/>
      </c>
    </row>
    <row r="273" spans="3:17" x14ac:dyDescent="0.25">
      <c r="C273" t="str">
        <f t="shared" si="4"/>
        <v/>
      </c>
      <c r="Q273" t="str" cm="1">
        <f t="array" ref="Q273">IFERROR(IF($P273="","",_xlfn._xlws.FILTER(LT_LST[Lot],(LT_LST[Client Id.]=$C273)*(LT_LST[Strategy]=$D273)*(LT_LST[DTE/WTE]=$E273)*(LT_LST[Symbol]=$I273))),"-")</f>
        <v/>
      </c>
    </row>
    <row r="274" spans="3:17" x14ac:dyDescent="0.25">
      <c r="C274" t="str">
        <f t="shared" si="4"/>
        <v/>
      </c>
      <c r="Q274" t="str" cm="1">
        <f t="array" ref="Q274">IFERROR(IF($P274="","",_xlfn._xlws.FILTER(LT_LST[Lot],(LT_LST[Client Id.]=$C274)*(LT_LST[Strategy]=$D274)*(LT_LST[DTE/WTE]=$E274)*(LT_LST[Symbol]=$I274))),"-")</f>
        <v/>
      </c>
    </row>
    <row r="275" spans="3:17" x14ac:dyDescent="0.25">
      <c r="C275" t="str">
        <f t="shared" si="4"/>
        <v/>
      </c>
      <c r="Q275" t="str" cm="1">
        <f t="array" ref="Q275">IFERROR(IF($P275="","",_xlfn._xlws.FILTER(LT_LST[Lot],(LT_LST[Client Id.]=$C275)*(LT_LST[Strategy]=$D275)*(LT_LST[DTE/WTE]=$E275)*(LT_LST[Symbol]=$I275))),"-")</f>
        <v/>
      </c>
    </row>
    <row r="276" spans="3:17" x14ac:dyDescent="0.25">
      <c r="C276" t="str">
        <f t="shared" si="4"/>
        <v/>
      </c>
      <c r="Q276" t="str" cm="1">
        <f t="array" ref="Q276">IFERROR(IF($P276="","",_xlfn._xlws.FILTER(LT_LST[Lot],(LT_LST[Client Id.]=$C276)*(LT_LST[Strategy]=$D276)*(LT_LST[DTE/WTE]=$E276)*(LT_LST[Symbol]=$I276))),"-")</f>
        <v/>
      </c>
    </row>
    <row r="277" spans="3:17" x14ac:dyDescent="0.25">
      <c r="C277" t="str">
        <f t="shared" si="4"/>
        <v/>
      </c>
      <c r="Q277" t="str" cm="1">
        <f t="array" ref="Q277">IFERROR(IF($P277="","",_xlfn._xlws.FILTER(LT_LST[Lot],(LT_LST[Client Id.]=$C277)*(LT_LST[Strategy]=$D277)*(LT_LST[DTE/WTE]=$E277)*(LT_LST[Symbol]=$I277))),"-")</f>
        <v/>
      </c>
    </row>
    <row r="278" spans="3:17" x14ac:dyDescent="0.25">
      <c r="C278" t="str">
        <f t="shared" si="4"/>
        <v/>
      </c>
      <c r="Q278" t="str" cm="1">
        <f t="array" ref="Q278">IFERROR(IF($P278="","",_xlfn._xlws.FILTER(LT_LST[Lot],(LT_LST[Client Id.]=$C278)*(LT_LST[Strategy]=$D278)*(LT_LST[DTE/WTE]=$E278)*(LT_LST[Symbol]=$I278))),"-")</f>
        <v/>
      </c>
    </row>
    <row r="279" spans="3:17" x14ac:dyDescent="0.25">
      <c r="C279" t="str">
        <f t="shared" si="4"/>
        <v/>
      </c>
      <c r="Q279" t="str" cm="1">
        <f t="array" ref="Q279">IFERROR(IF($P279="","",_xlfn._xlws.FILTER(LT_LST[Lot],(LT_LST[Client Id.]=$C279)*(LT_LST[Strategy]=$D279)*(LT_LST[DTE/WTE]=$E279)*(LT_LST[Symbol]=$I279))),"-")</f>
        <v/>
      </c>
    </row>
    <row r="280" spans="3:17" x14ac:dyDescent="0.25">
      <c r="C280" t="str">
        <f t="shared" si="4"/>
        <v/>
      </c>
      <c r="Q280" t="str" cm="1">
        <f t="array" ref="Q280">IFERROR(IF($P280="","",_xlfn._xlws.FILTER(LT_LST[Lot],(LT_LST[Client Id.]=$C280)*(LT_LST[Strategy]=$D280)*(LT_LST[DTE/WTE]=$E280)*(LT_LST[Symbol]=$I280))),"-")</f>
        <v/>
      </c>
    </row>
    <row r="281" spans="3:17" x14ac:dyDescent="0.25">
      <c r="C281" t="str">
        <f t="shared" si="4"/>
        <v/>
      </c>
      <c r="Q281" t="str" cm="1">
        <f t="array" ref="Q281">IFERROR(IF($P281="","",_xlfn._xlws.FILTER(LT_LST[Lot],(LT_LST[Client Id.]=$C281)*(LT_LST[Strategy]=$D281)*(LT_LST[DTE/WTE]=$E281)*(LT_LST[Symbol]=$I281))),"-")</f>
        <v/>
      </c>
    </row>
    <row r="282" spans="3:17" x14ac:dyDescent="0.25">
      <c r="C282" t="str">
        <f t="shared" si="4"/>
        <v/>
      </c>
      <c r="Q282" t="str" cm="1">
        <f t="array" ref="Q282">IFERROR(IF($P282="","",_xlfn._xlws.FILTER(LT_LST[Lot],(LT_LST[Client Id.]=$C282)*(LT_LST[Strategy]=$D282)*(LT_LST[DTE/WTE]=$E282)*(LT_LST[Symbol]=$I282))),"-")</f>
        <v/>
      </c>
    </row>
    <row r="283" spans="3:17" x14ac:dyDescent="0.25">
      <c r="C283" t="str">
        <f t="shared" si="4"/>
        <v/>
      </c>
      <c r="Q283" t="str" cm="1">
        <f t="array" ref="Q283">IFERROR(IF($P283="","",_xlfn._xlws.FILTER(LT_LST[Lot],(LT_LST[Client Id.]=$C283)*(LT_LST[Strategy]=$D283)*(LT_LST[DTE/WTE]=$E283)*(LT_LST[Symbol]=$I283))),"-")</f>
        <v/>
      </c>
    </row>
    <row r="284" spans="3:17" x14ac:dyDescent="0.25">
      <c r="C284" t="str">
        <f t="shared" si="4"/>
        <v/>
      </c>
      <c r="Q284" t="str" cm="1">
        <f t="array" ref="Q284">IFERROR(IF($P284="","",_xlfn._xlws.FILTER(LT_LST[Lot],(LT_LST[Client Id.]=$C284)*(LT_LST[Strategy]=$D284)*(LT_LST[DTE/WTE]=$E284)*(LT_LST[Symbol]=$I284))),"-")</f>
        <v/>
      </c>
    </row>
    <row r="285" spans="3:17" x14ac:dyDescent="0.25">
      <c r="C285" t="str">
        <f t="shared" si="4"/>
        <v/>
      </c>
      <c r="Q285" t="str" cm="1">
        <f t="array" ref="Q285">IFERROR(IF($P285="","",_xlfn._xlws.FILTER(LT_LST[Lot],(LT_LST[Client Id.]=$C285)*(LT_LST[Strategy]=$D285)*(LT_LST[DTE/WTE]=$E285)*(LT_LST[Symbol]=$I285))),"-")</f>
        <v/>
      </c>
    </row>
    <row r="286" spans="3:17" x14ac:dyDescent="0.25">
      <c r="C286" t="str">
        <f t="shared" si="4"/>
        <v/>
      </c>
      <c r="Q286" t="str" cm="1">
        <f t="array" ref="Q286">IFERROR(IF($P286="","",_xlfn._xlws.FILTER(LT_LST[Lot],(LT_LST[Client Id.]=$C286)*(LT_LST[Strategy]=$D286)*(LT_LST[DTE/WTE]=$E286)*(LT_LST[Symbol]=$I286))),"-")</f>
        <v/>
      </c>
    </row>
    <row r="287" spans="3:17" x14ac:dyDescent="0.25">
      <c r="C287" t="str">
        <f t="shared" si="4"/>
        <v/>
      </c>
      <c r="Q287" t="str" cm="1">
        <f t="array" ref="Q287">IFERROR(IF($P287="","",_xlfn._xlws.FILTER(LT_LST[Lot],(LT_LST[Client Id.]=$C287)*(LT_LST[Strategy]=$D287)*(LT_LST[DTE/WTE]=$E287)*(LT_LST[Symbol]=$I287))),"-")</f>
        <v/>
      </c>
    </row>
    <row r="288" spans="3:17" x14ac:dyDescent="0.25">
      <c r="C288" t="str">
        <f t="shared" si="4"/>
        <v/>
      </c>
      <c r="Q288" t="str" cm="1">
        <f t="array" ref="Q288">IFERROR(IF($P288="","",_xlfn._xlws.FILTER(LT_LST[Lot],(LT_LST[Client Id.]=$C288)*(LT_LST[Strategy]=$D288)*(LT_LST[DTE/WTE]=$E288)*(LT_LST[Symbol]=$I288))),"-")</f>
        <v/>
      </c>
    </row>
    <row r="289" spans="3:17" x14ac:dyDescent="0.25">
      <c r="C289" t="str">
        <f t="shared" si="4"/>
        <v/>
      </c>
      <c r="Q289" t="str" cm="1">
        <f t="array" ref="Q289">IFERROR(IF($P289="","",_xlfn._xlws.FILTER(LT_LST[Lot],(LT_LST[Client Id.]=$C289)*(LT_LST[Strategy]=$D289)*(LT_LST[DTE/WTE]=$E289)*(LT_LST[Symbol]=$I289))),"-")</f>
        <v/>
      </c>
    </row>
    <row r="290" spans="3:17" x14ac:dyDescent="0.25">
      <c r="C290" t="str">
        <f t="shared" si="4"/>
        <v/>
      </c>
      <c r="Q290" t="str" cm="1">
        <f t="array" ref="Q290">IFERROR(IF($P290="","",_xlfn._xlws.FILTER(LT_LST[Lot],(LT_LST[Client Id.]=$C290)*(LT_LST[Strategy]=$D290)*(LT_LST[DTE/WTE]=$E290)*(LT_LST[Symbol]=$I290))),"-")</f>
        <v/>
      </c>
    </row>
    <row r="291" spans="3:17" x14ac:dyDescent="0.25">
      <c r="C291" t="str">
        <f t="shared" si="4"/>
        <v/>
      </c>
      <c r="Q291" t="str" cm="1">
        <f t="array" ref="Q291">IFERROR(IF($P291="","",_xlfn._xlws.FILTER(LT_LST[Lot],(LT_LST[Client Id.]=$C291)*(LT_LST[Strategy]=$D291)*(LT_LST[DTE/WTE]=$E291)*(LT_LST[Symbol]=$I291))),"-")</f>
        <v/>
      </c>
    </row>
    <row r="292" spans="3:17" x14ac:dyDescent="0.25">
      <c r="C292" t="str">
        <f t="shared" si="4"/>
        <v/>
      </c>
      <c r="Q292" t="str" cm="1">
        <f t="array" ref="Q292">IFERROR(IF($P292="","",_xlfn._xlws.FILTER(LT_LST[Lot],(LT_LST[Client Id.]=$C292)*(LT_LST[Strategy]=$D292)*(LT_LST[DTE/WTE]=$E292)*(LT_LST[Symbol]=$I292))),"-")</f>
        <v/>
      </c>
    </row>
    <row r="293" spans="3:17" x14ac:dyDescent="0.25">
      <c r="C293" t="str">
        <f t="shared" si="4"/>
        <v/>
      </c>
      <c r="Q293" t="str" cm="1">
        <f t="array" ref="Q293">IFERROR(IF($P293="","",_xlfn._xlws.FILTER(LT_LST[Lot],(LT_LST[Client Id.]=$C293)*(LT_LST[Strategy]=$D293)*(LT_LST[DTE/WTE]=$E293)*(LT_LST[Symbol]=$I293))),"-")</f>
        <v/>
      </c>
    </row>
    <row r="294" spans="3:17" x14ac:dyDescent="0.25">
      <c r="C294" t="str">
        <f t="shared" si="4"/>
        <v/>
      </c>
      <c r="Q294" t="str" cm="1">
        <f t="array" ref="Q294">IFERROR(IF($P294="","",_xlfn._xlws.FILTER(LT_LST[Lot],(LT_LST[Client Id.]=$C294)*(LT_LST[Strategy]=$D294)*(LT_LST[DTE/WTE]=$E294)*(LT_LST[Symbol]=$I294))),"-")</f>
        <v/>
      </c>
    </row>
    <row r="295" spans="3:17" x14ac:dyDescent="0.25">
      <c r="C295" t="str">
        <f t="shared" si="4"/>
        <v/>
      </c>
      <c r="Q295" t="str" cm="1">
        <f t="array" ref="Q295">IFERROR(IF($P295="","",_xlfn._xlws.FILTER(LT_LST[Lot],(LT_LST[Client Id.]=$C295)*(LT_LST[Strategy]=$D295)*(LT_LST[DTE/WTE]=$E295)*(LT_LST[Symbol]=$I295))),"-")</f>
        <v/>
      </c>
    </row>
    <row r="296" spans="3:17" x14ac:dyDescent="0.25">
      <c r="C296" t="str">
        <f t="shared" si="4"/>
        <v/>
      </c>
      <c r="Q296" t="str" cm="1">
        <f t="array" ref="Q296">IFERROR(IF($P296="","",_xlfn._xlws.FILTER(LT_LST[Lot],(LT_LST[Client Id.]=$C296)*(LT_LST[Strategy]=$D296)*(LT_LST[DTE/WTE]=$E296)*(LT_LST[Symbol]=$I296))),"-")</f>
        <v/>
      </c>
    </row>
    <row r="297" spans="3:17" x14ac:dyDescent="0.25">
      <c r="C297" t="str">
        <f t="shared" si="4"/>
        <v/>
      </c>
      <c r="Q297" t="str" cm="1">
        <f t="array" ref="Q297">IFERROR(IF($P297="","",_xlfn._xlws.FILTER(LT_LST[Lot],(LT_LST[Client Id.]=$C297)*(LT_LST[Strategy]=$D297)*(LT_LST[DTE/WTE]=$E297)*(LT_LST[Symbol]=$I297))),"-")</f>
        <v/>
      </c>
    </row>
    <row r="298" spans="3:17" x14ac:dyDescent="0.25">
      <c r="C298" t="str">
        <f t="shared" si="4"/>
        <v/>
      </c>
      <c r="Q298" t="str" cm="1">
        <f t="array" ref="Q298">IFERROR(IF($P298="","",_xlfn._xlws.FILTER(LT_LST[Lot],(LT_LST[Client Id.]=$C298)*(LT_LST[Strategy]=$D298)*(LT_LST[DTE/WTE]=$E298)*(LT_LST[Symbol]=$I298))),"-")</f>
        <v/>
      </c>
    </row>
    <row r="299" spans="3:17" x14ac:dyDescent="0.25">
      <c r="C299" t="str">
        <f t="shared" si="4"/>
        <v/>
      </c>
      <c r="Q299" t="str" cm="1">
        <f t="array" ref="Q299">IFERROR(IF($P299="","",_xlfn._xlws.FILTER(LT_LST[Lot],(LT_LST[Client Id.]=$C299)*(LT_LST[Strategy]=$D299)*(LT_LST[DTE/WTE]=$E299)*(LT_LST[Symbol]=$I299))),"-")</f>
        <v/>
      </c>
    </row>
    <row r="300" spans="3:17" x14ac:dyDescent="0.25">
      <c r="C300" t="str">
        <f t="shared" si="4"/>
        <v/>
      </c>
      <c r="Q300" t="str" cm="1">
        <f t="array" ref="Q300">IFERROR(IF($P300="","",_xlfn._xlws.FILTER(LT_LST[Lot],(LT_LST[Client Id.]=$C300)*(LT_LST[Strategy]=$D300)*(LT_LST[DTE/WTE]=$E300)*(LT_LST[Symbol]=$I300))),"-")</f>
        <v/>
      </c>
    </row>
    <row r="301" spans="3:17" x14ac:dyDescent="0.25">
      <c r="C301" t="str">
        <f t="shared" si="4"/>
        <v/>
      </c>
      <c r="Q301" t="str" cm="1">
        <f t="array" ref="Q301">IFERROR(IF($P301="","",_xlfn._xlws.FILTER(LT_LST[Lot],(LT_LST[Client Id.]=$C301)*(LT_LST[Strategy]=$D301)*(LT_LST[DTE/WTE]=$E301)*(LT_LST[Symbol]=$I301))),"-")</f>
        <v/>
      </c>
    </row>
    <row r="302" spans="3:17" x14ac:dyDescent="0.25">
      <c r="C302" t="str">
        <f t="shared" si="4"/>
        <v/>
      </c>
      <c r="Q302" t="str" cm="1">
        <f t="array" ref="Q302">IFERROR(IF($P302="","",_xlfn._xlws.FILTER(LT_LST[Lot],(LT_LST[Client Id.]=$C302)*(LT_LST[Strategy]=$D302)*(LT_LST[DTE/WTE]=$E302)*(LT_LST[Symbol]=$I302))),"-")</f>
        <v/>
      </c>
    </row>
    <row r="303" spans="3:17" x14ac:dyDescent="0.25">
      <c r="C303" t="str">
        <f t="shared" si="4"/>
        <v/>
      </c>
      <c r="Q303" t="str" cm="1">
        <f t="array" ref="Q303">IFERROR(IF($P303="","",_xlfn._xlws.FILTER(LT_LST[Lot],(LT_LST[Client Id.]=$C303)*(LT_LST[Strategy]=$D303)*(LT_LST[DTE/WTE]=$E303)*(LT_LST[Symbol]=$I303))),"-")</f>
        <v/>
      </c>
    </row>
    <row r="304" spans="3:17" x14ac:dyDescent="0.25">
      <c r="C304" t="str">
        <f t="shared" si="4"/>
        <v/>
      </c>
      <c r="Q304" t="str" cm="1">
        <f t="array" ref="Q304">IFERROR(IF($P304="","",_xlfn._xlws.FILTER(LT_LST[Lot],(LT_LST[Client Id.]=$C304)*(LT_LST[Strategy]=$D304)*(LT_LST[DTE/WTE]=$E304)*(LT_LST[Symbol]=$I304))),"-")</f>
        <v/>
      </c>
    </row>
    <row r="305" spans="3:17" x14ac:dyDescent="0.25">
      <c r="C305" t="str">
        <f t="shared" si="4"/>
        <v/>
      </c>
      <c r="Q305" t="str" cm="1">
        <f t="array" ref="Q305">IFERROR(IF($P305="","",_xlfn._xlws.FILTER(LT_LST[Lot],(LT_LST[Client Id.]=$C305)*(LT_LST[Strategy]=$D305)*(LT_LST[DTE/WTE]=$E305)*(LT_LST[Symbol]=$I305))),"-")</f>
        <v/>
      </c>
    </row>
    <row r="306" spans="3:17" x14ac:dyDescent="0.25">
      <c r="C306" t="str">
        <f t="shared" si="4"/>
        <v/>
      </c>
      <c r="Q306" t="str" cm="1">
        <f t="array" ref="Q306">IFERROR(IF($P306="","",_xlfn._xlws.FILTER(LT_LST[Lot],(LT_LST[Client Id.]=$C306)*(LT_LST[Strategy]=$D306)*(LT_LST[DTE/WTE]=$E306)*(LT_LST[Symbol]=$I306))),"-")</f>
        <v/>
      </c>
    </row>
    <row r="307" spans="3:17" x14ac:dyDescent="0.25">
      <c r="C307" t="str">
        <f t="shared" si="4"/>
        <v/>
      </c>
      <c r="Q307" t="str" cm="1">
        <f t="array" ref="Q307">IFERROR(IF($P307="","",_xlfn._xlws.FILTER(LT_LST[Lot],(LT_LST[Client Id.]=$C307)*(LT_LST[Strategy]=$D307)*(LT_LST[DTE/WTE]=$E307)*(LT_LST[Symbol]=$I307))),"-")</f>
        <v/>
      </c>
    </row>
    <row r="308" spans="3:17" x14ac:dyDescent="0.25">
      <c r="C308" t="str">
        <f t="shared" si="4"/>
        <v/>
      </c>
      <c r="Q308" t="str" cm="1">
        <f t="array" ref="Q308">IFERROR(IF($P308="","",_xlfn._xlws.FILTER(LT_LST[Lot],(LT_LST[Client Id.]=$C308)*(LT_LST[Strategy]=$D308)*(LT_LST[DTE/WTE]=$E308)*(LT_LST[Symbol]=$I308))),"-")</f>
        <v/>
      </c>
    </row>
    <row r="309" spans="3:17" x14ac:dyDescent="0.25">
      <c r="C309" t="str">
        <f t="shared" si="4"/>
        <v/>
      </c>
      <c r="Q309" t="str" cm="1">
        <f t="array" ref="Q309">IFERROR(IF($P309="","",_xlfn._xlws.FILTER(LT_LST[Lot],(LT_LST[Client Id.]=$C309)*(LT_LST[Strategy]=$D309)*(LT_LST[DTE/WTE]=$E309)*(LT_LST[Symbol]=$I309))),"-")</f>
        <v/>
      </c>
    </row>
    <row r="310" spans="3:17" x14ac:dyDescent="0.25">
      <c r="C310" t="str">
        <f t="shared" si="4"/>
        <v/>
      </c>
      <c r="Q310" t="str" cm="1">
        <f t="array" ref="Q310">IFERROR(IF($P310="","",_xlfn._xlws.FILTER(LT_LST[Lot],(LT_LST[Client Id.]=$C310)*(LT_LST[Strategy]=$D310)*(LT_LST[DTE/WTE]=$E310)*(LT_LST[Symbol]=$I310))),"-")</f>
        <v/>
      </c>
    </row>
    <row r="311" spans="3:17" x14ac:dyDescent="0.25">
      <c r="C311" t="str">
        <f t="shared" si="4"/>
        <v/>
      </c>
      <c r="Q311" t="str" cm="1">
        <f t="array" ref="Q311">IFERROR(IF($P311="","",_xlfn._xlws.FILTER(LT_LST[Lot],(LT_LST[Client Id.]=$C311)*(LT_LST[Strategy]=$D311)*(LT_LST[DTE/WTE]=$E311)*(LT_LST[Symbol]=$I311))),"-")</f>
        <v/>
      </c>
    </row>
    <row r="312" spans="3:17" x14ac:dyDescent="0.25">
      <c r="C312" t="str">
        <f t="shared" si="4"/>
        <v/>
      </c>
      <c r="Q312" t="str" cm="1">
        <f t="array" ref="Q312">IFERROR(IF($P312="","",_xlfn._xlws.FILTER(LT_LST[Lot],(LT_LST[Client Id.]=$C312)*(LT_LST[Strategy]=$D312)*(LT_LST[DTE/WTE]=$E312)*(LT_LST[Symbol]=$I312))),"-")</f>
        <v/>
      </c>
    </row>
    <row r="313" spans="3:17" x14ac:dyDescent="0.25">
      <c r="C313" t="str">
        <f t="shared" si="4"/>
        <v/>
      </c>
      <c r="Q313" t="str" cm="1">
        <f t="array" ref="Q313">IFERROR(IF($P313="","",_xlfn._xlws.FILTER(LT_LST[Lot],(LT_LST[Client Id.]=$C313)*(LT_LST[Strategy]=$D313)*(LT_LST[DTE/WTE]=$E313)*(LT_LST[Symbol]=$I313))),"-")</f>
        <v/>
      </c>
    </row>
    <row r="314" spans="3:17" x14ac:dyDescent="0.25">
      <c r="C314" t="str">
        <f t="shared" si="4"/>
        <v/>
      </c>
      <c r="Q314" t="str" cm="1">
        <f t="array" ref="Q314">IFERROR(IF($P314="","",_xlfn._xlws.FILTER(LT_LST[Lot],(LT_LST[Client Id.]=$C314)*(LT_LST[Strategy]=$D314)*(LT_LST[DTE/WTE]=$E314)*(LT_LST[Symbol]=$I314))),"-")</f>
        <v/>
      </c>
    </row>
    <row r="315" spans="3:17" x14ac:dyDescent="0.25">
      <c r="C315" t="str">
        <f t="shared" si="4"/>
        <v/>
      </c>
      <c r="Q315" t="str" cm="1">
        <f t="array" ref="Q315">IFERROR(IF($P315="","",_xlfn._xlws.FILTER(LT_LST[Lot],(LT_LST[Client Id.]=$C315)*(LT_LST[Strategy]=$D315)*(LT_LST[DTE/WTE]=$E315)*(LT_LST[Symbol]=$I315))),"-")</f>
        <v/>
      </c>
    </row>
    <row r="316" spans="3:17" x14ac:dyDescent="0.25">
      <c r="C316" t="str">
        <f t="shared" si="4"/>
        <v/>
      </c>
      <c r="Q316" t="str" cm="1">
        <f t="array" ref="Q316">IFERROR(IF($P316="","",_xlfn._xlws.FILTER(LT_LST[Lot],(LT_LST[Client Id.]=$C316)*(LT_LST[Strategy]=$D316)*(LT_LST[DTE/WTE]=$E316)*(LT_LST[Symbol]=$I316))),"-")</f>
        <v/>
      </c>
    </row>
    <row r="317" spans="3:17" x14ac:dyDescent="0.25">
      <c r="C317" t="str">
        <f t="shared" si="4"/>
        <v/>
      </c>
      <c r="Q317" t="str" cm="1">
        <f t="array" ref="Q317">IFERROR(IF($P317="","",_xlfn._xlws.FILTER(LT_LST[Lot],(LT_LST[Client Id.]=$C317)*(LT_LST[Strategy]=$D317)*(LT_LST[DTE/WTE]=$E317)*(LT_LST[Symbol]=$I317))),"-")</f>
        <v/>
      </c>
    </row>
    <row r="318" spans="3:17" x14ac:dyDescent="0.25">
      <c r="C318" t="str">
        <f t="shared" si="4"/>
        <v/>
      </c>
      <c r="Q318" t="str" cm="1">
        <f t="array" ref="Q318">IFERROR(IF($P318="","",_xlfn._xlws.FILTER(LT_LST[Lot],(LT_LST[Client Id.]=$C318)*(LT_LST[Strategy]=$D318)*(LT_LST[DTE/WTE]=$E318)*(LT_LST[Symbol]=$I318))),"-")</f>
        <v/>
      </c>
    </row>
    <row r="319" spans="3:17" x14ac:dyDescent="0.25">
      <c r="C319" t="str">
        <f t="shared" si="4"/>
        <v/>
      </c>
      <c r="Q319" t="str" cm="1">
        <f t="array" ref="Q319">IFERROR(IF($P319="","",_xlfn._xlws.FILTER(LT_LST[Lot],(LT_LST[Client Id.]=$C319)*(LT_LST[Strategy]=$D319)*(LT_LST[DTE/WTE]=$E319)*(LT_LST[Symbol]=$I319))),"-")</f>
        <v/>
      </c>
    </row>
    <row r="320" spans="3:17" x14ac:dyDescent="0.25">
      <c r="C320" t="str">
        <f t="shared" si="4"/>
        <v/>
      </c>
      <c r="Q320" t="str" cm="1">
        <f t="array" ref="Q320">IFERROR(IF($P320="","",_xlfn._xlws.FILTER(LT_LST[Lot],(LT_LST[Client Id.]=$C320)*(LT_LST[Strategy]=$D320)*(LT_LST[DTE/WTE]=$E320)*(LT_LST[Symbol]=$I320))),"-")</f>
        <v/>
      </c>
    </row>
    <row r="321" spans="3:17" x14ac:dyDescent="0.25">
      <c r="C321" t="str">
        <f t="shared" si="4"/>
        <v/>
      </c>
      <c r="Q321" t="str" cm="1">
        <f t="array" ref="Q321">IFERROR(IF($P321="","",_xlfn._xlws.FILTER(LT_LST[Lot],(LT_LST[Client Id.]=$C321)*(LT_LST[Strategy]=$D321)*(LT_LST[DTE/WTE]=$E321)*(LT_LST[Symbol]=$I321))),"-")</f>
        <v/>
      </c>
    </row>
    <row r="322" spans="3:17" x14ac:dyDescent="0.25">
      <c r="C322" t="str">
        <f t="shared" si="4"/>
        <v/>
      </c>
      <c r="Q322" t="str" cm="1">
        <f t="array" ref="Q322">IFERROR(IF($P322="","",_xlfn._xlws.FILTER(LT_LST[Lot],(LT_LST[Client Id.]=$C322)*(LT_LST[Strategy]=$D322)*(LT_LST[DTE/WTE]=$E322)*(LT_LST[Symbol]=$I322))),"-")</f>
        <v/>
      </c>
    </row>
    <row r="323" spans="3:17" x14ac:dyDescent="0.25">
      <c r="C323" t="str">
        <f t="shared" si="4"/>
        <v/>
      </c>
      <c r="Q323" t="str" cm="1">
        <f t="array" ref="Q323">IFERROR(IF($P323="","",_xlfn._xlws.FILTER(LT_LST[Lot],(LT_LST[Client Id.]=$C323)*(LT_LST[Strategy]=$D323)*(LT_LST[DTE/WTE]=$E323)*(LT_LST[Symbol]=$I323))),"-")</f>
        <v/>
      </c>
    </row>
    <row r="324" spans="3:17" x14ac:dyDescent="0.25">
      <c r="C324" t="str">
        <f t="shared" ref="C324:C382" si="5">IF(D324="","",$A$1)</f>
        <v/>
      </c>
      <c r="Q324" t="str" cm="1">
        <f t="array" ref="Q324">IFERROR(IF($P324="","",_xlfn._xlws.FILTER(LT_LST[Lot],(LT_LST[Client Id.]=$C324)*(LT_LST[Strategy]=$D324)*(LT_LST[DTE/WTE]=$E324)*(LT_LST[Symbol]=$I324))),"-")</f>
        <v/>
      </c>
    </row>
    <row r="325" spans="3:17" x14ac:dyDescent="0.25">
      <c r="C325" t="str">
        <f t="shared" si="5"/>
        <v/>
      </c>
      <c r="Q325" t="str" cm="1">
        <f t="array" ref="Q325">IFERROR(IF($P325="","",_xlfn._xlws.FILTER(LT_LST[Lot],(LT_LST[Client Id.]=$C325)*(LT_LST[Strategy]=$D325)*(LT_LST[DTE/WTE]=$E325)*(LT_LST[Symbol]=$I325))),"-")</f>
        <v/>
      </c>
    </row>
    <row r="326" spans="3:17" x14ac:dyDescent="0.25">
      <c r="C326" t="str">
        <f t="shared" si="5"/>
        <v/>
      </c>
      <c r="Q326" t="str" cm="1">
        <f t="array" ref="Q326">IFERROR(IF($P326="","",_xlfn._xlws.FILTER(LT_LST[Lot],(LT_LST[Client Id.]=$C326)*(LT_LST[Strategy]=$D326)*(LT_LST[DTE/WTE]=$E326)*(LT_LST[Symbol]=$I326))),"-")</f>
        <v/>
      </c>
    </row>
    <row r="327" spans="3:17" x14ac:dyDescent="0.25">
      <c r="C327" t="str">
        <f t="shared" si="5"/>
        <v/>
      </c>
      <c r="Q327" t="str" cm="1">
        <f t="array" ref="Q327">IFERROR(IF($P327="","",_xlfn._xlws.FILTER(LT_LST[Lot],(LT_LST[Client Id.]=$C327)*(LT_LST[Strategy]=$D327)*(LT_LST[DTE/WTE]=$E327)*(LT_LST[Symbol]=$I327))),"-")</f>
        <v/>
      </c>
    </row>
    <row r="328" spans="3:17" x14ac:dyDescent="0.25">
      <c r="C328" t="str">
        <f t="shared" si="5"/>
        <v/>
      </c>
      <c r="Q328" t="str" cm="1">
        <f t="array" ref="Q328">IFERROR(IF($P328="","",_xlfn._xlws.FILTER(LT_LST[Lot],(LT_LST[Client Id.]=$C328)*(LT_LST[Strategy]=$D328)*(LT_LST[DTE/WTE]=$E328)*(LT_LST[Symbol]=$I328))),"-")</f>
        <v/>
      </c>
    </row>
    <row r="329" spans="3:17" x14ac:dyDescent="0.25">
      <c r="C329" t="str">
        <f t="shared" si="5"/>
        <v/>
      </c>
      <c r="Q329" t="str" cm="1">
        <f t="array" ref="Q329">IFERROR(IF($P329="","",_xlfn._xlws.FILTER(LT_LST[Lot],(LT_LST[Client Id.]=$C329)*(LT_LST[Strategy]=$D329)*(LT_LST[DTE/WTE]=$E329)*(LT_LST[Symbol]=$I329))),"-")</f>
        <v/>
      </c>
    </row>
    <row r="330" spans="3:17" x14ac:dyDescent="0.25">
      <c r="C330" t="str">
        <f t="shared" si="5"/>
        <v/>
      </c>
      <c r="Q330" t="str" cm="1">
        <f t="array" ref="Q330">IFERROR(IF($P330="","",_xlfn._xlws.FILTER(LT_LST[Lot],(LT_LST[Client Id.]=$C330)*(LT_LST[Strategy]=$D330)*(LT_LST[DTE/WTE]=$E330)*(LT_LST[Symbol]=$I330))),"-")</f>
        <v/>
      </c>
    </row>
    <row r="331" spans="3:17" x14ac:dyDescent="0.25">
      <c r="C331" t="str">
        <f t="shared" si="5"/>
        <v/>
      </c>
      <c r="Q331" t="str" cm="1">
        <f t="array" ref="Q331">IFERROR(IF($P331="","",_xlfn._xlws.FILTER(LT_LST[Lot],(LT_LST[Client Id.]=$C331)*(LT_LST[Strategy]=$D331)*(LT_LST[DTE/WTE]=$E331)*(LT_LST[Symbol]=$I331))),"-")</f>
        <v/>
      </c>
    </row>
    <row r="332" spans="3:17" x14ac:dyDescent="0.25">
      <c r="C332" t="str">
        <f t="shared" si="5"/>
        <v/>
      </c>
      <c r="Q332" t="str" cm="1">
        <f t="array" ref="Q332">IFERROR(IF($P332="","",_xlfn._xlws.FILTER(LT_LST[Lot],(LT_LST[Client Id.]=$C332)*(LT_LST[Strategy]=$D332)*(LT_LST[DTE/WTE]=$E332)*(LT_LST[Symbol]=$I332))),"-")</f>
        <v/>
      </c>
    </row>
    <row r="333" spans="3:17" x14ac:dyDescent="0.25">
      <c r="C333" t="str">
        <f t="shared" si="5"/>
        <v/>
      </c>
      <c r="Q333" t="str" cm="1">
        <f t="array" ref="Q333">IFERROR(IF($P333="","",_xlfn._xlws.FILTER(LT_LST[Lot],(LT_LST[Client Id.]=$C333)*(LT_LST[Strategy]=$D333)*(LT_LST[DTE/WTE]=$E333)*(LT_LST[Symbol]=$I333))),"-")</f>
        <v/>
      </c>
    </row>
    <row r="334" spans="3:17" x14ac:dyDescent="0.25">
      <c r="C334" t="str">
        <f t="shared" si="5"/>
        <v/>
      </c>
      <c r="Q334" t="str" cm="1">
        <f t="array" ref="Q334">IFERROR(IF($P334="","",_xlfn._xlws.FILTER(LT_LST[Lot],(LT_LST[Client Id.]=$C334)*(LT_LST[Strategy]=$D334)*(LT_LST[DTE/WTE]=$E334)*(LT_LST[Symbol]=$I334))),"-")</f>
        <v/>
      </c>
    </row>
    <row r="335" spans="3:17" x14ac:dyDescent="0.25">
      <c r="C335" t="str">
        <f t="shared" si="5"/>
        <v/>
      </c>
      <c r="Q335" t="str" cm="1">
        <f t="array" ref="Q335">IFERROR(IF($P335="","",_xlfn._xlws.FILTER(LT_LST[Lot],(LT_LST[Client Id.]=$C335)*(LT_LST[Strategy]=$D335)*(LT_LST[DTE/WTE]=$E335)*(LT_LST[Symbol]=$I335))),"-")</f>
        <v/>
      </c>
    </row>
    <row r="336" spans="3:17" x14ac:dyDescent="0.25">
      <c r="C336" t="str">
        <f t="shared" si="5"/>
        <v/>
      </c>
      <c r="Q336" t="str" cm="1">
        <f t="array" ref="Q336">IFERROR(IF($P336="","",_xlfn._xlws.FILTER(LT_LST[Lot],(LT_LST[Client Id.]=$C336)*(LT_LST[Strategy]=$D336)*(LT_LST[DTE/WTE]=$E336)*(LT_LST[Symbol]=$I336))),"-")</f>
        <v/>
      </c>
    </row>
    <row r="337" spans="3:17" x14ac:dyDescent="0.25">
      <c r="C337" t="str">
        <f t="shared" si="5"/>
        <v/>
      </c>
      <c r="Q337" t="str" cm="1">
        <f t="array" ref="Q337">IFERROR(IF($P337="","",_xlfn._xlws.FILTER(LT_LST[Lot],(LT_LST[Client Id.]=$C337)*(LT_LST[Strategy]=$D337)*(LT_LST[DTE/WTE]=$E337)*(LT_LST[Symbol]=$I337))),"-")</f>
        <v/>
      </c>
    </row>
    <row r="338" spans="3:17" x14ac:dyDescent="0.25">
      <c r="C338" t="str">
        <f t="shared" si="5"/>
        <v/>
      </c>
      <c r="Q338" t="str" cm="1">
        <f t="array" ref="Q338">IFERROR(IF($P338="","",_xlfn._xlws.FILTER(LT_LST[Lot],(LT_LST[Client Id.]=$C338)*(LT_LST[Strategy]=$D338)*(LT_LST[DTE/WTE]=$E338)*(LT_LST[Symbol]=$I338))),"-")</f>
        <v/>
      </c>
    </row>
    <row r="339" spans="3:17" x14ac:dyDescent="0.25">
      <c r="C339" t="str">
        <f t="shared" si="5"/>
        <v/>
      </c>
      <c r="Q339" t="str" cm="1">
        <f t="array" ref="Q339">IFERROR(IF($P339="","",_xlfn._xlws.FILTER(LT_LST[Lot],(LT_LST[Client Id.]=$C339)*(LT_LST[Strategy]=$D339)*(LT_LST[DTE/WTE]=$E339)*(LT_LST[Symbol]=$I339))),"-")</f>
        <v/>
      </c>
    </row>
    <row r="340" spans="3:17" x14ac:dyDescent="0.25">
      <c r="C340" t="str">
        <f t="shared" si="5"/>
        <v/>
      </c>
      <c r="Q340" t="str" cm="1">
        <f t="array" ref="Q340">IFERROR(IF($P340="","",_xlfn._xlws.FILTER(LT_LST[Lot],(LT_LST[Client Id.]=$C340)*(LT_LST[Strategy]=$D340)*(LT_LST[DTE/WTE]=$E340)*(LT_LST[Symbol]=$I340))),"-")</f>
        <v/>
      </c>
    </row>
    <row r="341" spans="3:17" x14ac:dyDescent="0.25">
      <c r="C341" t="str">
        <f t="shared" si="5"/>
        <v/>
      </c>
      <c r="Q341" t="str" cm="1">
        <f t="array" ref="Q341">IFERROR(IF($P341="","",_xlfn._xlws.FILTER(LT_LST[Lot],(LT_LST[Client Id.]=$C341)*(LT_LST[Strategy]=$D341)*(LT_LST[DTE/WTE]=$E341)*(LT_LST[Symbol]=$I341))),"-")</f>
        <v/>
      </c>
    </row>
    <row r="342" spans="3:17" x14ac:dyDescent="0.25">
      <c r="C342" t="str">
        <f t="shared" si="5"/>
        <v/>
      </c>
      <c r="Q342" t="str" cm="1">
        <f t="array" ref="Q342">IFERROR(IF($P342="","",_xlfn._xlws.FILTER(LT_LST[Lot],(LT_LST[Client Id.]=$C342)*(LT_LST[Strategy]=$D342)*(LT_LST[DTE/WTE]=$E342)*(LT_LST[Symbol]=$I342))),"-")</f>
        <v/>
      </c>
    </row>
    <row r="343" spans="3:17" x14ac:dyDescent="0.25">
      <c r="C343" t="str">
        <f t="shared" si="5"/>
        <v/>
      </c>
      <c r="Q343" t="str" cm="1">
        <f t="array" ref="Q343">IFERROR(IF($P343="","",_xlfn._xlws.FILTER(LT_LST[Lot],(LT_LST[Client Id.]=$C343)*(LT_LST[Strategy]=$D343)*(LT_LST[DTE/WTE]=$E343)*(LT_LST[Symbol]=$I343))),"-")</f>
        <v/>
      </c>
    </row>
    <row r="344" spans="3:17" x14ac:dyDescent="0.25">
      <c r="C344" t="str">
        <f t="shared" si="5"/>
        <v/>
      </c>
      <c r="Q344" t="str" cm="1">
        <f t="array" ref="Q344">IFERROR(IF($P344="","",_xlfn._xlws.FILTER(LT_LST[Lot],(LT_LST[Client Id.]=$C344)*(LT_LST[Strategy]=$D344)*(LT_LST[DTE/WTE]=$E344)*(LT_LST[Symbol]=$I344))),"-")</f>
        <v/>
      </c>
    </row>
    <row r="345" spans="3:17" x14ac:dyDescent="0.25">
      <c r="C345" t="str">
        <f t="shared" si="5"/>
        <v/>
      </c>
      <c r="Q345" t="str" cm="1">
        <f t="array" ref="Q345">IFERROR(IF($P345="","",_xlfn._xlws.FILTER(LT_LST[Lot],(LT_LST[Client Id.]=$C345)*(LT_LST[Strategy]=$D345)*(LT_LST[DTE/WTE]=$E345)*(LT_LST[Symbol]=$I345))),"-")</f>
        <v/>
      </c>
    </row>
    <row r="346" spans="3:17" x14ac:dyDescent="0.25">
      <c r="C346" t="str">
        <f t="shared" si="5"/>
        <v/>
      </c>
      <c r="Q346" t="str" cm="1">
        <f t="array" ref="Q346">IFERROR(IF($P346="","",_xlfn._xlws.FILTER(LT_LST[Lot],(LT_LST[Client Id.]=$C346)*(LT_LST[Strategy]=$D346)*(LT_LST[DTE/WTE]=$E346)*(LT_LST[Symbol]=$I346))),"-")</f>
        <v/>
      </c>
    </row>
    <row r="347" spans="3:17" x14ac:dyDescent="0.25">
      <c r="C347" t="str">
        <f t="shared" si="5"/>
        <v/>
      </c>
      <c r="Q347" t="str" cm="1">
        <f t="array" ref="Q347">IFERROR(IF($P347="","",_xlfn._xlws.FILTER(LT_LST[Lot],(LT_LST[Client Id.]=$C347)*(LT_LST[Strategy]=$D347)*(LT_LST[DTE/WTE]=$E347)*(LT_LST[Symbol]=$I347))),"-")</f>
        <v/>
      </c>
    </row>
    <row r="348" spans="3:17" x14ac:dyDescent="0.25">
      <c r="C348" t="str">
        <f t="shared" si="5"/>
        <v/>
      </c>
      <c r="Q348" t="str" cm="1">
        <f t="array" ref="Q348">IFERROR(IF($P348="","",_xlfn._xlws.FILTER(LT_LST[Lot],(LT_LST[Client Id.]=$C348)*(LT_LST[Strategy]=$D348)*(LT_LST[DTE/WTE]=$E348)*(LT_LST[Symbol]=$I348))),"-")</f>
        <v/>
      </c>
    </row>
    <row r="349" spans="3:17" x14ac:dyDescent="0.25">
      <c r="C349" t="str">
        <f t="shared" si="5"/>
        <v/>
      </c>
      <c r="Q349" t="str" cm="1">
        <f t="array" ref="Q349">IFERROR(IF($P349="","",_xlfn._xlws.FILTER(LT_LST[Lot],(LT_LST[Client Id.]=$C349)*(LT_LST[Strategy]=$D349)*(LT_LST[DTE/WTE]=$E349)*(LT_LST[Symbol]=$I349))),"-")</f>
        <v/>
      </c>
    </row>
    <row r="350" spans="3:17" x14ac:dyDescent="0.25">
      <c r="C350" t="str">
        <f t="shared" si="5"/>
        <v/>
      </c>
      <c r="Q350" t="str" cm="1">
        <f t="array" ref="Q350">IFERROR(IF($P350="","",_xlfn._xlws.FILTER(LT_LST[Lot],(LT_LST[Client Id.]=$C350)*(LT_LST[Strategy]=$D350)*(LT_LST[DTE/WTE]=$E350)*(LT_LST[Symbol]=$I350))),"-")</f>
        <v/>
      </c>
    </row>
    <row r="351" spans="3:17" x14ac:dyDescent="0.25">
      <c r="C351" t="str">
        <f t="shared" si="5"/>
        <v/>
      </c>
      <c r="Q351" t="str" cm="1">
        <f t="array" ref="Q351">IFERROR(IF($P351="","",_xlfn._xlws.FILTER(LT_LST[Lot],(LT_LST[Client Id.]=$C351)*(LT_LST[Strategy]=$D351)*(LT_LST[DTE/WTE]=$E351)*(LT_LST[Symbol]=$I351))),"-")</f>
        <v/>
      </c>
    </row>
    <row r="352" spans="3:17" x14ac:dyDescent="0.25">
      <c r="C352" t="str">
        <f t="shared" si="5"/>
        <v/>
      </c>
      <c r="Q352" t="str" cm="1">
        <f t="array" ref="Q352">IFERROR(IF($P352="","",_xlfn._xlws.FILTER(LT_LST[Lot],(LT_LST[Client Id.]=$C352)*(LT_LST[Strategy]=$D352)*(LT_LST[DTE/WTE]=$E352)*(LT_LST[Symbol]=$I352))),"-")</f>
        <v/>
      </c>
    </row>
    <row r="353" spans="3:17" x14ac:dyDescent="0.25">
      <c r="C353" t="str">
        <f t="shared" si="5"/>
        <v/>
      </c>
      <c r="Q353" t="str" cm="1">
        <f t="array" ref="Q353">IFERROR(IF($P353="","",_xlfn._xlws.FILTER(LT_LST[Lot],(LT_LST[Client Id.]=$C353)*(LT_LST[Strategy]=$D353)*(LT_LST[DTE/WTE]=$E353)*(LT_LST[Symbol]=$I353))),"-")</f>
        <v/>
      </c>
    </row>
    <row r="354" spans="3:17" x14ac:dyDescent="0.25">
      <c r="C354" t="str">
        <f t="shared" si="5"/>
        <v/>
      </c>
      <c r="Q354" t="str" cm="1">
        <f t="array" ref="Q354">IFERROR(IF($P354="","",_xlfn._xlws.FILTER(LT_LST[Lot],(LT_LST[Client Id.]=$C354)*(LT_LST[Strategy]=$D354)*(LT_LST[DTE/WTE]=$E354)*(LT_LST[Symbol]=$I354))),"-")</f>
        <v/>
      </c>
    </row>
    <row r="355" spans="3:17" x14ac:dyDescent="0.25">
      <c r="C355" t="str">
        <f t="shared" si="5"/>
        <v/>
      </c>
      <c r="Q355" t="str" cm="1">
        <f t="array" ref="Q355">IFERROR(IF($P355="","",_xlfn._xlws.FILTER(LT_LST[Lot],(LT_LST[Client Id.]=$C355)*(LT_LST[Strategy]=$D355)*(LT_LST[DTE/WTE]=$E355)*(LT_LST[Symbol]=$I355))),"-")</f>
        <v/>
      </c>
    </row>
    <row r="356" spans="3:17" x14ac:dyDescent="0.25">
      <c r="C356" t="str">
        <f t="shared" si="5"/>
        <v/>
      </c>
      <c r="Q356" t="str" cm="1">
        <f t="array" ref="Q356">IFERROR(IF($P356="","",_xlfn._xlws.FILTER(LT_LST[Lot],(LT_LST[Client Id.]=$C356)*(LT_LST[Strategy]=$D356)*(LT_LST[DTE/WTE]=$E356)*(LT_LST[Symbol]=$I356))),"-")</f>
        <v/>
      </c>
    </row>
    <row r="357" spans="3:17" x14ac:dyDescent="0.25">
      <c r="C357" t="str">
        <f t="shared" si="5"/>
        <v/>
      </c>
      <c r="Q357" t="str" cm="1">
        <f t="array" ref="Q357">IFERROR(IF($P357="","",_xlfn._xlws.FILTER(LT_LST[Lot],(LT_LST[Client Id.]=$C357)*(LT_LST[Strategy]=$D357)*(LT_LST[DTE/WTE]=$E357)*(LT_LST[Symbol]=$I357))),"-")</f>
        <v/>
      </c>
    </row>
    <row r="358" spans="3:17" x14ac:dyDescent="0.25">
      <c r="C358" t="str">
        <f t="shared" si="5"/>
        <v/>
      </c>
      <c r="Q358" t="str" cm="1">
        <f t="array" ref="Q358">IFERROR(IF($P358="","",_xlfn._xlws.FILTER(LT_LST[Lot],(LT_LST[Client Id.]=$C358)*(LT_LST[Strategy]=$D358)*(LT_LST[DTE/WTE]=$E358)*(LT_LST[Symbol]=$I358))),"-")</f>
        <v/>
      </c>
    </row>
    <row r="359" spans="3:17" x14ac:dyDescent="0.25">
      <c r="C359" t="str">
        <f t="shared" si="5"/>
        <v/>
      </c>
      <c r="Q359" t="str" cm="1">
        <f t="array" ref="Q359">IFERROR(IF($P359="","",_xlfn._xlws.FILTER(LT_LST[Lot],(LT_LST[Client Id.]=$C359)*(LT_LST[Strategy]=$D359)*(LT_LST[DTE/WTE]=$E359)*(LT_LST[Symbol]=$I359))),"-")</f>
        <v/>
      </c>
    </row>
    <row r="360" spans="3:17" x14ac:dyDescent="0.25">
      <c r="C360" t="str">
        <f t="shared" si="5"/>
        <v/>
      </c>
      <c r="Q360" t="str" cm="1">
        <f t="array" ref="Q360">IFERROR(IF($P360="","",_xlfn._xlws.FILTER(LT_LST[Lot],(LT_LST[Client Id.]=$C360)*(LT_LST[Strategy]=$D360)*(LT_LST[DTE/WTE]=$E360)*(LT_LST[Symbol]=$I360))),"-")</f>
        <v/>
      </c>
    </row>
    <row r="361" spans="3:17" x14ac:dyDescent="0.25">
      <c r="C361" t="str">
        <f t="shared" si="5"/>
        <v/>
      </c>
      <c r="Q361" t="str" cm="1">
        <f t="array" ref="Q361">IFERROR(IF($P361="","",_xlfn._xlws.FILTER(LT_LST[Lot],(LT_LST[Client Id.]=$C361)*(LT_LST[Strategy]=$D361)*(LT_LST[DTE/WTE]=$E361)*(LT_LST[Symbol]=$I361))),"-")</f>
        <v/>
      </c>
    </row>
    <row r="362" spans="3:17" x14ac:dyDescent="0.25">
      <c r="C362" t="str">
        <f t="shared" si="5"/>
        <v/>
      </c>
      <c r="Q362" t="str" cm="1">
        <f t="array" ref="Q362">IFERROR(IF($P362="","",_xlfn._xlws.FILTER(LT_LST[Lot],(LT_LST[Client Id.]=$C362)*(LT_LST[Strategy]=$D362)*(LT_LST[DTE/WTE]=$E362)*(LT_LST[Symbol]=$I362))),"-")</f>
        <v/>
      </c>
    </row>
    <row r="363" spans="3:17" x14ac:dyDescent="0.25">
      <c r="C363" t="str">
        <f t="shared" si="5"/>
        <v/>
      </c>
      <c r="Q363" t="str" cm="1">
        <f t="array" ref="Q363">IFERROR(IF($P363="","",_xlfn._xlws.FILTER(LT_LST[Lot],(LT_LST[Client Id.]=$C363)*(LT_LST[Strategy]=$D363)*(LT_LST[DTE/WTE]=$E363)*(LT_LST[Symbol]=$I363))),"-")</f>
        <v/>
      </c>
    </row>
    <row r="364" spans="3:17" x14ac:dyDescent="0.25">
      <c r="C364" t="str">
        <f t="shared" si="5"/>
        <v/>
      </c>
      <c r="Q364" t="str" cm="1">
        <f t="array" ref="Q364">IFERROR(IF($P364="","",_xlfn._xlws.FILTER(LT_LST[Lot],(LT_LST[Client Id.]=$C364)*(LT_LST[Strategy]=$D364)*(LT_LST[DTE/WTE]=$E364)*(LT_LST[Symbol]=$I364))),"-")</f>
        <v/>
      </c>
    </row>
    <row r="365" spans="3:17" x14ac:dyDescent="0.25">
      <c r="C365" t="str">
        <f t="shared" si="5"/>
        <v/>
      </c>
      <c r="Q365" t="str" cm="1">
        <f t="array" ref="Q365">IFERROR(IF($P365="","",_xlfn._xlws.FILTER(LT_LST[Lot],(LT_LST[Client Id.]=$C365)*(LT_LST[Strategy]=$D365)*(LT_LST[DTE/WTE]=$E365)*(LT_LST[Symbol]=$I365))),"-")</f>
        <v/>
      </c>
    </row>
    <row r="366" spans="3:17" x14ac:dyDescent="0.25">
      <c r="C366" t="str">
        <f t="shared" si="5"/>
        <v/>
      </c>
      <c r="Q366" t="str" cm="1">
        <f t="array" ref="Q366">IFERROR(IF($P366="","",_xlfn._xlws.FILTER(LT_LST[Lot],(LT_LST[Client Id.]=$C366)*(LT_LST[Strategy]=$D366)*(LT_LST[DTE/WTE]=$E366)*(LT_LST[Symbol]=$I366))),"-")</f>
        <v/>
      </c>
    </row>
    <row r="367" spans="3:17" x14ac:dyDescent="0.25">
      <c r="C367" t="str">
        <f t="shared" si="5"/>
        <v/>
      </c>
      <c r="Q367" t="str" cm="1">
        <f t="array" ref="Q367">IFERROR(IF($P367="","",_xlfn._xlws.FILTER(LT_LST[Lot],(LT_LST[Client Id.]=$C367)*(LT_LST[Strategy]=$D367)*(LT_LST[DTE/WTE]=$E367)*(LT_LST[Symbol]=$I367))),"-")</f>
        <v/>
      </c>
    </row>
    <row r="368" spans="3:17" x14ac:dyDescent="0.25">
      <c r="C368" t="str">
        <f t="shared" si="5"/>
        <v/>
      </c>
      <c r="Q368" t="str" cm="1">
        <f t="array" ref="Q368">IFERROR(IF($P368="","",_xlfn._xlws.FILTER(LT_LST[Lot],(LT_LST[Client Id.]=$C368)*(LT_LST[Strategy]=$D368)*(LT_LST[DTE/WTE]=$E368)*(LT_LST[Symbol]=$I368))),"-")</f>
        <v/>
      </c>
    </row>
    <row r="369" spans="3:17" x14ac:dyDescent="0.25">
      <c r="C369" t="str">
        <f t="shared" si="5"/>
        <v/>
      </c>
      <c r="Q369" t="str" cm="1">
        <f t="array" ref="Q369">IFERROR(IF($P369="","",_xlfn._xlws.FILTER(LT_LST[Lot],(LT_LST[Client Id.]=$C369)*(LT_LST[Strategy]=$D369)*(LT_LST[DTE/WTE]=$E369)*(LT_LST[Symbol]=$I369))),"-")</f>
        <v/>
      </c>
    </row>
    <row r="370" spans="3:17" x14ac:dyDescent="0.25">
      <c r="C370" t="str">
        <f t="shared" si="5"/>
        <v/>
      </c>
      <c r="Q370" t="str" cm="1">
        <f t="array" ref="Q370">IFERROR(IF($P370="","",_xlfn._xlws.FILTER(LT_LST[Lot],(LT_LST[Client Id.]=$C370)*(LT_LST[Strategy]=$D370)*(LT_LST[DTE/WTE]=$E370)*(LT_LST[Symbol]=$I370))),"-")</f>
        <v/>
      </c>
    </row>
    <row r="371" spans="3:17" x14ac:dyDescent="0.25">
      <c r="C371" t="str">
        <f t="shared" si="5"/>
        <v/>
      </c>
      <c r="Q371" t="str" cm="1">
        <f t="array" ref="Q371">IFERROR(IF($P371="","",_xlfn._xlws.FILTER(LT_LST[Lot],(LT_LST[Client Id.]=$C371)*(LT_LST[Strategy]=$D371)*(LT_LST[DTE/WTE]=$E371)*(LT_LST[Symbol]=$I371))),"-")</f>
        <v/>
      </c>
    </row>
    <row r="372" spans="3:17" x14ac:dyDescent="0.25">
      <c r="C372" t="str">
        <f t="shared" si="5"/>
        <v/>
      </c>
      <c r="Q372" t="str" cm="1">
        <f t="array" ref="Q372">IFERROR(IF($P372="","",_xlfn._xlws.FILTER(LT_LST[Lot],(LT_LST[Client Id.]=$C372)*(LT_LST[Strategy]=$D372)*(LT_LST[DTE/WTE]=$E372)*(LT_LST[Symbol]=$I372))),"-")</f>
        <v/>
      </c>
    </row>
    <row r="373" spans="3:17" x14ac:dyDescent="0.25">
      <c r="C373" t="str">
        <f t="shared" si="5"/>
        <v/>
      </c>
      <c r="Q373" t="str" cm="1">
        <f t="array" ref="Q373">IFERROR(IF($P373="","",_xlfn._xlws.FILTER(LT_LST[Lot],(LT_LST[Client Id.]=$C373)*(LT_LST[Strategy]=$D373)*(LT_LST[DTE/WTE]=$E373)*(LT_LST[Symbol]=$I373))),"-")</f>
        <v/>
      </c>
    </row>
    <row r="374" spans="3:17" x14ac:dyDescent="0.25">
      <c r="C374" t="str">
        <f t="shared" si="5"/>
        <v/>
      </c>
      <c r="Q374" t="str" cm="1">
        <f t="array" ref="Q374">IFERROR(IF($P374="","",_xlfn._xlws.FILTER(LT_LST[Lot],(LT_LST[Client Id.]=$C374)*(LT_LST[Strategy]=$D374)*(LT_LST[DTE/WTE]=$E374)*(LT_LST[Symbol]=$I374))),"-")</f>
        <v/>
      </c>
    </row>
    <row r="375" spans="3:17" x14ac:dyDescent="0.25">
      <c r="C375" t="str">
        <f t="shared" si="5"/>
        <v/>
      </c>
      <c r="Q375" t="str" cm="1">
        <f t="array" ref="Q375">IFERROR(IF($P375="","",_xlfn._xlws.FILTER(LT_LST[Lot],(LT_LST[Client Id.]=$C375)*(LT_LST[Strategy]=$D375)*(LT_LST[DTE/WTE]=$E375)*(LT_LST[Symbol]=$I375))),"-")</f>
        <v/>
      </c>
    </row>
    <row r="376" spans="3:17" x14ac:dyDescent="0.25">
      <c r="C376" t="str">
        <f t="shared" si="5"/>
        <v/>
      </c>
      <c r="Q376" t="str" cm="1">
        <f t="array" ref="Q376">IFERROR(IF($P376="","",_xlfn._xlws.FILTER(LT_LST[Lot],(LT_LST[Client Id.]=$C376)*(LT_LST[Strategy]=$D376)*(LT_LST[DTE/WTE]=$E376)*(LT_LST[Symbol]=$I376))),"-")</f>
        <v/>
      </c>
    </row>
    <row r="377" spans="3:17" x14ac:dyDescent="0.25">
      <c r="C377" t="str">
        <f t="shared" si="5"/>
        <v/>
      </c>
      <c r="Q377" t="str" cm="1">
        <f t="array" ref="Q377">IFERROR(IF($P377="","",_xlfn._xlws.FILTER(LT_LST[Lot],(LT_LST[Client Id.]=$C377)*(LT_LST[Strategy]=$D377)*(LT_LST[DTE/WTE]=$E377)*(LT_LST[Symbol]=$I377))),"-")</f>
        <v/>
      </c>
    </row>
    <row r="378" spans="3:17" x14ac:dyDescent="0.25">
      <c r="C378" t="str">
        <f t="shared" si="5"/>
        <v/>
      </c>
      <c r="Q378" t="str" cm="1">
        <f t="array" ref="Q378">IFERROR(IF($P378="","",_xlfn._xlws.FILTER(LT_LST[Lot],(LT_LST[Client Id.]=$C378)*(LT_LST[Strategy]=$D378)*(LT_LST[DTE/WTE]=$E378)*(LT_LST[Symbol]=$I378))),"-")</f>
        <v/>
      </c>
    </row>
    <row r="379" spans="3:17" x14ac:dyDescent="0.25">
      <c r="C379" t="str">
        <f t="shared" si="5"/>
        <v/>
      </c>
      <c r="Q379" t="str" cm="1">
        <f t="array" ref="Q379">IFERROR(IF($P379="","",_xlfn._xlws.FILTER(LT_LST[Lot],(LT_LST[Client Id.]=$C379)*(LT_LST[Strategy]=$D379)*(LT_LST[DTE/WTE]=$E379)*(LT_LST[Symbol]=$I379))),"-")</f>
        <v/>
      </c>
    </row>
    <row r="380" spans="3:17" x14ac:dyDescent="0.25">
      <c r="C380" t="str">
        <f t="shared" si="5"/>
        <v/>
      </c>
      <c r="Q380" t="str" cm="1">
        <f t="array" ref="Q380">IFERROR(IF($P380="","",_xlfn._xlws.FILTER(LT_LST[Lot],(LT_LST[Client Id.]=$C380)*(LT_LST[Strategy]=$D380)*(LT_LST[DTE/WTE]=$E380)*(LT_LST[Symbol]=$I380))),"-")</f>
        <v/>
      </c>
    </row>
    <row r="381" spans="3:17" x14ac:dyDescent="0.25">
      <c r="C381" t="str">
        <f t="shared" si="5"/>
        <v/>
      </c>
    </row>
    <row r="382" spans="3:17" x14ac:dyDescent="0.25">
      <c r="C382" t="str">
        <f t="shared" si="5"/>
        <v/>
      </c>
    </row>
  </sheetData>
  <conditionalFormatting sqref="C2:Q2">
    <cfRule type="notContainsBlanks" dxfId="44" priority="4">
      <formula>LEN(TRIM(C2))&gt;0</formula>
    </cfRule>
  </conditionalFormatting>
  <conditionalFormatting sqref="D3">
    <cfRule type="notContainsBlanks" dxfId="43" priority="3">
      <formula>LEN(TRIM(D3))&gt;0</formula>
    </cfRule>
  </conditionalFormatting>
  <conditionalFormatting sqref="C3:C382">
    <cfRule type="notContainsBlanks" dxfId="42" priority="2">
      <formula>LEN(TRIM(C3))&gt;0</formula>
    </cfRule>
  </conditionalFormatting>
  <conditionalFormatting sqref="Q3:Q380">
    <cfRule type="notContainsBlanks" dxfId="41" priority="1">
      <formula>LEN(TRIM(Q3))&gt;0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FD9F7-963A-40D7-9A6A-E916AF4A6E52}">
  <sheetPr codeName="Sheet32"/>
  <dimension ref="A1:Q385"/>
  <sheetViews>
    <sheetView topLeftCell="A39" workbookViewId="0">
      <selection activeCell="O362" sqref="O362"/>
    </sheetView>
  </sheetViews>
  <sheetFormatPr defaultRowHeight="15" x14ac:dyDescent="0.25"/>
  <cols>
    <col min="3" max="3" width="11.5703125" bestFit="1" customWidth="1"/>
    <col min="10" max="10" width="10.42578125" style="50" bestFit="1" customWidth="1"/>
    <col min="11" max="12" width="11.28515625" style="75" bestFit="1" customWidth="1"/>
    <col min="16" max="16" width="9.140625" style="77"/>
  </cols>
  <sheetData>
    <row r="1" spans="1:17" x14ac:dyDescent="0.25">
      <c r="A1" s="73" t="s">
        <v>228</v>
      </c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74" t="s">
        <v>128</v>
      </c>
      <c r="K2" s="76" t="s">
        <v>129</v>
      </c>
      <c r="L2" s="76" t="s">
        <v>130</v>
      </c>
      <c r="M2" s="66" t="s">
        <v>131</v>
      </c>
      <c r="N2" s="66" t="s">
        <v>132</v>
      </c>
      <c r="O2" s="66" t="s">
        <v>133</v>
      </c>
      <c r="P2" s="78" t="s">
        <v>134</v>
      </c>
      <c r="Q2" s="66" t="s">
        <v>199</v>
      </c>
    </row>
    <row r="3" spans="1:17" x14ac:dyDescent="0.25">
      <c r="C3" t="str">
        <f ca="1">IF(D3="","",$A$1)</f>
        <v>MOSTI23372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>
        <f ca="1"/>
        <v>1</v>
      </c>
      <c r="F3" t="str">
        <f ca="1"/>
        <v>Derivatives</v>
      </c>
      <c r="G3" t="str">
        <f ca="1"/>
        <v>NF_ATM DY_14:00</v>
      </c>
      <c r="H3" t="str">
        <f ca="1"/>
        <v>NSE</v>
      </c>
      <c r="I3" t="str">
        <f ca="1"/>
        <v>NIFTY</v>
      </c>
      <c r="J3" s="50">
        <f ca="1"/>
        <v>46125</v>
      </c>
      <c r="K3" s="75">
        <f ca="1"/>
        <v>0.58333333333333337</v>
      </c>
      <c r="L3" s="75">
        <f ca="1"/>
        <v>0.1423611111111111</v>
      </c>
      <c r="M3" t="str">
        <f ca="1"/>
        <v>ATM</v>
      </c>
      <c r="N3" t="str">
        <f ca="1"/>
        <v>CE&amp; PE Both</v>
      </c>
      <c r="O3" t="str">
        <f ca="1"/>
        <v>Sell</v>
      </c>
      <c r="P3" s="77">
        <f ca="1"/>
        <v>0.7</v>
      </c>
      <c r="Q3" cm="1">
        <f t="array" aca="1" ref="Q3" ca="1">IFERROR(IF($P3="","",_xlfn._xlws.FILTER(LT_LST[Lot],(LT_LST[Client Id.]=$C3)*(LT_LST[Strategy]=$D3)*(LT_LST[DTE/WTE]=$E3)*(LT_LST[Symbol]=$I3))),"-")</f>
        <v>1</v>
      </c>
    </row>
    <row r="4" spans="1:17" x14ac:dyDescent="0.25">
      <c r="C4" t="str">
        <f t="shared" ref="C4:C67" ca="1" si="0">IF(D4="","",$A$1)</f>
        <v>MOSTI23372</v>
      </c>
      <c r="D4" t="str">
        <f ca="1"/>
        <v>DYNAMIC SL</v>
      </c>
      <c r="E4">
        <f ca="1"/>
        <v>1</v>
      </c>
      <c r="F4" t="str">
        <f ca="1"/>
        <v>Derivatives</v>
      </c>
      <c r="G4" t="str">
        <f ca="1"/>
        <v>NF_ATM DY_14:15</v>
      </c>
      <c r="H4" t="str">
        <f ca="1"/>
        <v>NSE</v>
      </c>
      <c r="I4" t="str">
        <f ca="1"/>
        <v>NIFTY</v>
      </c>
      <c r="J4" s="50">
        <f ca="1"/>
        <v>46125</v>
      </c>
      <c r="K4" s="75">
        <f ca="1"/>
        <v>0.59375</v>
      </c>
      <c r="L4" s="75">
        <f ca="1"/>
        <v>0.1423611111111111</v>
      </c>
      <c r="M4" t="str">
        <f ca="1"/>
        <v>ATM</v>
      </c>
      <c r="N4" t="str">
        <f ca="1"/>
        <v>CE&amp; PE Both</v>
      </c>
      <c r="O4" t="str">
        <f ca="1"/>
        <v>Sell</v>
      </c>
      <c r="P4" s="77">
        <f ca="1"/>
        <v>0.7</v>
      </c>
      <c r="Q4" cm="1">
        <f t="array" aca="1" ref="Q4" ca="1">IFERROR(IF($P4="","",_xlfn._xlws.FILTER(LT_LST[Lot],(LT_LST[Client Id.]=$C4)*(LT_LST[Strategy]=$D4)*(LT_LST[DTE/WTE]=$E4)*(LT_LST[Symbol]=$I4))),"-")</f>
        <v>1</v>
      </c>
    </row>
    <row r="5" spans="1:17" x14ac:dyDescent="0.25">
      <c r="C5" t="str">
        <f t="shared" ca="1" si="0"/>
        <v>MOSTI23372</v>
      </c>
      <c r="D5" t="str">
        <f ca="1"/>
        <v>DYNAMIC SL</v>
      </c>
      <c r="E5">
        <f ca="1"/>
        <v>1</v>
      </c>
      <c r="F5" t="str">
        <f ca="1"/>
        <v>Derivatives</v>
      </c>
      <c r="G5" t="str">
        <f ca="1"/>
        <v>NF_ATM DY_14:30</v>
      </c>
      <c r="H5" t="str">
        <f ca="1"/>
        <v>NSE</v>
      </c>
      <c r="I5" t="str">
        <f ca="1"/>
        <v>NIFTY</v>
      </c>
      <c r="J5" s="50">
        <f ca="1"/>
        <v>46125</v>
      </c>
      <c r="K5" s="75">
        <f ca="1"/>
        <v>0.60416666666666663</v>
      </c>
      <c r="L5" s="75">
        <f ca="1"/>
        <v>0.1423611111111111</v>
      </c>
      <c r="M5" t="str">
        <f ca="1"/>
        <v>ATM</v>
      </c>
      <c r="N5" t="str">
        <f ca="1"/>
        <v>CE&amp; PE Both</v>
      </c>
      <c r="O5" t="str">
        <f ca="1"/>
        <v>Sell</v>
      </c>
      <c r="P5" s="77">
        <f ca="1"/>
        <v>0.7</v>
      </c>
      <c r="Q5" cm="1">
        <f t="array" aca="1" ref="Q5" ca="1">IFERROR(IF($P5="","",_xlfn._xlws.FILTER(LT_LST[Lot],(LT_LST[Client Id.]=$C5)*(LT_LST[Strategy]=$D5)*(LT_LST[DTE/WTE]=$E5)*(LT_LST[Symbol]=$I5))),"-")</f>
        <v>1</v>
      </c>
    </row>
    <row r="6" spans="1:17" x14ac:dyDescent="0.25">
      <c r="C6" t="str">
        <f t="shared" ca="1" si="0"/>
        <v>MOSTI23372</v>
      </c>
      <c r="D6" t="str">
        <f ca="1"/>
        <v>DYNAMIC SL</v>
      </c>
      <c r="E6">
        <f ca="1"/>
        <v>1</v>
      </c>
      <c r="F6" t="str">
        <f ca="1"/>
        <v>Derivatives</v>
      </c>
      <c r="G6" t="str">
        <f ca="1"/>
        <v>NF_ATM DY_14:45</v>
      </c>
      <c r="H6" t="str">
        <f ca="1"/>
        <v>NSE</v>
      </c>
      <c r="I6" t="str">
        <f ca="1"/>
        <v>NIFTY</v>
      </c>
      <c r="J6" s="50">
        <f ca="1"/>
        <v>46125</v>
      </c>
      <c r="K6" s="75">
        <f ca="1"/>
        <v>0.61458333333333337</v>
      </c>
      <c r="L6" s="75">
        <f ca="1"/>
        <v>0.1423611111111111</v>
      </c>
      <c r="M6" t="str">
        <f ca="1"/>
        <v>ATM</v>
      </c>
      <c r="N6" t="str">
        <f ca="1"/>
        <v>CE&amp; PE Both</v>
      </c>
      <c r="O6" t="str">
        <f ca="1"/>
        <v>Sell</v>
      </c>
      <c r="P6" s="77">
        <f ca="1"/>
        <v>0.7</v>
      </c>
      <c r="Q6" cm="1">
        <f t="array" aca="1" ref="Q6" ca="1">IFERROR(IF($P6="","",_xlfn._xlws.FILTER(LT_LST[Lot],(LT_LST[Client Id.]=$C6)*(LT_LST[Strategy]=$D6)*(LT_LST[DTE/WTE]=$E6)*(LT_LST[Symbol]=$I6))),"-")</f>
        <v>1</v>
      </c>
    </row>
    <row r="7" spans="1:17" x14ac:dyDescent="0.25">
      <c r="C7" t="str">
        <f t="shared" ca="1" si="0"/>
        <v>MOSTI23372</v>
      </c>
      <c r="D7" t="str">
        <f ca="1"/>
        <v>DYNAMIC SL</v>
      </c>
      <c r="E7">
        <f ca="1"/>
        <v>1</v>
      </c>
      <c r="F7" t="str">
        <f ca="1"/>
        <v>Derivatives</v>
      </c>
      <c r="G7" t="str">
        <f ca="1"/>
        <v>NF_ATM DY_15:00</v>
      </c>
      <c r="H7" t="str">
        <f ca="1"/>
        <v>NSE</v>
      </c>
      <c r="I7" t="str">
        <f ca="1"/>
        <v>NIFTY</v>
      </c>
      <c r="J7" s="50">
        <f ca="1"/>
        <v>46125</v>
      </c>
      <c r="K7" s="75">
        <f ca="1"/>
        <v>0.625</v>
      </c>
      <c r="L7" s="75">
        <f ca="1"/>
        <v>0.1423611111111111</v>
      </c>
      <c r="M7" t="str">
        <f ca="1"/>
        <v>ATM</v>
      </c>
      <c r="N7" t="str">
        <f ca="1"/>
        <v>CE&amp; PE Both</v>
      </c>
      <c r="O7" t="str">
        <f ca="1"/>
        <v>Sell</v>
      </c>
      <c r="P7" s="77">
        <f ca="1"/>
        <v>0.7</v>
      </c>
      <c r="Q7" cm="1">
        <f t="array" aca="1" ref="Q7" ca="1">IFERROR(IF($P7="","",_xlfn._xlws.FILTER(LT_LST[Lot],(LT_LST[Client Id.]=$C7)*(LT_LST[Strategy]=$D7)*(LT_LST[DTE/WTE]=$E7)*(LT_LST[Symbol]=$I7))),"-")</f>
        <v>1</v>
      </c>
    </row>
    <row r="8" spans="1:17" x14ac:dyDescent="0.25">
      <c r="C8" t="str">
        <f t="shared" ca="1" si="0"/>
        <v>MOSTI23372</v>
      </c>
      <c r="D8" t="str">
        <f ca="1"/>
        <v>DYNAMIC SL</v>
      </c>
      <c r="E8">
        <f ca="1"/>
        <v>1</v>
      </c>
      <c r="F8" t="str">
        <f ca="1"/>
        <v>Derivatives</v>
      </c>
      <c r="G8" t="str">
        <f ca="1"/>
        <v>NF_ATM DY_14:00</v>
      </c>
      <c r="H8" t="str">
        <f ca="1"/>
        <v>NSE</v>
      </c>
      <c r="I8" t="str">
        <f ca="1"/>
        <v>NIFTY</v>
      </c>
      <c r="J8" s="50">
        <f ca="1"/>
        <v>46125</v>
      </c>
      <c r="K8" s="75">
        <f ca="1"/>
        <v>0.58333333333333337</v>
      </c>
      <c r="L8" s="75">
        <f ca="1"/>
        <v>0.1423611111111111</v>
      </c>
      <c r="M8" t="str">
        <f ca="1"/>
        <v>ATM</v>
      </c>
      <c r="N8" t="str">
        <f ca="1"/>
        <v>CE&amp; PE Both</v>
      </c>
      <c r="O8" t="str">
        <f ca="1"/>
        <v>Sell</v>
      </c>
      <c r="P8" s="77">
        <f ca="1"/>
        <v>0.7</v>
      </c>
      <c r="Q8" cm="1">
        <f t="array" aca="1" ref="Q8" ca="1">IFERROR(IF($P8="","",_xlfn._xlws.FILTER(LT_LST[Lot],(LT_LST[Client Id.]=$C8)*(LT_LST[Strategy]=$D8)*(LT_LST[DTE/WTE]=$E8)*(LT_LST[Symbol]=$I8))),"-")</f>
        <v>1</v>
      </c>
    </row>
    <row r="9" spans="1:17" x14ac:dyDescent="0.25">
      <c r="C9" t="str">
        <f t="shared" ca="1" si="0"/>
        <v>MOSTI23372</v>
      </c>
      <c r="D9" t="str">
        <f ca="1"/>
        <v>DYNAMIC SL</v>
      </c>
      <c r="E9">
        <f ca="1"/>
        <v>1</v>
      </c>
      <c r="F9" t="str">
        <f ca="1"/>
        <v>Derivatives</v>
      </c>
      <c r="G9" t="str">
        <f ca="1"/>
        <v>NF_ATM DY_14:15</v>
      </c>
      <c r="H9" t="str">
        <f ca="1"/>
        <v>NSE</v>
      </c>
      <c r="I9" t="str">
        <f ca="1"/>
        <v>NIFTY</v>
      </c>
      <c r="J9" s="50">
        <f ca="1"/>
        <v>46125</v>
      </c>
      <c r="K9" s="75">
        <f ca="1"/>
        <v>0.59375</v>
      </c>
      <c r="L9" s="75">
        <f ca="1"/>
        <v>0.1423611111111111</v>
      </c>
      <c r="M9" t="str">
        <f ca="1"/>
        <v>ATM</v>
      </c>
      <c r="N9" t="str">
        <f ca="1"/>
        <v>CE&amp; PE Both</v>
      </c>
      <c r="O9" t="str">
        <f ca="1"/>
        <v>Sell</v>
      </c>
      <c r="P9" s="77">
        <f ca="1"/>
        <v>0.7</v>
      </c>
      <c r="Q9" cm="1">
        <f t="array" aca="1" ref="Q9" ca="1">IFERROR(IF($P9="","",_xlfn._xlws.FILTER(LT_LST[Lot],(LT_LST[Client Id.]=$C9)*(LT_LST[Strategy]=$D9)*(LT_LST[DTE/WTE]=$E9)*(LT_LST[Symbol]=$I9))),"-")</f>
        <v>1</v>
      </c>
    </row>
    <row r="10" spans="1:17" x14ac:dyDescent="0.25">
      <c r="C10" t="str">
        <f t="shared" ca="1" si="0"/>
        <v>MOSTI23372</v>
      </c>
      <c r="D10" t="str">
        <f ca="1"/>
        <v>DYNAMIC SL</v>
      </c>
      <c r="E10">
        <f ca="1"/>
        <v>1</v>
      </c>
      <c r="F10" t="str">
        <f ca="1"/>
        <v>Derivatives</v>
      </c>
      <c r="G10" t="str">
        <f ca="1"/>
        <v>NF_ATM DY_14:30</v>
      </c>
      <c r="H10" t="str">
        <f ca="1"/>
        <v>NSE</v>
      </c>
      <c r="I10" t="str">
        <f ca="1"/>
        <v>NIFTY</v>
      </c>
      <c r="J10" s="50">
        <f ca="1"/>
        <v>46125</v>
      </c>
      <c r="K10" s="75">
        <f ca="1"/>
        <v>0.60416666666666663</v>
      </c>
      <c r="L10" s="75">
        <f ca="1"/>
        <v>0.1423611111111111</v>
      </c>
      <c r="M10" t="str">
        <f ca="1"/>
        <v>ATM</v>
      </c>
      <c r="N10" t="str">
        <f ca="1"/>
        <v>CE&amp; PE Both</v>
      </c>
      <c r="O10" t="str">
        <f ca="1"/>
        <v>Sell</v>
      </c>
      <c r="P10" s="77">
        <f ca="1"/>
        <v>0.7</v>
      </c>
      <c r="Q10" cm="1">
        <f t="array" aca="1" ref="Q10" ca="1">IFERROR(IF($P10="","",_xlfn._xlws.FILTER(LT_LST[Lot],(LT_LST[Client Id.]=$C10)*(LT_LST[Strategy]=$D10)*(LT_LST[DTE/WTE]=$E10)*(LT_LST[Symbol]=$I10))),"-")</f>
        <v>1</v>
      </c>
    </row>
    <row r="11" spans="1:17" x14ac:dyDescent="0.25">
      <c r="C11" t="str">
        <f t="shared" ca="1" si="0"/>
        <v>MOSTI23372</v>
      </c>
      <c r="D11" t="str">
        <f ca="1"/>
        <v>DYNAMIC SL</v>
      </c>
      <c r="E11">
        <f ca="1"/>
        <v>1</v>
      </c>
      <c r="F11" t="str">
        <f ca="1"/>
        <v>Derivatives</v>
      </c>
      <c r="G11" t="str">
        <f ca="1"/>
        <v>NF_ATM DY_14:45</v>
      </c>
      <c r="H11" t="str">
        <f ca="1"/>
        <v>NSE</v>
      </c>
      <c r="I11" t="str">
        <f ca="1"/>
        <v>NIFTY</v>
      </c>
      <c r="J11" s="50">
        <f ca="1"/>
        <v>46125</v>
      </c>
      <c r="K11" s="75">
        <f ca="1"/>
        <v>0.61458333333333337</v>
      </c>
      <c r="L11" s="75">
        <f ca="1"/>
        <v>0.1423611111111111</v>
      </c>
      <c r="M11" t="str">
        <f ca="1"/>
        <v>ATM</v>
      </c>
      <c r="N11" t="str">
        <f ca="1"/>
        <v>CE&amp; PE Both</v>
      </c>
      <c r="O11" t="str">
        <f ca="1"/>
        <v>Sell</v>
      </c>
      <c r="P11" s="77">
        <f ca="1"/>
        <v>0.7</v>
      </c>
      <c r="Q11" cm="1">
        <f t="array" aca="1" ref="Q11" ca="1">IFERROR(IF($P11="","",_xlfn._xlws.FILTER(LT_LST[Lot],(LT_LST[Client Id.]=$C11)*(LT_LST[Strategy]=$D11)*(LT_LST[DTE/WTE]=$E11)*(LT_LST[Symbol]=$I11))),"-")</f>
        <v>1</v>
      </c>
    </row>
    <row r="12" spans="1:17" x14ac:dyDescent="0.25">
      <c r="C12" t="str">
        <f t="shared" ca="1" si="0"/>
        <v>MOSTI23372</v>
      </c>
      <c r="D12" t="str">
        <f ca="1"/>
        <v>DYNAMIC SL</v>
      </c>
      <c r="E12">
        <f ca="1"/>
        <v>1</v>
      </c>
      <c r="F12" t="str">
        <f ca="1"/>
        <v>Derivatives</v>
      </c>
      <c r="G12" t="str">
        <f ca="1"/>
        <v>NF_ATM DY_15:00</v>
      </c>
      <c r="H12" t="str">
        <f ca="1"/>
        <v>NSE</v>
      </c>
      <c r="I12" t="str">
        <f ca="1"/>
        <v>NIFTY</v>
      </c>
      <c r="J12" s="50">
        <f ca="1"/>
        <v>46125</v>
      </c>
      <c r="K12" s="75">
        <f ca="1"/>
        <v>0.625</v>
      </c>
      <c r="L12" s="75">
        <f ca="1"/>
        <v>0.1423611111111111</v>
      </c>
      <c r="M12" t="str">
        <f ca="1"/>
        <v>ATM</v>
      </c>
      <c r="N12" t="str">
        <f ca="1"/>
        <v>CE&amp; PE Both</v>
      </c>
      <c r="O12" t="str">
        <f ca="1"/>
        <v>Sell</v>
      </c>
      <c r="P12" s="77">
        <f ca="1"/>
        <v>0.7</v>
      </c>
      <c r="Q12" cm="1">
        <f t="array" aca="1" ref="Q12" ca="1">IFERROR(IF($P12="","",_xlfn._xlws.FILTER(LT_LST[Lot],(LT_LST[Client Id.]=$C12)*(LT_LST[Strategy]=$D12)*(LT_LST[DTE/WTE]=$E12)*(LT_LST[Symbol]=$I12))),"-")</f>
        <v>1</v>
      </c>
    </row>
    <row r="13" spans="1:17" x14ac:dyDescent="0.25">
      <c r="C13" t="str">
        <f t="shared" ca="1" si="0"/>
        <v>MOSTI23372</v>
      </c>
      <c r="D13" t="str">
        <f ca="1"/>
        <v>DYNAMIC SL</v>
      </c>
      <c r="E13">
        <f ca="1"/>
        <v>3</v>
      </c>
      <c r="F13" t="str">
        <f ca="1"/>
        <v>Derivatives</v>
      </c>
      <c r="G13" t="str">
        <f ca="1"/>
        <v>BNF_ATM DY_10:15</v>
      </c>
      <c r="H13" t="str">
        <f ca="1"/>
        <v>NSE</v>
      </c>
      <c r="I13" t="str">
        <f ca="1"/>
        <v>BANKNIFTY</v>
      </c>
      <c r="J13" s="50">
        <f ca="1"/>
        <v>46140</v>
      </c>
      <c r="K13" s="75">
        <f ca="1"/>
        <v>0.42708333333333331</v>
      </c>
      <c r="L13" s="75">
        <f ca="1"/>
        <v>0.1423611111111111</v>
      </c>
      <c r="M13" t="str">
        <f ca="1"/>
        <v>ATM</v>
      </c>
      <c r="N13" t="str">
        <f ca="1"/>
        <v>CE&amp; PE Both</v>
      </c>
      <c r="O13" t="str">
        <f ca="1"/>
        <v>Sell</v>
      </c>
      <c r="P13" s="77">
        <f ca="1"/>
        <v>0.3</v>
      </c>
      <c r="Q13" cm="1">
        <f t="array" aca="1" ref="Q13" ca="1">IFERROR(IF($P13="","",_xlfn._xlws.FILTER(LT_LST[Lot],(LT_LST[Client Id.]=$C13)*(LT_LST[Strategy]=$D13)*(LT_LST[DTE/WTE]=$E13)*(LT_LST[Symbol]=$I13))),"-")</f>
        <v>1</v>
      </c>
    </row>
    <row r="14" spans="1:17" x14ac:dyDescent="0.25">
      <c r="C14" t="str">
        <f t="shared" ca="1" si="0"/>
        <v>MOSTI23372</v>
      </c>
      <c r="D14" t="str">
        <f ca="1"/>
        <v>DYNAMIC SL</v>
      </c>
      <c r="E14">
        <f ca="1"/>
        <v>3</v>
      </c>
      <c r="F14" t="str">
        <f ca="1"/>
        <v>Derivatives</v>
      </c>
      <c r="G14" t="str">
        <f ca="1"/>
        <v>BNF_ATM DY_10:30</v>
      </c>
      <c r="H14" t="str">
        <f ca="1"/>
        <v>NSE</v>
      </c>
      <c r="I14" t="str">
        <f ca="1"/>
        <v>BANKNIFTY</v>
      </c>
      <c r="J14" s="50">
        <f ca="1"/>
        <v>46140</v>
      </c>
      <c r="K14" s="75">
        <f ca="1"/>
        <v>0.4375</v>
      </c>
      <c r="L14" s="75">
        <f ca="1"/>
        <v>0.1423611111111111</v>
      </c>
      <c r="M14" t="str">
        <f ca="1"/>
        <v>ATM</v>
      </c>
      <c r="N14" t="str">
        <f ca="1"/>
        <v>CE&amp; PE Both</v>
      </c>
      <c r="O14" t="str">
        <f ca="1"/>
        <v>Sell</v>
      </c>
      <c r="P14" s="77">
        <f ca="1"/>
        <v>0.3</v>
      </c>
      <c r="Q14" cm="1">
        <f t="array" aca="1" ref="Q14" ca="1">IFERROR(IF($P14="","",_xlfn._xlws.FILTER(LT_LST[Lot],(LT_LST[Client Id.]=$C14)*(LT_LST[Strategy]=$D14)*(LT_LST[DTE/WTE]=$E14)*(LT_LST[Symbol]=$I14))),"-")</f>
        <v>1</v>
      </c>
    </row>
    <row r="15" spans="1:17" x14ac:dyDescent="0.25">
      <c r="C15" t="str">
        <f t="shared" ca="1" si="0"/>
        <v>MOSTI23372</v>
      </c>
      <c r="D15" t="str">
        <f ca="1"/>
        <v>DYNAMIC SL</v>
      </c>
      <c r="E15">
        <f ca="1"/>
        <v>3</v>
      </c>
      <c r="F15" t="str">
        <f ca="1"/>
        <v>Derivatives</v>
      </c>
      <c r="G15" t="str">
        <f ca="1"/>
        <v>BNF_ATM DY_10:45</v>
      </c>
      <c r="H15" t="str">
        <f ca="1"/>
        <v>NSE</v>
      </c>
      <c r="I15" t="str">
        <f ca="1"/>
        <v>BANKNIFTY</v>
      </c>
      <c r="J15" s="50">
        <f ca="1"/>
        <v>46140</v>
      </c>
      <c r="K15" s="75">
        <f ca="1"/>
        <v>0.44791666666666669</v>
      </c>
      <c r="L15" s="75">
        <f ca="1"/>
        <v>0.1423611111111111</v>
      </c>
      <c r="M15" t="str">
        <f ca="1"/>
        <v>ATM</v>
      </c>
      <c r="N15" t="str">
        <f ca="1"/>
        <v>CE&amp; PE Both</v>
      </c>
      <c r="O15" t="str">
        <f ca="1"/>
        <v>Sell</v>
      </c>
      <c r="P15" s="77">
        <f ca="1"/>
        <v>0.3</v>
      </c>
      <c r="Q15" cm="1">
        <f t="array" aca="1" ref="Q15" ca="1">IFERROR(IF($P15="","",_xlfn._xlws.FILTER(LT_LST[Lot],(LT_LST[Client Id.]=$C15)*(LT_LST[Strategy]=$D15)*(LT_LST[DTE/WTE]=$E15)*(LT_LST[Symbol]=$I15))),"-")</f>
        <v>1</v>
      </c>
    </row>
    <row r="16" spans="1:17" x14ac:dyDescent="0.25">
      <c r="C16" t="str">
        <f t="shared" ca="1" si="0"/>
        <v>MOSTI23372</v>
      </c>
      <c r="D16" t="str">
        <f ca="1"/>
        <v>DYNAMIC SL</v>
      </c>
      <c r="E16">
        <f ca="1"/>
        <v>3</v>
      </c>
      <c r="F16" t="str">
        <f ca="1"/>
        <v>Derivatives</v>
      </c>
      <c r="G16" t="str">
        <f ca="1"/>
        <v>BNF_ITM1 DY_09:30</v>
      </c>
      <c r="H16" t="str">
        <f ca="1"/>
        <v>NSE</v>
      </c>
      <c r="I16" t="str">
        <f ca="1"/>
        <v>BANKNIFTY</v>
      </c>
      <c r="J16" s="50">
        <f ca="1"/>
        <v>46140</v>
      </c>
      <c r="K16" s="75">
        <f ca="1"/>
        <v>0.39583333333333331</v>
      </c>
      <c r="L16" s="75">
        <f ca="1"/>
        <v>0.1423611111111111</v>
      </c>
      <c r="M16" t="str">
        <f ca="1"/>
        <v>ITM1</v>
      </c>
      <c r="N16" t="str">
        <f ca="1"/>
        <v>CE&amp; PE Both</v>
      </c>
      <c r="O16" t="str">
        <f ca="1"/>
        <v>Sell</v>
      </c>
      <c r="P16" s="77">
        <f ca="1"/>
        <v>0.5</v>
      </c>
      <c r="Q16" cm="1">
        <f t="array" aca="1" ref="Q16" ca="1">IFERROR(IF($P16="","",_xlfn._xlws.FILTER(LT_LST[Lot],(LT_LST[Client Id.]=$C16)*(LT_LST[Strategy]=$D16)*(LT_LST[DTE/WTE]=$E16)*(LT_LST[Symbol]=$I16))),"-")</f>
        <v>1</v>
      </c>
    </row>
    <row r="17" spans="3:17" x14ac:dyDescent="0.25">
      <c r="C17" t="str">
        <f t="shared" ca="1" si="0"/>
        <v>MOSTI23372</v>
      </c>
      <c r="D17" t="str">
        <f ca="1"/>
        <v>DYNAMIC SL</v>
      </c>
      <c r="E17">
        <f ca="1"/>
        <v>3</v>
      </c>
      <c r="F17" t="str">
        <f ca="1"/>
        <v>Derivatives</v>
      </c>
      <c r="G17" t="str">
        <f ca="1"/>
        <v>BNF_ITM1 DY_09:45</v>
      </c>
      <c r="H17" t="str">
        <f ca="1"/>
        <v>NSE</v>
      </c>
      <c r="I17" t="str">
        <f ca="1"/>
        <v>BANKNIFTY</v>
      </c>
      <c r="J17" s="50">
        <f ca="1"/>
        <v>46140</v>
      </c>
      <c r="K17" s="75">
        <f ca="1"/>
        <v>0.40625</v>
      </c>
      <c r="L17" s="75">
        <f ca="1"/>
        <v>0.1423611111111111</v>
      </c>
      <c r="M17" t="str">
        <f ca="1"/>
        <v>ITM1</v>
      </c>
      <c r="N17" t="str">
        <f ca="1"/>
        <v>CE&amp; PE Both</v>
      </c>
      <c r="O17" t="str">
        <f ca="1"/>
        <v>Sell</v>
      </c>
      <c r="P17" s="77">
        <f ca="1"/>
        <v>0.5</v>
      </c>
      <c r="Q17" cm="1">
        <f t="array" aca="1" ref="Q17" ca="1">IFERROR(IF($P17="","",_xlfn._xlws.FILTER(LT_LST[Lot],(LT_LST[Client Id.]=$C17)*(LT_LST[Strategy]=$D17)*(LT_LST[DTE/WTE]=$E17)*(LT_LST[Symbol]=$I17))),"-")</f>
        <v>1</v>
      </c>
    </row>
    <row r="18" spans="3:17" x14ac:dyDescent="0.25">
      <c r="C18" t="str">
        <f t="shared" ca="1" si="0"/>
        <v>MOSTI23372</v>
      </c>
      <c r="D18" t="str">
        <f ca="1"/>
        <v>DYNAMIC SL</v>
      </c>
      <c r="E18">
        <f ca="1"/>
        <v>3</v>
      </c>
      <c r="F18" t="str">
        <f ca="1"/>
        <v>Derivatives</v>
      </c>
      <c r="G18" t="str">
        <f ca="1"/>
        <v>BNF_ITM1 DY_10:00</v>
      </c>
      <c r="H18" t="str">
        <f ca="1"/>
        <v>NSE</v>
      </c>
      <c r="I18" t="str">
        <f ca="1"/>
        <v>BANKNIFTY</v>
      </c>
      <c r="J18" s="50">
        <f ca="1"/>
        <v>46140</v>
      </c>
      <c r="K18" s="75">
        <f ca="1"/>
        <v>0.41666666666666669</v>
      </c>
      <c r="L18" s="75">
        <f ca="1"/>
        <v>0.1423611111111111</v>
      </c>
      <c r="M18" t="str">
        <f ca="1"/>
        <v>ITM1</v>
      </c>
      <c r="N18" t="str">
        <f ca="1"/>
        <v>CE&amp; PE Both</v>
      </c>
      <c r="O18" t="str">
        <f ca="1"/>
        <v>Sell</v>
      </c>
      <c r="P18" s="77">
        <f ca="1"/>
        <v>0.5</v>
      </c>
      <c r="Q18" cm="1">
        <f t="array" aca="1" ref="Q18" ca="1">IFERROR(IF($P18="","",_xlfn._xlws.FILTER(LT_LST[Lot],(LT_LST[Client Id.]=$C18)*(LT_LST[Strategy]=$D18)*(LT_LST[DTE/WTE]=$E18)*(LT_LST[Symbol]=$I18))),"-")</f>
        <v>1</v>
      </c>
    </row>
    <row r="19" spans="3:17" x14ac:dyDescent="0.25">
      <c r="C19" t="str">
        <f t="shared" ca="1" si="0"/>
        <v>MOSTI23372</v>
      </c>
      <c r="D19" t="str">
        <f ca="1"/>
        <v>DYNAMIC SL</v>
      </c>
      <c r="E19">
        <f ca="1"/>
        <v>0</v>
      </c>
      <c r="F19" t="str">
        <f ca="1"/>
        <v>Derivatives</v>
      </c>
      <c r="G19" t="str">
        <f ca="1"/>
        <v>SDT_ITM5_09:45</v>
      </c>
      <c r="H19" t="str">
        <f ca="1"/>
        <v>BSE</v>
      </c>
      <c r="I19" t="str">
        <f ca="1"/>
        <v>SENSEX</v>
      </c>
      <c r="J19" s="50">
        <f ca="1"/>
        <v>46128</v>
      </c>
      <c r="K19" s="75">
        <f ca="1"/>
        <v>0.40625</v>
      </c>
      <c r="L19" s="75">
        <f ca="1"/>
        <v>0.1423611111111111</v>
      </c>
      <c r="M19" t="str">
        <f ca="1"/>
        <v>ITM 5</v>
      </c>
      <c r="N19" t="str">
        <f ca="1"/>
        <v>CE&amp; PE Both</v>
      </c>
      <c r="O19" t="str">
        <f ca="1"/>
        <v>Sell</v>
      </c>
      <c r="P19" s="77">
        <f ca="1"/>
        <v>0.3</v>
      </c>
      <c r="Q19" cm="1">
        <f t="array" aca="1" ref="Q19" ca="1">IFERROR(IF($P19="","",_xlfn._xlws.FILTER(LT_LST[Lot],(LT_LST[Client Id.]=$C19)*(LT_LST[Strategy]=$D19)*(LT_LST[DTE/WTE]=$E19)*(LT_LST[Symbol]=$I19))),"-")</f>
        <v>4</v>
      </c>
    </row>
    <row r="20" spans="3:17" x14ac:dyDescent="0.25">
      <c r="C20" t="str">
        <f t="shared" ca="1" si="0"/>
        <v>MOSTI23372</v>
      </c>
      <c r="D20" t="str">
        <f ca="1"/>
        <v>DYNAMIC SL</v>
      </c>
      <c r="E20">
        <f ca="1"/>
        <v>0</v>
      </c>
      <c r="F20" t="str">
        <f ca="1"/>
        <v>Derivatives</v>
      </c>
      <c r="G20" t="str">
        <f ca="1"/>
        <v>SDT_ITM5_10:00</v>
      </c>
      <c r="H20" t="str">
        <f ca="1"/>
        <v>BSE</v>
      </c>
      <c r="I20" t="str">
        <f ca="1"/>
        <v>SENSEX</v>
      </c>
      <c r="J20" s="50">
        <f ca="1"/>
        <v>46128</v>
      </c>
      <c r="K20" s="75">
        <f ca="1"/>
        <v>0.41666666666666669</v>
      </c>
      <c r="L20" s="75">
        <f ca="1"/>
        <v>0.1423611111111111</v>
      </c>
      <c r="M20" t="str">
        <f ca="1"/>
        <v>ITM 5</v>
      </c>
      <c r="N20" t="str">
        <f ca="1"/>
        <v>CE&amp; PE Both</v>
      </c>
      <c r="O20" t="str">
        <f ca="1"/>
        <v>Sell</v>
      </c>
      <c r="P20" s="77">
        <f ca="1"/>
        <v>0.3</v>
      </c>
      <c r="Q20" cm="1">
        <f t="array" aca="1" ref="Q20" ca="1">IFERROR(IF($P20="","",_xlfn._xlws.FILTER(LT_LST[Lot],(LT_LST[Client Id.]=$C20)*(LT_LST[Strategy]=$D20)*(LT_LST[DTE/WTE]=$E20)*(LT_LST[Symbol]=$I20))),"-")</f>
        <v>4</v>
      </c>
    </row>
    <row r="21" spans="3:17" x14ac:dyDescent="0.25">
      <c r="C21" t="str">
        <f t="shared" ca="1" si="0"/>
        <v>MOSTI23372</v>
      </c>
      <c r="D21" t="str">
        <f ca="1"/>
        <v>DYNAMIC SL</v>
      </c>
      <c r="E21">
        <f ca="1"/>
        <v>0</v>
      </c>
      <c r="F21" t="str">
        <f ca="1"/>
        <v>Derivatives</v>
      </c>
      <c r="G21" t="str">
        <f ca="1"/>
        <v>SDT_ITM5_10:15</v>
      </c>
      <c r="H21" t="str">
        <f ca="1"/>
        <v>BSE</v>
      </c>
      <c r="I21" t="str">
        <f ca="1"/>
        <v>SENSEX</v>
      </c>
      <c r="J21" s="50">
        <f ca="1"/>
        <v>46128</v>
      </c>
      <c r="K21" s="75">
        <f ca="1"/>
        <v>0.42708333333333331</v>
      </c>
      <c r="L21" s="75">
        <f ca="1"/>
        <v>0.1423611111111111</v>
      </c>
      <c r="M21" t="str">
        <f ca="1"/>
        <v>ITM 5</v>
      </c>
      <c r="N21" t="str">
        <f ca="1"/>
        <v>CE&amp; PE Both</v>
      </c>
      <c r="O21" t="str">
        <f ca="1"/>
        <v>Sell</v>
      </c>
      <c r="P21" s="77">
        <f ca="1"/>
        <v>0.3</v>
      </c>
      <c r="Q21" cm="1">
        <f t="array" aca="1" ref="Q21" ca="1">IFERROR(IF($P21="","",_xlfn._xlws.FILTER(LT_LST[Lot],(LT_LST[Client Id.]=$C21)*(LT_LST[Strategy]=$D21)*(LT_LST[DTE/WTE]=$E21)*(LT_LST[Symbol]=$I21))),"-")</f>
        <v>4</v>
      </c>
    </row>
    <row r="22" spans="3:17" x14ac:dyDescent="0.25">
      <c r="C22" t="str">
        <f t="shared" ca="1" si="0"/>
        <v>MOSTI23372</v>
      </c>
      <c r="D22" t="str">
        <f ca="1"/>
        <v>DYNAMIC SL</v>
      </c>
      <c r="E22">
        <f ca="1"/>
        <v>0</v>
      </c>
      <c r="F22" t="str">
        <f ca="1"/>
        <v>Derivatives</v>
      </c>
      <c r="G22" t="str">
        <f ca="1"/>
        <v>SDT_ITM3_09:45</v>
      </c>
      <c r="H22" t="str">
        <f ca="1"/>
        <v>BSE</v>
      </c>
      <c r="I22" t="str">
        <f ca="1"/>
        <v>SENSEX</v>
      </c>
      <c r="J22" s="50">
        <f ca="1"/>
        <v>46128</v>
      </c>
      <c r="K22" s="75">
        <f ca="1"/>
        <v>0.40625</v>
      </c>
      <c r="L22" s="75">
        <f ca="1"/>
        <v>0.1423611111111111</v>
      </c>
      <c r="M22" t="str">
        <f ca="1"/>
        <v>ITM 3</v>
      </c>
      <c r="N22" t="str">
        <f ca="1"/>
        <v>CE&amp; PE Both</v>
      </c>
      <c r="O22" t="str">
        <f ca="1"/>
        <v>Sell</v>
      </c>
      <c r="P22" s="77">
        <f ca="1"/>
        <v>0.5</v>
      </c>
      <c r="Q22" cm="1">
        <f t="array" aca="1" ref="Q22" ca="1">IFERROR(IF($P22="","",_xlfn._xlws.FILTER(LT_LST[Lot],(LT_LST[Client Id.]=$C22)*(LT_LST[Strategy]=$D22)*(LT_LST[DTE/WTE]=$E22)*(LT_LST[Symbol]=$I22))),"-")</f>
        <v>4</v>
      </c>
    </row>
    <row r="23" spans="3:17" x14ac:dyDescent="0.25">
      <c r="C23" t="str">
        <f t="shared" ca="1" si="0"/>
        <v>MOSTI23372</v>
      </c>
      <c r="D23" t="str">
        <f ca="1"/>
        <v>DYNAMIC SL</v>
      </c>
      <c r="E23">
        <f ca="1"/>
        <v>0</v>
      </c>
      <c r="F23" t="str">
        <f ca="1"/>
        <v>Derivatives</v>
      </c>
      <c r="G23" t="str">
        <f ca="1"/>
        <v>SDT_ITM3_10:00</v>
      </c>
      <c r="H23" t="str">
        <f ca="1"/>
        <v>BSE</v>
      </c>
      <c r="I23" t="str">
        <f ca="1"/>
        <v>SENSEX</v>
      </c>
      <c r="J23" s="50">
        <f ca="1"/>
        <v>46128</v>
      </c>
      <c r="K23" s="75">
        <f ca="1"/>
        <v>0.41666666666666669</v>
      </c>
      <c r="L23" s="75">
        <f ca="1"/>
        <v>0.1423611111111111</v>
      </c>
      <c r="M23" t="str">
        <f ca="1"/>
        <v>ITM 3</v>
      </c>
      <c r="N23" t="str">
        <f ca="1"/>
        <v>CE&amp; PE Both</v>
      </c>
      <c r="O23" t="str">
        <f ca="1"/>
        <v>Sell</v>
      </c>
      <c r="P23" s="77">
        <f ca="1"/>
        <v>0.5</v>
      </c>
      <c r="Q23" cm="1">
        <f t="array" aca="1" ref="Q23" ca="1">IFERROR(IF($P23="","",_xlfn._xlws.FILTER(LT_LST[Lot],(LT_LST[Client Id.]=$C23)*(LT_LST[Strategy]=$D23)*(LT_LST[DTE/WTE]=$E23)*(LT_LST[Symbol]=$I23))),"-")</f>
        <v>4</v>
      </c>
    </row>
    <row r="24" spans="3:17" x14ac:dyDescent="0.25">
      <c r="C24" t="str">
        <f t="shared" ca="1" si="0"/>
        <v>MOSTI23372</v>
      </c>
      <c r="D24" t="str">
        <f ca="1"/>
        <v>DYNAMIC SL</v>
      </c>
      <c r="E24">
        <f ca="1"/>
        <v>0</v>
      </c>
      <c r="F24" t="str">
        <f ca="1"/>
        <v>Derivatives</v>
      </c>
      <c r="G24" t="str">
        <f ca="1"/>
        <v>SDT_ITM3_10:15</v>
      </c>
      <c r="H24" t="str">
        <f ca="1"/>
        <v>BSE</v>
      </c>
      <c r="I24" t="str">
        <f ca="1"/>
        <v>SENSEX</v>
      </c>
      <c r="J24" s="50">
        <f ca="1"/>
        <v>46128</v>
      </c>
      <c r="K24" s="75">
        <f ca="1"/>
        <v>0.42708333333333331</v>
      </c>
      <c r="L24" s="75">
        <f ca="1"/>
        <v>0.1423611111111111</v>
      </c>
      <c r="M24" t="str">
        <f ca="1"/>
        <v>ITM 3</v>
      </c>
      <c r="N24" t="str">
        <f ca="1"/>
        <v>CE&amp; PE Both</v>
      </c>
      <c r="O24" t="str">
        <f ca="1"/>
        <v>Sell</v>
      </c>
      <c r="P24" s="77">
        <f ca="1"/>
        <v>0.5</v>
      </c>
      <c r="Q24" cm="1">
        <f t="array" aca="1" ref="Q24" ca="1">IFERROR(IF($P24="","",_xlfn._xlws.FILTER(LT_LST[Lot],(LT_LST[Client Id.]=$C24)*(LT_LST[Strategy]=$D24)*(LT_LST[DTE/WTE]=$E24)*(LT_LST[Symbol]=$I24))),"-")</f>
        <v>4</v>
      </c>
    </row>
    <row r="25" spans="3:17" x14ac:dyDescent="0.25">
      <c r="C25" t="str">
        <f t="shared" si="0"/>
        <v/>
      </c>
      <c r="Q25" t="str" cm="1">
        <f t="array" ref="Q25">IFERROR(IF($P25="","",_xlfn._xlws.FILTER(LT_LST[Lot],(LT_LST[Client Id.]=$C25)*(LT_LST[Strategy]=$D25)*(LT_LST[DTE/WTE]=$E25)*(LT_LST[Symbol]=$I25))),"-")</f>
        <v/>
      </c>
    </row>
    <row r="26" spans="3:17" x14ac:dyDescent="0.25">
      <c r="C26" t="str">
        <f t="shared" si="0"/>
        <v/>
      </c>
      <c r="Q26" t="str" cm="1">
        <f t="array" ref="Q26">IFERROR(IF($P26="","",_xlfn._xlws.FILTER(LT_LST[Lot],(LT_LST[Client Id.]=$C26)*(LT_LST[Strategy]=$D26)*(LT_LST[DTE/WTE]=$E26)*(LT_LST[Symbol]=$I26))),"-")</f>
        <v/>
      </c>
    </row>
    <row r="27" spans="3:17" x14ac:dyDescent="0.25">
      <c r="C27" t="str">
        <f t="shared" si="0"/>
        <v/>
      </c>
      <c r="Q27" t="str" cm="1">
        <f t="array" ref="Q27">IFERROR(IF($P27="","",_xlfn._xlws.FILTER(LT_LST[Lot],(LT_LST[Client Id.]=$C27)*(LT_LST[Strategy]=$D27)*(LT_LST[DTE/WTE]=$E27)*(LT_LST[Symbol]=$I27))),"-")</f>
        <v/>
      </c>
    </row>
    <row r="28" spans="3:17" x14ac:dyDescent="0.25">
      <c r="C28" t="str">
        <f t="shared" si="0"/>
        <v/>
      </c>
      <c r="Q28" t="str" cm="1">
        <f t="array" ref="Q28">IFERROR(IF($P28="","",_xlfn._xlws.FILTER(LT_LST[Lot],(LT_LST[Client Id.]=$C28)*(LT_LST[Strategy]=$D28)*(LT_LST[DTE/WTE]=$E28)*(LT_LST[Symbol]=$I28))),"-")</f>
        <v/>
      </c>
    </row>
    <row r="29" spans="3:17" x14ac:dyDescent="0.25">
      <c r="C29" t="str">
        <f t="shared" si="0"/>
        <v/>
      </c>
      <c r="Q29" t="str" cm="1">
        <f t="array" ref="Q29">IFERROR(IF($P29="","",_xlfn._xlws.FILTER(LT_LST[Lot],(LT_LST[Client Id.]=$C29)*(LT_LST[Strategy]=$D29)*(LT_LST[DTE/WTE]=$E29)*(LT_LST[Symbol]=$I29))),"-")</f>
        <v/>
      </c>
    </row>
    <row r="30" spans="3:17" x14ac:dyDescent="0.25">
      <c r="C30" t="str">
        <f t="shared" si="0"/>
        <v/>
      </c>
      <c r="Q30" t="str" cm="1">
        <f t="array" ref="Q30">IFERROR(IF($P30="","",_xlfn._xlws.FILTER(LT_LST[Lot],(LT_LST[Client Id.]=$C30)*(LT_LST[Strategy]=$D30)*(LT_LST[DTE/WTE]=$E30)*(LT_LST[Symbol]=$I30))),"-")</f>
        <v/>
      </c>
    </row>
    <row r="31" spans="3:17" x14ac:dyDescent="0.25">
      <c r="C31" t="str">
        <f t="shared" si="0"/>
        <v/>
      </c>
      <c r="Q31" t="str" cm="1">
        <f t="array" ref="Q31">IFERROR(IF($P31="","",_xlfn._xlws.FILTER(LT_LST[Lot],(LT_LST[Client Id.]=$C31)*(LT_LST[Strategy]=$D31)*(LT_LST[DTE/WTE]=$E31)*(LT_LST[Symbol]=$I31))),"-")</f>
        <v/>
      </c>
    </row>
    <row r="32" spans="3:17" x14ac:dyDescent="0.25">
      <c r="C32" t="str">
        <f t="shared" si="0"/>
        <v/>
      </c>
      <c r="Q32" t="str" cm="1">
        <f t="array" ref="Q32">IFERROR(IF($P32="","",_xlfn._xlws.FILTER(LT_LST[Lot],(LT_LST[Client Id.]=$C32)*(LT_LST[Strategy]=$D32)*(LT_LST[DTE/WTE]=$E32)*(LT_LST[Symbol]=$I32))),"-")</f>
        <v/>
      </c>
    </row>
    <row r="33" spans="3:17" x14ac:dyDescent="0.25">
      <c r="C33" t="str">
        <f t="shared" si="0"/>
        <v/>
      </c>
      <c r="Q33" t="str" cm="1">
        <f t="array" ref="Q33">IFERROR(IF($P33="","",_xlfn._xlws.FILTER(LT_LST[Lot],(LT_LST[Client Id.]=$C33)*(LT_LST[Strategy]=$D33)*(LT_LST[DTE/WTE]=$E33)*(LT_LST[Symbol]=$I33))),"-")</f>
        <v/>
      </c>
    </row>
    <row r="34" spans="3:17" x14ac:dyDescent="0.25">
      <c r="C34" t="str">
        <f t="shared" si="0"/>
        <v/>
      </c>
      <c r="Q34" t="str" cm="1">
        <f t="array" ref="Q34">IFERROR(IF($P34="","",_xlfn._xlws.FILTER(LT_LST[Lot],(LT_LST[Client Id.]=$C34)*(LT_LST[Strategy]=$D34)*(LT_LST[DTE/WTE]=$E34)*(LT_LST[Symbol]=$I34))),"-")</f>
        <v/>
      </c>
    </row>
    <row r="35" spans="3:17" x14ac:dyDescent="0.25">
      <c r="C35" t="str">
        <f t="shared" si="0"/>
        <v/>
      </c>
      <c r="Q35" t="str" cm="1">
        <f t="array" ref="Q35">IFERROR(IF($P35="","",_xlfn._xlws.FILTER(LT_LST[Lot],(LT_LST[Client Id.]=$C35)*(LT_LST[Strategy]=$D35)*(LT_LST[DTE/WTE]=$E35)*(LT_LST[Symbol]=$I35))),"-")</f>
        <v/>
      </c>
    </row>
    <row r="36" spans="3:17" x14ac:dyDescent="0.25">
      <c r="C36" t="str">
        <f t="shared" si="0"/>
        <v/>
      </c>
      <c r="Q36" t="str" cm="1">
        <f t="array" ref="Q36">IFERROR(IF($P36="","",_xlfn._xlws.FILTER(LT_LST[Lot],(LT_LST[Client Id.]=$C36)*(LT_LST[Strategy]=$D36)*(LT_LST[DTE/WTE]=$E36)*(LT_LST[Symbol]=$I36))),"-")</f>
        <v/>
      </c>
    </row>
    <row r="37" spans="3:17" x14ac:dyDescent="0.25">
      <c r="C37" t="str">
        <f t="shared" si="0"/>
        <v/>
      </c>
      <c r="Q37" t="str" cm="1">
        <f t="array" ref="Q37">IFERROR(IF($P37="","",_xlfn._xlws.FILTER(LT_LST[Lot],(LT_LST[Client Id.]=$C37)*(LT_LST[Strategy]=$D37)*(LT_LST[DTE/WTE]=$E37)*(LT_LST[Symbol]=$I37))),"-")</f>
        <v/>
      </c>
    </row>
    <row r="38" spans="3:17" x14ac:dyDescent="0.25">
      <c r="C38" t="str">
        <f t="shared" si="0"/>
        <v/>
      </c>
      <c r="Q38" t="str" cm="1">
        <f t="array" ref="Q38">IFERROR(IF($P38="","",_xlfn._xlws.FILTER(LT_LST[Lot],(LT_LST[Client Id.]=$C38)*(LT_LST[Strategy]=$D38)*(LT_LST[DTE/WTE]=$E38)*(LT_LST[Symbol]=$I38))),"-")</f>
        <v/>
      </c>
    </row>
    <row r="39" spans="3:17" x14ac:dyDescent="0.25">
      <c r="C39" t="str">
        <f t="shared" si="0"/>
        <v/>
      </c>
      <c r="Q39" t="str" cm="1">
        <f t="array" ref="Q39">IFERROR(IF($P39="","",_xlfn._xlws.FILTER(LT_LST[Lot],(LT_LST[Client Id.]=$C39)*(LT_LST[Strategy]=$D39)*(LT_LST[DTE/WTE]=$E39)*(LT_LST[Symbol]=$I39))),"-")</f>
        <v/>
      </c>
    </row>
    <row r="40" spans="3:17" x14ac:dyDescent="0.25">
      <c r="C40" t="str">
        <f t="shared" si="0"/>
        <v/>
      </c>
      <c r="Q40" t="str" cm="1">
        <f t="array" ref="Q40">IFERROR(IF($P40="","",_xlfn._xlws.FILTER(LT_LST[Lot],(LT_LST[Client Id.]=$C40)*(LT_LST[Strategy]=$D40)*(LT_LST[DTE/WTE]=$E40)*(LT_LST[Symbol]=$I40))),"-")</f>
        <v/>
      </c>
    </row>
    <row r="41" spans="3:17" x14ac:dyDescent="0.25">
      <c r="C41" t="str">
        <f t="shared" si="0"/>
        <v/>
      </c>
      <c r="Q41" t="str" cm="1">
        <f t="array" ref="Q41">IFERROR(IF($P41="","",_xlfn._xlws.FILTER(LT_LST[Lot],(LT_LST[Client Id.]=$C41)*(LT_LST[Strategy]=$D41)*(LT_LST[DTE/WTE]=$E41)*(LT_LST[Symbol]=$I41))),"-")</f>
        <v/>
      </c>
    </row>
    <row r="42" spans="3:17" x14ac:dyDescent="0.25">
      <c r="C42" t="str">
        <f t="shared" si="0"/>
        <v/>
      </c>
      <c r="Q42" t="str" cm="1">
        <f t="array" ref="Q42">IFERROR(IF($P42="","",_xlfn._xlws.FILTER(LT_LST[Lot],(LT_LST[Client Id.]=$C42)*(LT_LST[Strategy]=$D42)*(LT_LST[DTE/WTE]=$E42)*(LT_LST[Symbol]=$I42))),"-")</f>
        <v/>
      </c>
    </row>
    <row r="43" spans="3:17" x14ac:dyDescent="0.25">
      <c r="C43" t="str">
        <f t="shared" si="0"/>
        <v/>
      </c>
      <c r="Q43" t="str" cm="1">
        <f t="array" ref="Q43">IFERROR(IF($P43="","",_xlfn._xlws.FILTER(LT_LST[Lot],(LT_LST[Client Id.]=$C43)*(LT_LST[Strategy]=$D43)*(LT_LST[DTE/WTE]=$E43)*(LT_LST[Symbol]=$I43))),"-")</f>
        <v/>
      </c>
    </row>
    <row r="44" spans="3:17" x14ac:dyDescent="0.25">
      <c r="C44" t="str">
        <f t="shared" si="0"/>
        <v/>
      </c>
      <c r="Q44" t="str" cm="1">
        <f t="array" ref="Q44">IFERROR(IF($P44="","",_xlfn._xlws.FILTER(LT_LST[Lot],(LT_LST[Client Id.]=$C44)*(LT_LST[Strategy]=$D44)*(LT_LST[DTE/WTE]=$E44)*(LT_LST[Symbol]=$I44))),"-")</f>
        <v/>
      </c>
    </row>
    <row r="45" spans="3:17" x14ac:dyDescent="0.25">
      <c r="C45" t="str">
        <f t="shared" si="0"/>
        <v/>
      </c>
      <c r="Q45" t="str" cm="1">
        <f t="array" ref="Q45">IFERROR(IF($P45="","",_xlfn._xlws.FILTER(LT_LST[Lot],(LT_LST[Client Id.]=$C45)*(LT_LST[Strategy]=$D45)*(LT_LST[DTE/WTE]=$E45)*(LT_LST[Symbol]=$I45))),"-")</f>
        <v/>
      </c>
    </row>
    <row r="46" spans="3:17" x14ac:dyDescent="0.25">
      <c r="C46" t="str">
        <f t="shared" si="0"/>
        <v/>
      </c>
      <c r="Q46" t="str" cm="1">
        <f t="array" ref="Q46">IFERROR(IF($P46="","",_xlfn._xlws.FILTER(LT_LST[Lot],(LT_LST[Client Id.]=$C46)*(LT_LST[Strategy]=$D46)*(LT_LST[DTE/WTE]=$E46)*(LT_LST[Symbol]=$I46))),"-")</f>
        <v/>
      </c>
    </row>
    <row r="47" spans="3:17" x14ac:dyDescent="0.25">
      <c r="C47" t="str">
        <f t="shared" si="0"/>
        <v/>
      </c>
      <c r="Q47" t="str" cm="1">
        <f t="array" ref="Q47">IFERROR(IF($P47="","",_xlfn._xlws.FILTER(LT_LST[Lot],(LT_LST[Client Id.]=$C47)*(LT_LST[Strategy]=$D47)*(LT_LST[DTE/WTE]=$E47)*(LT_LST[Symbol]=$I47))),"-")</f>
        <v/>
      </c>
    </row>
    <row r="48" spans="3:17" x14ac:dyDescent="0.25">
      <c r="C48" t="str">
        <f t="shared" si="0"/>
        <v/>
      </c>
      <c r="Q48" t="str" cm="1">
        <f t="array" ref="Q48">IFERROR(IF($P48="","",_xlfn._xlws.FILTER(LT_LST[Lot],(LT_LST[Client Id.]=$C48)*(LT_LST[Strategy]=$D48)*(LT_LST[DTE/WTE]=$E48)*(LT_LST[Symbol]=$I48))),"-")</f>
        <v/>
      </c>
    </row>
    <row r="49" spans="3:17" x14ac:dyDescent="0.25">
      <c r="C49" t="str">
        <f t="shared" si="0"/>
        <v/>
      </c>
      <c r="Q49" t="str" cm="1">
        <f t="array" ref="Q49">IFERROR(IF($P49="","",_xlfn._xlws.FILTER(LT_LST[Lot],(LT_LST[Client Id.]=$C49)*(LT_LST[Strategy]=$D49)*(LT_LST[DTE/WTE]=$E49)*(LT_LST[Symbol]=$I49))),"-")</f>
        <v/>
      </c>
    </row>
    <row r="50" spans="3:17" x14ac:dyDescent="0.25">
      <c r="C50" t="str">
        <f t="shared" si="0"/>
        <v/>
      </c>
      <c r="Q50" t="str" cm="1">
        <f t="array" ref="Q50">IFERROR(IF($P50="","",_xlfn._xlws.FILTER(LT_LST[Lot],(LT_LST[Client Id.]=$C50)*(LT_LST[Strategy]=$D50)*(LT_LST[DTE/WTE]=$E50)*(LT_LST[Symbol]=$I50))),"-")</f>
        <v/>
      </c>
    </row>
    <row r="51" spans="3:17" x14ac:dyDescent="0.25">
      <c r="C51" t="str">
        <f t="shared" si="0"/>
        <v/>
      </c>
      <c r="Q51" t="str" cm="1">
        <f t="array" ref="Q51">IFERROR(IF($P51="","",_xlfn._xlws.FILTER(LT_LST[Lot],(LT_LST[Client Id.]=$C51)*(LT_LST[Strategy]=$D51)*(LT_LST[DTE/WTE]=$E51)*(LT_LST[Symbol]=$I51))),"-")</f>
        <v/>
      </c>
    </row>
    <row r="52" spans="3:17" x14ac:dyDescent="0.25">
      <c r="C52" t="str">
        <f t="shared" si="0"/>
        <v/>
      </c>
      <c r="Q52" t="str" cm="1">
        <f t="array" ref="Q52">IFERROR(IF($P52="","",_xlfn._xlws.FILTER(LT_LST[Lot],(LT_LST[Client Id.]=$C52)*(LT_LST[Strategy]=$D52)*(LT_LST[DTE/WTE]=$E52)*(LT_LST[Symbol]=$I52))),"-")</f>
        <v/>
      </c>
    </row>
    <row r="53" spans="3:17" x14ac:dyDescent="0.25">
      <c r="C53" t="str">
        <f t="shared" si="0"/>
        <v/>
      </c>
      <c r="Q53" t="str" cm="1">
        <f t="array" ref="Q53">IFERROR(IF($P53="","",_xlfn._xlws.FILTER(LT_LST[Lot],(LT_LST[Client Id.]=$C53)*(LT_LST[Strategy]=$D53)*(LT_LST[DTE/WTE]=$E53)*(LT_LST[Symbol]=$I53))),"-")</f>
        <v/>
      </c>
    </row>
    <row r="54" spans="3:17" x14ac:dyDescent="0.25">
      <c r="C54" t="str">
        <f t="shared" si="0"/>
        <v/>
      </c>
      <c r="Q54" t="str" cm="1">
        <f t="array" ref="Q54">IFERROR(IF($P54="","",_xlfn._xlws.FILTER(LT_LST[Lot],(LT_LST[Client Id.]=$C54)*(LT_LST[Strategy]=$D54)*(LT_LST[DTE/WTE]=$E54)*(LT_LST[Symbol]=$I54))),"-")</f>
        <v/>
      </c>
    </row>
    <row r="55" spans="3:17" x14ac:dyDescent="0.25">
      <c r="C55" t="str">
        <f t="shared" si="0"/>
        <v/>
      </c>
      <c r="Q55" t="str" cm="1">
        <f t="array" ref="Q55">IFERROR(IF($P55="","",_xlfn._xlws.FILTER(LT_LST[Lot],(LT_LST[Client Id.]=$C55)*(LT_LST[Strategy]=$D55)*(LT_LST[DTE/WTE]=$E55)*(LT_LST[Symbol]=$I55))),"-")</f>
        <v/>
      </c>
    </row>
    <row r="56" spans="3:17" x14ac:dyDescent="0.25">
      <c r="C56" t="str">
        <f t="shared" si="0"/>
        <v/>
      </c>
      <c r="Q56" t="str" cm="1">
        <f t="array" ref="Q56">IFERROR(IF($P56="","",_xlfn._xlws.FILTER(LT_LST[Lot],(LT_LST[Client Id.]=$C56)*(LT_LST[Strategy]=$D56)*(LT_LST[DTE/WTE]=$E56)*(LT_LST[Symbol]=$I56))),"-")</f>
        <v/>
      </c>
    </row>
    <row r="57" spans="3:17" x14ac:dyDescent="0.25">
      <c r="C57" t="str">
        <f t="shared" si="0"/>
        <v/>
      </c>
      <c r="Q57" t="str" cm="1">
        <f t="array" ref="Q57">IFERROR(IF($P57="","",_xlfn._xlws.FILTER(LT_LST[Lot],(LT_LST[Client Id.]=$C57)*(LT_LST[Strategy]=$D57)*(LT_LST[DTE/WTE]=$E57)*(LT_LST[Symbol]=$I57))),"-")</f>
        <v/>
      </c>
    </row>
    <row r="58" spans="3:17" x14ac:dyDescent="0.25">
      <c r="C58" t="str">
        <f t="shared" si="0"/>
        <v/>
      </c>
      <c r="Q58" t="str" cm="1">
        <f t="array" ref="Q58">IFERROR(IF($P58="","",_xlfn._xlws.FILTER(LT_LST[Lot],(LT_LST[Client Id.]=$C58)*(LT_LST[Strategy]=$D58)*(LT_LST[DTE/WTE]=$E58)*(LT_LST[Symbol]=$I58))),"-")</f>
        <v/>
      </c>
    </row>
    <row r="59" spans="3:17" x14ac:dyDescent="0.25">
      <c r="C59" t="str">
        <f t="shared" si="0"/>
        <v/>
      </c>
      <c r="Q59" t="str" cm="1">
        <f t="array" ref="Q59">IFERROR(IF($P59="","",_xlfn._xlws.FILTER(LT_LST[Lot],(LT_LST[Client Id.]=$C59)*(LT_LST[Strategy]=$D59)*(LT_LST[DTE/WTE]=$E59)*(LT_LST[Symbol]=$I59))),"-")</f>
        <v/>
      </c>
    </row>
    <row r="60" spans="3:17" x14ac:dyDescent="0.25">
      <c r="C60" t="str">
        <f t="shared" si="0"/>
        <v/>
      </c>
      <c r="Q60" t="str" cm="1">
        <f t="array" ref="Q60">IFERROR(IF($P60="","",_xlfn._xlws.FILTER(LT_LST[Lot],(LT_LST[Client Id.]=$C60)*(LT_LST[Strategy]=$D60)*(LT_LST[DTE/WTE]=$E60)*(LT_LST[Symbol]=$I60))),"-")</f>
        <v/>
      </c>
    </row>
    <row r="61" spans="3:17" x14ac:dyDescent="0.25">
      <c r="C61" t="str">
        <f t="shared" si="0"/>
        <v/>
      </c>
      <c r="Q61" t="str" cm="1">
        <f t="array" ref="Q61">IFERROR(IF($P61="","",_xlfn._xlws.FILTER(LT_LST[Lot],(LT_LST[Client Id.]=$C61)*(LT_LST[Strategy]=$D61)*(LT_LST[DTE/WTE]=$E61)*(LT_LST[Symbol]=$I61))),"-")</f>
        <v/>
      </c>
    </row>
    <row r="62" spans="3:17" x14ac:dyDescent="0.25">
      <c r="C62" t="str">
        <f t="shared" si="0"/>
        <v/>
      </c>
      <c r="Q62" t="str" cm="1">
        <f t="array" ref="Q62">IFERROR(IF($P62="","",_xlfn._xlws.FILTER(LT_LST[Lot],(LT_LST[Client Id.]=$C62)*(LT_LST[Strategy]=$D62)*(LT_LST[DTE/WTE]=$E62)*(LT_LST[Symbol]=$I62))),"-")</f>
        <v/>
      </c>
    </row>
    <row r="63" spans="3:17" x14ac:dyDescent="0.25">
      <c r="C63" t="str">
        <f t="shared" si="0"/>
        <v/>
      </c>
      <c r="Q63" t="str" cm="1">
        <f t="array" ref="Q63">IFERROR(IF($P63="","",_xlfn._xlws.FILTER(LT_LST[Lot],(LT_LST[Client Id.]=$C63)*(LT_LST[Strategy]=$D63)*(LT_LST[DTE/WTE]=$E63)*(LT_LST[Symbol]=$I63))),"-")</f>
        <v/>
      </c>
    </row>
    <row r="64" spans="3:17" x14ac:dyDescent="0.25">
      <c r="C64" t="str">
        <f t="shared" si="0"/>
        <v/>
      </c>
      <c r="Q64" t="str" cm="1">
        <f t="array" ref="Q64">IFERROR(IF($P64="","",_xlfn._xlws.FILTER(LT_LST[Lot],(LT_LST[Client Id.]=$C64)*(LT_LST[Strategy]=$D64)*(LT_LST[DTE/WTE]=$E64)*(LT_LST[Symbol]=$I64))),"-")</f>
        <v/>
      </c>
    </row>
    <row r="65" spans="3:17" x14ac:dyDescent="0.25">
      <c r="C65" t="str">
        <f t="shared" si="0"/>
        <v/>
      </c>
      <c r="Q65" t="str" cm="1">
        <f t="array" ref="Q65">IFERROR(IF($P65="","",_xlfn._xlws.FILTER(LT_LST[Lot],(LT_LST[Client Id.]=$C65)*(LT_LST[Strategy]=$D65)*(LT_LST[DTE/WTE]=$E65)*(LT_LST[Symbol]=$I65))),"-")</f>
        <v/>
      </c>
    </row>
    <row r="66" spans="3:17" x14ac:dyDescent="0.25">
      <c r="C66" t="str">
        <f t="shared" si="0"/>
        <v/>
      </c>
      <c r="Q66" t="str" cm="1">
        <f t="array" ref="Q66">IFERROR(IF($P66="","",_xlfn._xlws.FILTER(LT_LST[Lot],(LT_LST[Client Id.]=$C66)*(LT_LST[Strategy]=$D66)*(LT_LST[DTE/WTE]=$E66)*(LT_LST[Symbol]=$I66))),"-")</f>
        <v/>
      </c>
    </row>
    <row r="67" spans="3:17" x14ac:dyDescent="0.25">
      <c r="C67" t="str">
        <f t="shared" si="0"/>
        <v/>
      </c>
      <c r="Q67" t="str" cm="1">
        <f t="array" ref="Q67">IFERROR(IF($P67="","",_xlfn._xlws.FILTER(LT_LST[Lot],(LT_LST[Client Id.]=$C67)*(LT_LST[Strategy]=$D67)*(LT_LST[DTE/WTE]=$E67)*(LT_LST[Symbol]=$I67))),"-")</f>
        <v/>
      </c>
    </row>
    <row r="68" spans="3:17" x14ac:dyDescent="0.25">
      <c r="C68" t="str">
        <f t="shared" ref="C68:C131" si="1">IF(D68="","",$A$1)</f>
        <v/>
      </c>
      <c r="Q68" t="str" cm="1">
        <f t="array" ref="Q68">IFERROR(IF($P68="","",_xlfn._xlws.FILTER(LT_LST[Lot],(LT_LST[Client Id.]=$C68)*(LT_LST[Strategy]=$D68)*(LT_LST[DTE/WTE]=$E68)*(LT_LST[Symbol]=$I68))),"-")</f>
        <v/>
      </c>
    </row>
    <row r="69" spans="3:17" x14ac:dyDescent="0.25">
      <c r="C69" t="str">
        <f t="shared" si="1"/>
        <v/>
      </c>
      <c r="Q69" t="str" cm="1">
        <f t="array" ref="Q69">IFERROR(IF($P69="","",_xlfn._xlws.FILTER(LT_LST[Lot],(LT_LST[Client Id.]=$C69)*(LT_LST[Strategy]=$D69)*(LT_LST[DTE/WTE]=$E69)*(LT_LST[Symbol]=$I69))),"-")</f>
        <v/>
      </c>
    </row>
    <row r="70" spans="3:17" x14ac:dyDescent="0.25">
      <c r="C70" t="str">
        <f t="shared" si="1"/>
        <v/>
      </c>
      <c r="Q70" t="str" cm="1">
        <f t="array" ref="Q70">IFERROR(IF($P70="","",_xlfn._xlws.FILTER(LT_LST[Lot],(LT_LST[Client Id.]=$C70)*(LT_LST[Strategy]=$D70)*(LT_LST[DTE/WTE]=$E70)*(LT_LST[Symbol]=$I70))),"-")</f>
        <v/>
      </c>
    </row>
    <row r="71" spans="3:17" x14ac:dyDescent="0.25">
      <c r="C71" t="str">
        <f t="shared" si="1"/>
        <v/>
      </c>
      <c r="Q71" t="str" cm="1">
        <f t="array" ref="Q71">IFERROR(IF($P71="","",_xlfn._xlws.FILTER(LT_LST[Lot],(LT_LST[Client Id.]=$C71)*(LT_LST[Strategy]=$D71)*(LT_LST[DTE/WTE]=$E71)*(LT_LST[Symbol]=$I71))),"-")</f>
        <v/>
      </c>
    </row>
    <row r="72" spans="3:17" x14ac:dyDescent="0.25">
      <c r="C72" t="str">
        <f t="shared" si="1"/>
        <v/>
      </c>
      <c r="Q72" t="str" cm="1">
        <f t="array" ref="Q72">IFERROR(IF($P72="","",_xlfn._xlws.FILTER(LT_LST[Lot],(LT_LST[Client Id.]=$C72)*(LT_LST[Strategy]=$D72)*(LT_LST[DTE/WTE]=$E72)*(LT_LST[Symbol]=$I72))),"-")</f>
        <v/>
      </c>
    </row>
    <row r="73" spans="3:17" x14ac:dyDescent="0.25">
      <c r="C73" t="str">
        <f t="shared" si="1"/>
        <v/>
      </c>
      <c r="Q73" t="str" cm="1">
        <f t="array" ref="Q73">IFERROR(IF($P73="","",_xlfn._xlws.FILTER(LT_LST[Lot],(LT_LST[Client Id.]=$C73)*(LT_LST[Strategy]=$D73)*(LT_LST[DTE/WTE]=$E73)*(LT_LST[Symbol]=$I73))),"-")</f>
        <v/>
      </c>
    </row>
    <row r="74" spans="3:17" x14ac:dyDescent="0.25">
      <c r="C74" t="str">
        <f t="shared" si="1"/>
        <v/>
      </c>
      <c r="Q74" t="str" cm="1">
        <f t="array" ref="Q74">IFERROR(IF($P74="","",_xlfn._xlws.FILTER(LT_LST[Lot],(LT_LST[Client Id.]=$C74)*(LT_LST[Strategy]=$D74)*(LT_LST[DTE/WTE]=$E74)*(LT_LST[Symbol]=$I74))),"-")</f>
        <v/>
      </c>
    </row>
    <row r="75" spans="3:17" x14ac:dyDescent="0.25">
      <c r="C75" t="str">
        <f t="shared" si="1"/>
        <v/>
      </c>
      <c r="Q75" t="str" cm="1">
        <f t="array" ref="Q75">IFERROR(IF($P75="","",_xlfn._xlws.FILTER(LT_LST[Lot],(LT_LST[Client Id.]=$C75)*(LT_LST[Strategy]=$D75)*(LT_LST[DTE/WTE]=$E75)*(LT_LST[Symbol]=$I75))),"-")</f>
        <v/>
      </c>
    </row>
    <row r="76" spans="3:17" x14ac:dyDescent="0.25">
      <c r="C76" t="str">
        <f t="shared" si="1"/>
        <v/>
      </c>
      <c r="Q76" t="str" cm="1">
        <f t="array" ref="Q76">IFERROR(IF($P76="","",_xlfn._xlws.FILTER(LT_LST[Lot],(LT_LST[Client Id.]=$C76)*(LT_LST[Strategy]=$D76)*(LT_LST[DTE/WTE]=$E76)*(LT_LST[Symbol]=$I76))),"-")</f>
        <v/>
      </c>
    </row>
    <row r="77" spans="3:17" x14ac:dyDescent="0.25">
      <c r="C77" t="str">
        <f t="shared" si="1"/>
        <v/>
      </c>
      <c r="Q77" t="str" cm="1">
        <f t="array" ref="Q77">IFERROR(IF($P77="","",_xlfn._xlws.FILTER(LT_LST[Lot],(LT_LST[Client Id.]=$C77)*(LT_LST[Strategy]=$D77)*(LT_LST[DTE/WTE]=$E77)*(LT_LST[Symbol]=$I77))),"-")</f>
        <v/>
      </c>
    </row>
    <row r="78" spans="3:17" x14ac:dyDescent="0.25">
      <c r="C78" t="str">
        <f t="shared" si="1"/>
        <v/>
      </c>
      <c r="Q78" t="str" cm="1">
        <f t="array" ref="Q78">IFERROR(IF($P78="","",_xlfn._xlws.FILTER(LT_LST[Lot],(LT_LST[Client Id.]=$C78)*(LT_LST[Strategy]=$D78)*(LT_LST[DTE/WTE]=$E78)*(LT_LST[Symbol]=$I78))),"-")</f>
        <v/>
      </c>
    </row>
    <row r="79" spans="3:17" x14ac:dyDescent="0.25">
      <c r="C79" t="str">
        <f t="shared" si="1"/>
        <v/>
      </c>
      <c r="Q79" t="str" cm="1">
        <f t="array" ref="Q79">IFERROR(IF($P79="","",_xlfn._xlws.FILTER(LT_LST[Lot],(LT_LST[Client Id.]=$C79)*(LT_LST[Strategy]=$D79)*(LT_LST[DTE/WTE]=$E79)*(LT_LST[Symbol]=$I79))),"-")</f>
        <v/>
      </c>
    </row>
    <row r="80" spans="3:17" x14ac:dyDescent="0.25">
      <c r="C80" t="str">
        <f t="shared" si="1"/>
        <v/>
      </c>
      <c r="Q80" t="str" cm="1">
        <f t="array" ref="Q80">IFERROR(IF($P80="","",_xlfn._xlws.FILTER(LT_LST[Lot],(LT_LST[Client Id.]=$C80)*(LT_LST[Strategy]=$D80)*(LT_LST[DTE/WTE]=$E80)*(LT_LST[Symbol]=$I80))),"-")</f>
        <v/>
      </c>
    </row>
    <row r="81" spans="3:17" x14ac:dyDescent="0.25">
      <c r="C81" t="str">
        <f t="shared" si="1"/>
        <v/>
      </c>
      <c r="Q81" t="str" cm="1">
        <f t="array" ref="Q81">IFERROR(IF($P81="","",_xlfn._xlws.FILTER(LT_LST[Lot],(LT_LST[Client Id.]=$C81)*(LT_LST[Strategy]=$D81)*(LT_LST[DTE/WTE]=$E81)*(LT_LST[Symbol]=$I81))),"-")</f>
        <v/>
      </c>
    </row>
    <row r="82" spans="3:17" x14ac:dyDescent="0.25">
      <c r="C82" t="str">
        <f t="shared" si="1"/>
        <v/>
      </c>
      <c r="Q82" t="str" cm="1">
        <f t="array" ref="Q82">IFERROR(IF($P82="","",_xlfn._xlws.FILTER(LT_LST[Lot],(LT_LST[Client Id.]=$C82)*(LT_LST[Strategy]=$D82)*(LT_LST[DTE/WTE]=$E82)*(LT_LST[Symbol]=$I82))),"-")</f>
        <v/>
      </c>
    </row>
    <row r="83" spans="3:17" x14ac:dyDescent="0.25">
      <c r="C83" t="str">
        <f t="shared" si="1"/>
        <v/>
      </c>
      <c r="Q83" t="str" cm="1">
        <f t="array" ref="Q83">IFERROR(IF($P83="","",_xlfn._xlws.FILTER(LT_LST[Lot],(LT_LST[Client Id.]=$C83)*(LT_LST[Strategy]=$D83)*(LT_LST[DTE/WTE]=$E83)*(LT_LST[Symbol]=$I83))),"-")</f>
        <v/>
      </c>
    </row>
    <row r="84" spans="3:17" x14ac:dyDescent="0.25">
      <c r="C84" t="str">
        <f t="shared" si="1"/>
        <v/>
      </c>
      <c r="Q84" t="str" cm="1">
        <f t="array" ref="Q84">IFERROR(IF($P84="","",_xlfn._xlws.FILTER(LT_LST[Lot],(LT_LST[Client Id.]=$C84)*(LT_LST[Strategy]=$D84)*(LT_LST[DTE/WTE]=$E84)*(LT_LST[Symbol]=$I84))),"-")</f>
        <v/>
      </c>
    </row>
    <row r="85" spans="3:17" x14ac:dyDescent="0.25">
      <c r="C85" t="str">
        <f t="shared" si="1"/>
        <v/>
      </c>
      <c r="Q85" t="str" cm="1">
        <f t="array" ref="Q85">IFERROR(IF($P85="","",_xlfn._xlws.FILTER(LT_LST[Lot],(LT_LST[Client Id.]=$C85)*(LT_LST[Strategy]=$D85)*(LT_LST[DTE/WTE]=$E85)*(LT_LST[Symbol]=$I85))),"-")</f>
        <v/>
      </c>
    </row>
    <row r="86" spans="3:17" x14ac:dyDescent="0.25">
      <c r="C86" t="str">
        <f t="shared" si="1"/>
        <v/>
      </c>
      <c r="Q86" t="str" cm="1">
        <f t="array" ref="Q86">IFERROR(IF($P86="","",_xlfn._xlws.FILTER(LT_LST[Lot],(LT_LST[Client Id.]=$C86)*(LT_LST[Strategy]=$D86)*(LT_LST[DTE/WTE]=$E86)*(LT_LST[Symbol]=$I86))),"-")</f>
        <v/>
      </c>
    </row>
    <row r="87" spans="3:17" x14ac:dyDescent="0.25">
      <c r="C87" t="str">
        <f t="shared" si="1"/>
        <v/>
      </c>
      <c r="Q87" t="str" cm="1">
        <f t="array" ref="Q87">IFERROR(IF($P87="","",_xlfn._xlws.FILTER(LT_LST[Lot],(LT_LST[Client Id.]=$C87)*(LT_LST[Strategy]=$D87)*(LT_LST[DTE/WTE]=$E87)*(LT_LST[Symbol]=$I87))),"-")</f>
        <v/>
      </c>
    </row>
    <row r="88" spans="3:17" x14ac:dyDescent="0.25">
      <c r="C88" t="str">
        <f t="shared" si="1"/>
        <v/>
      </c>
      <c r="Q88" t="str" cm="1">
        <f t="array" ref="Q88">IFERROR(IF($P88="","",_xlfn._xlws.FILTER(LT_LST[Lot],(LT_LST[Client Id.]=$C88)*(LT_LST[Strategy]=$D88)*(LT_LST[DTE/WTE]=$E88)*(LT_LST[Symbol]=$I88))),"-")</f>
        <v/>
      </c>
    </row>
    <row r="89" spans="3:17" x14ac:dyDescent="0.25">
      <c r="C89" t="str">
        <f t="shared" si="1"/>
        <v/>
      </c>
      <c r="Q89" t="str" cm="1">
        <f t="array" ref="Q89">IFERROR(IF($P89="","",_xlfn._xlws.FILTER(LT_LST[Lot],(LT_LST[Client Id.]=$C89)*(LT_LST[Strategy]=$D89)*(LT_LST[DTE/WTE]=$E89)*(LT_LST[Symbol]=$I89))),"-")</f>
        <v/>
      </c>
    </row>
    <row r="90" spans="3:17" x14ac:dyDescent="0.25">
      <c r="C90" t="str">
        <f t="shared" si="1"/>
        <v/>
      </c>
      <c r="Q90" t="str" cm="1">
        <f t="array" ref="Q90">IFERROR(IF($P90="","",_xlfn._xlws.FILTER(LT_LST[Lot],(LT_LST[Client Id.]=$C90)*(LT_LST[Strategy]=$D90)*(LT_LST[DTE/WTE]=$E90)*(LT_LST[Symbol]=$I90))),"-")</f>
        <v/>
      </c>
    </row>
    <row r="91" spans="3:17" x14ac:dyDescent="0.25">
      <c r="C91" t="str">
        <f t="shared" si="1"/>
        <v/>
      </c>
      <c r="Q91" t="str" cm="1">
        <f t="array" ref="Q91">IFERROR(IF($P91="","",_xlfn._xlws.FILTER(LT_LST[Lot],(LT_LST[Client Id.]=$C91)*(LT_LST[Strategy]=$D91)*(LT_LST[DTE/WTE]=$E91)*(LT_LST[Symbol]=$I91))),"-")</f>
        <v/>
      </c>
    </row>
    <row r="92" spans="3:17" x14ac:dyDescent="0.25">
      <c r="C92" t="str">
        <f t="shared" si="1"/>
        <v/>
      </c>
      <c r="Q92" t="str" cm="1">
        <f t="array" ref="Q92">IFERROR(IF($P92="","",_xlfn._xlws.FILTER(LT_LST[Lot],(LT_LST[Client Id.]=$C92)*(LT_LST[Strategy]=$D92)*(LT_LST[DTE/WTE]=$E92)*(LT_LST[Symbol]=$I92))),"-")</f>
        <v/>
      </c>
    </row>
    <row r="93" spans="3:17" x14ac:dyDescent="0.25">
      <c r="C93" t="str">
        <f t="shared" si="1"/>
        <v/>
      </c>
      <c r="Q93" t="str" cm="1">
        <f t="array" ref="Q93">IFERROR(IF($P93="","",_xlfn._xlws.FILTER(LT_LST[Lot],(LT_LST[Client Id.]=$C93)*(LT_LST[Strategy]=$D93)*(LT_LST[DTE/WTE]=$E93)*(LT_LST[Symbol]=$I93))),"-")</f>
        <v/>
      </c>
    </row>
    <row r="94" spans="3:17" x14ac:dyDescent="0.25">
      <c r="C94" t="str">
        <f t="shared" si="1"/>
        <v/>
      </c>
      <c r="Q94" t="str" cm="1">
        <f t="array" ref="Q94">IFERROR(IF($P94="","",_xlfn._xlws.FILTER(LT_LST[Lot],(LT_LST[Client Id.]=$C94)*(LT_LST[Strategy]=$D94)*(LT_LST[DTE/WTE]=$E94)*(LT_LST[Symbol]=$I94))),"-")</f>
        <v/>
      </c>
    </row>
    <row r="95" spans="3:17" x14ac:dyDescent="0.25">
      <c r="C95" t="str">
        <f t="shared" si="1"/>
        <v/>
      </c>
      <c r="Q95" t="str" cm="1">
        <f t="array" ref="Q95">IFERROR(IF($P95="","",_xlfn._xlws.FILTER(LT_LST[Lot],(LT_LST[Client Id.]=$C95)*(LT_LST[Strategy]=$D95)*(LT_LST[DTE/WTE]=$E95)*(LT_LST[Symbol]=$I95))),"-")</f>
        <v/>
      </c>
    </row>
    <row r="96" spans="3:17" x14ac:dyDescent="0.25">
      <c r="C96" t="str">
        <f t="shared" si="1"/>
        <v/>
      </c>
      <c r="Q96" t="str" cm="1">
        <f t="array" ref="Q96">IFERROR(IF($P96="","",_xlfn._xlws.FILTER(LT_LST[Lot],(LT_LST[Client Id.]=$C96)*(LT_LST[Strategy]=$D96)*(LT_LST[DTE/WTE]=$E96)*(LT_LST[Symbol]=$I96))),"-")</f>
        <v/>
      </c>
    </row>
    <row r="97" spans="3:17" x14ac:dyDescent="0.25">
      <c r="C97" t="str">
        <f t="shared" si="1"/>
        <v/>
      </c>
      <c r="Q97" t="str" cm="1">
        <f t="array" ref="Q97">IFERROR(IF($P97="","",_xlfn._xlws.FILTER(LT_LST[Lot],(LT_LST[Client Id.]=$C97)*(LT_LST[Strategy]=$D97)*(LT_LST[DTE/WTE]=$E97)*(LT_LST[Symbol]=$I97))),"-")</f>
        <v/>
      </c>
    </row>
    <row r="98" spans="3:17" x14ac:dyDescent="0.25">
      <c r="C98" t="str">
        <f t="shared" si="1"/>
        <v/>
      </c>
      <c r="Q98" t="str" cm="1">
        <f t="array" ref="Q98">IFERROR(IF($P98="","",_xlfn._xlws.FILTER(LT_LST[Lot],(LT_LST[Client Id.]=$C98)*(LT_LST[Strategy]=$D98)*(LT_LST[DTE/WTE]=$E98)*(LT_LST[Symbol]=$I98))),"-")</f>
        <v/>
      </c>
    </row>
    <row r="99" spans="3:17" x14ac:dyDescent="0.25">
      <c r="C99" t="str">
        <f t="shared" si="1"/>
        <v/>
      </c>
      <c r="Q99" t="str" cm="1">
        <f t="array" ref="Q99">IFERROR(IF($P99="","",_xlfn._xlws.FILTER(LT_LST[Lot],(LT_LST[Client Id.]=$C99)*(LT_LST[Strategy]=$D99)*(LT_LST[DTE/WTE]=$E99)*(LT_LST[Symbol]=$I99))),"-")</f>
        <v/>
      </c>
    </row>
    <row r="100" spans="3:17" x14ac:dyDescent="0.25">
      <c r="C100" t="str">
        <f t="shared" si="1"/>
        <v/>
      </c>
      <c r="Q100" t="str" cm="1">
        <f t="array" ref="Q100">IFERROR(IF($P100="","",_xlfn._xlws.FILTER(LT_LST[Lot],(LT_LST[Client Id.]=$C100)*(LT_LST[Strategy]=$D100)*(LT_LST[DTE/WTE]=$E100)*(LT_LST[Symbol]=$I100))),"-")</f>
        <v/>
      </c>
    </row>
    <row r="101" spans="3:17" x14ac:dyDescent="0.25">
      <c r="C101" t="str">
        <f t="shared" si="1"/>
        <v/>
      </c>
      <c r="Q101" t="str" cm="1">
        <f t="array" ref="Q101">IFERROR(IF($P101="","",_xlfn._xlws.FILTER(LT_LST[Lot],(LT_LST[Client Id.]=$C101)*(LT_LST[Strategy]=$D101)*(LT_LST[DTE/WTE]=$E101)*(LT_LST[Symbol]=$I101))),"-")</f>
        <v/>
      </c>
    </row>
    <row r="102" spans="3:17" x14ac:dyDescent="0.25">
      <c r="C102" t="str">
        <f t="shared" si="1"/>
        <v/>
      </c>
      <c r="Q102" t="str" cm="1">
        <f t="array" ref="Q102">IFERROR(IF($P102="","",_xlfn._xlws.FILTER(LT_LST[Lot],(LT_LST[Client Id.]=$C102)*(LT_LST[Strategy]=$D102)*(LT_LST[DTE/WTE]=$E102)*(LT_LST[Symbol]=$I102))),"-")</f>
        <v/>
      </c>
    </row>
    <row r="103" spans="3:17" x14ac:dyDescent="0.25">
      <c r="C103" t="str">
        <f t="shared" si="1"/>
        <v/>
      </c>
      <c r="Q103" t="str" cm="1">
        <f t="array" ref="Q103">IFERROR(IF($P103="","",_xlfn._xlws.FILTER(LT_LST[Lot],(LT_LST[Client Id.]=$C103)*(LT_LST[Strategy]=$D103)*(LT_LST[DTE/WTE]=$E103)*(LT_LST[Symbol]=$I103))),"-")</f>
        <v/>
      </c>
    </row>
    <row r="104" spans="3:17" x14ac:dyDescent="0.25">
      <c r="C104" t="str">
        <f t="shared" si="1"/>
        <v/>
      </c>
      <c r="Q104" t="str" cm="1">
        <f t="array" ref="Q104">IFERROR(IF($P104="","",_xlfn._xlws.FILTER(LT_LST[Lot],(LT_LST[Client Id.]=$C104)*(LT_LST[Strategy]=$D104)*(LT_LST[DTE/WTE]=$E104)*(LT_LST[Symbol]=$I104))),"-")</f>
        <v/>
      </c>
    </row>
    <row r="105" spans="3:17" x14ac:dyDescent="0.25">
      <c r="C105" t="str">
        <f t="shared" si="1"/>
        <v/>
      </c>
      <c r="Q105" t="str" cm="1">
        <f t="array" ref="Q105">IFERROR(IF($P105="","",_xlfn._xlws.FILTER(LT_LST[Lot],(LT_LST[Client Id.]=$C105)*(LT_LST[Strategy]=$D105)*(LT_LST[DTE/WTE]=$E105)*(LT_LST[Symbol]=$I105))),"-")</f>
        <v/>
      </c>
    </row>
    <row r="106" spans="3:17" x14ac:dyDescent="0.25">
      <c r="C106" t="str">
        <f t="shared" si="1"/>
        <v/>
      </c>
      <c r="Q106" t="str" cm="1">
        <f t="array" ref="Q106">IFERROR(IF($P106="","",_xlfn._xlws.FILTER(LT_LST[Lot],(LT_LST[Client Id.]=$C106)*(LT_LST[Strategy]=$D106)*(LT_LST[DTE/WTE]=$E106)*(LT_LST[Symbol]=$I106))),"-")</f>
        <v/>
      </c>
    </row>
    <row r="107" spans="3:17" x14ac:dyDescent="0.25">
      <c r="C107" t="str">
        <f t="shared" si="1"/>
        <v/>
      </c>
      <c r="Q107" t="str" cm="1">
        <f t="array" ref="Q107">IFERROR(IF($P107="","",_xlfn._xlws.FILTER(LT_LST[Lot],(LT_LST[Client Id.]=$C107)*(LT_LST[Strategy]=$D107)*(LT_LST[DTE/WTE]=$E107)*(LT_LST[Symbol]=$I107))),"-")</f>
        <v/>
      </c>
    </row>
    <row r="108" spans="3:17" x14ac:dyDescent="0.25">
      <c r="C108" t="str">
        <f t="shared" si="1"/>
        <v/>
      </c>
      <c r="Q108" t="str" cm="1">
        <f t="array" ref="Q108">IFERROR(IF($P108="","",_xlfn._xlws.FILTER(LT_LST[Lot],(LT_LST[Client Id.]=$C108)*(LT_LST[Strategy]=$D108)*(LT_LST[DTE/WTE]=$E108)*(LT_LST[Symbol]=$I108))),"-")</f>
        <v/>
      </c>
    </row>
    <row r="109" spans="3:17" x14ac:dyDescent="0.25">
      <c r="C109" t="str">
        <f t="shared" si="1"/>
        <v/>
      </c>
      <c r="Q109" t="str" cm="1">
        <f t="array" ref="Q109">IFERROR(IF($P109="","",_xlfn._xlws.FILTER(LT_LST[Lot],(LT_LST[Client Id.]=$C109)*(LT_LST[Strategy]=$D109)*(LT_LST[DTE/WTE]=$E109)*(LT_LST[Symbol]=$I109))),"-")</f>
        <v/>
      </c>
    </row>
    <row r="110" spans="3:17" x14ac:dyDescent="0.25">
      <c r="C110" t="str">
        <f t="shared" si="1"/>
        <v/>
      </c>
      <c r="Q110" t="str" cm="1">
        <f t="array" ref="Q110">IFERROR(IF($P110="","",_xlfn._xlws.FILTER(LT_LST[Lot],(LT_LST[Client Id.]=$C110)*(LT_LST[Strategy]=$D110)*(LT_LST[DTE/WTE]=$E110)*(LT_LST[Symbol]=$I110))),"-")</f>
        <v/>
      </c>
    </row>
    <row r="111" spans="3:17" x14ac:dyDescent="0.25">
      <c r="C111" t="str">
        <f t="shared" si="1"/>
        <v/>
      </c>
      <c r="Q111" t="str" cm="1">
        <f t="array" ref="Q111">IFERROR(IF($P111="","",_xlfn._xlws.FILTER(LT_LST[Lot],(LT_LST[Client Id.]=$C111)*(LT_LST[Strategy]=$D111)*(LT_LST[DTE/WTE]=$E111)*(LT_LST[Symbol]=$I111))),"-")</f>
        <v/>
      </c>
    </row>
    <row r="112" spans="3:17" x14ac:dyDescent="0.25">
      <c r="C112" t="str">
        <f t="shared" si="1"/>
        <v/>
      </c>
      <c r="Q112" t="str" cm="1">
        <f t="array" ref="Q112">IFERROR(IF($P112="","",_xlfn._xlws.FILTER(LT_LST[Lot],(LT_LST[Client Id.]=$C112)*(LT_LST[Strategy]=$D112)*(LT_LST[DTE/WTE]=$E112)*(LT_LST[Symbol]=$I112))),"-")</f>
        <v/>
      </c>
    </row>
    <row r="113" spans="3:17" x14ac:dyDescent="0.25">
      <c r="C113" t="str">
        <f t="shared" si="1"/>
        <v/>
      </c>
      <c r="Q113" t="str" cm="1">
        <f t="array" ref="Q113">IFERROR(IF($P113="","",_xlfn._xlws.FILTER(LT_LST[Lot],(LT_LST[Client Id.]=$C113)*(LT_LST[Strategy]=$D113)*(LT_LST[DTE/WTE]=$E113)*(LT_LST[Symbol]=$I113))),"-")</f>
        <v/>
      </c>
    </row>
    <row r="114" spans="3:17" x14ac:dyDescent="0.25">
      <c r="C114" t="str">
        <f t="shared" si="1"/>
        <v/>
      </c>
      <c r="Q114" t="str" cm="1">
        <f t="array" ref="Q114">IFERROR(IF($P114="","",_xlfn._xlws.FILTER(LT_LST[Lot],(LT_LST[Client Id.]=$C114)*(LT_LST[Strategy]=$D114)*(LT_LST[DTE/WTE]=$E114)*(LT_LST[Symbol]=$I114))),"-")</f>
        <v/>
      </c>
    </row>
    <row r="115" spans="3:17" x14ac:dyDescent="0.25">
      <c r="C115" t="str">
        <f t="shared" si="1"/>
        <v/>
      </c>
      <c r="Q115" t="str" cm="1">
        <f t="array" ref="Q115">IFERROR(IF($P115="","",_xlfn._xlws.FILTER(LT_LST[Lot],(LT_LST[Client Id.]=$C115)*(LT_LST[Strategy]=$D115)*(LT_LST[DTE/WTE]=$E115)*(LT_LST[Symbol]=$I115))),"-")</f>
        <v/>
      </c>
    </row>
    <row r="116" spans="3:17" x14ac:dyDescent="0.25">
      <c r="C116" t="str">
        <f t="shared" si="1"/>
        <v/>
      </c>
      <c r="Q116" t="str" cm="1">
        <f t="array" ref="Q116">IFERROR(IF($P116="","",_xlfn._xlws.FILTER(LT_LST[Lot],(LT_LST[Client Id.]=$C116)*(LT_LST[Strategy]=$D116)*(LT_LST[DTE/WTE]=$E116)*(LT_LST[Symbol]=$I116))),"-")</f>
        <v/>
      </c>
    </row>
    <row r="117" spans="3:17" x14ac:dyDescent="0.25">
      <c r="C117" t="str">
        <f t="shared" si="1"/>
        <v/>
      </c>
      <c r="Q117" t="str" cm="1">
        <f t="array" ref="Q117">IFERROR(IF($P117="","",_xlfn._xlws.FILTER(LT_LST[Lot],(LT_LST[Client Id.]=$C117)*(LT_LST[Strategy]=$D117)*(LT_LST[DTE/WTE]=$E117)*(LT_LST[Symbol]=$I117))),"-")</f>
        <v/>
      </c>
    </row>
    <row r="118" spans="3:17" x14ac:dyDescent="0.25">
      <c r="C118" t="str">
        <f t="shared" si="1"/>
        <v/>
      </c>
      <c r="Q118" t="str" cm="1">
        <f t="array" ref="Q118">IFERROR(IF($P118="","",_xlfn._xlws.FILTER(LT_LST[Lot],(LT_LST[Client Id.]=$C118)*(LT_LST[Strategy]=$D118)*(LT_LST[DTE/WTE]=$E118)*(LT_LST[Symbol]=$I118))),"-")</f>
        <v/>
      </c>
    </row>
    <row r="119" spans="3:17" x14ac:dyDescent="0.25">
      <c r="C119" t="str">
        <f t="shared" si="1"/>
        <v/>
      </c>
      <c r="Q119" t="str" cm="1">
        <f t="array" ref="Q119">IFERROR(IF($P119="","",_xlfn._xlws.FILTER(LT_LST[Lot],(LT_LST[Client Id.]=$C119)*(LT_LST[Strategy]=$D119)*(LT_LST[DTE/WTE]=$E119)*(LT_LST[Symbol]=$I119))),"-")</f>
        <v/>
      </c>
    </row>
    <row r="120" spans="3:17" x14ac:dyDescent="0.25">
      <c r="C120" t="str">
        <f t="shared" si="1"/>
        <v/>
      </c>
      <c r="Q120" t="str" cm="1">
        <f t="array" ref="Q120">IFERROR(IF($P120="","",_xlfn._xlws.FILTER(LT_LST[Lot],(LT_LST[Client Id.]=$C120)*(LT_LST[Strategy]=$D120)*(LT_LST[DTE/WTE]=$E120)*(LT_LST[Symbol]=$I120))),"-")</f>
        <v/>
      </c>
    </row>
    <row r="121" spans="3:17" x14ac:dyDescent="0.25">
      <c r="C121" t="str">
        <f t="shared" si="1"/>
        <v/>
      </c>
      <c r="Q121" t="str" cm="1">
        <f t="array" ref="Q121">IFERROR(IF($P121="","",_xlfn._xlws.FILTER(LT_LST[Lot],(LT_LST[Client Id.]=$C121)*(LT_LST[Strategy]=$D121)*(LT_LST[DTE/WTE]=$E121)*(LT_LST[Symbol]=$I121))),"-")</f>
        <v/>
      </c>
    </row>
    <row r="122" spans="3:17" x14ac:dyDescent="0.25">
      <c r="C122" t="str">
        <f t="shared" si="1"/>
        <v/>
      </c>
      <c r="Q122" t="str" cm="1">
        <f t="array" ref="Q122">IFERROR(IF($P122="","",_xlfn._xlws.FILTER(LT_LST[Lot],(LT_LST[Client Id.]=$C122)*(LT_LST[Strategy]=$D122)*(LT_LST[DTE/WTE]=$E122)*(LT_LST[Symbol]=$I122))),"-")</f>
        <v/>
      </c>
    </row>
    <row r="123" spans="3:17" x14ac:dyDescent="0.25">
      <c r="C123" t="str">
        <f t="shared" si="1"/>
        <v/>
      </c>
      <c r="Q123" t="str" cm="1">
        <f t="array" ref="Q123">IFERROR(IF($P123="","",_xlfn._xlws.FILTER(LT_LST[Lot],(LT_LST[Client Id.]=$C123)*(LT_LST[Strategy]=$D123)*(LT_LST[DTE/WTE]=$E123)*(LT_LST[Symbol]=$I123))),"-")</f>
        <v/>
      </c>
    </row>
    <row r="124" spans="3:17" x14ac:dyDescent="0.25">
      <c r="C124" t="str">
        <f t="shared" si="1"/>
        <v/>
      </c>
      <c r="Q124" t="str" cm="1">
        <f t="array" ref="Q124">IFERROR(IF($P124="","",_xlfn._xlws.FILTER(LT_LST[Lot],(LT_LST[Client Id.]=$C124)*(LT_LST[Strategy]=$D124)*(LT_LST[DTE/WTE]=$E124)*(LT_LST[Symbol]=$I124))),"-")</f>
        <v/>
      </c>
    </row>
    <row r="125" spans="3:17" x14ac:dyDescent="0.25">
      <c r="C125" t="str">
        <f t="shared" si="1"/>
        <v/>
      </c>
      <c r="Q125" t="str" cm="1">
        <f t="array" ref="Q125">IFERROR(IF($P125="","",_xlfn._xlws.FILTER(LT_LST[Lot],(LT_LST[Client Id.]=$C125)*(LT_LST[Strategy]=$D125)*(LT_LST[DTE/WTE]=$E125)*(LT_LST[Symbol]=$I125))),"-")</f>
        <v/>
      </c>
    </row>
    <row r="126" spans="3:17" x14ac:dyDescent="0.25">
      <c r="C126" t="str">
        <f t="shared" si="1"/>
        <v/>
      </c>
      <c r="Q126" t="str" cm="1">
        <f t="array" ref="Q126">IFERROR(IF($P126="","",_xlfn._xlws.FILTER(LT_LST[Lot],(LT_LST[Client Id.]=$C126)*(LT_LST[Strategy]=$D126)*(LT_LST[DTE/WTE]=$E126)*(LT_LST[Symbol]=$I126))),"-")</f>
        <v/>
      </c>
    </row>
    <row r="127" spans="3:17" x14ac:dyDescent="0.25">
      <c r="C127" t="str">
        <f t="shared" si="1"/>
        <v/>
      </c>
      <c r="Q127" t="str" cm="1">
        <f t="array" ref="Q127">IFERROR(IF($P127="","",_xlfn._xlws.FILTER(LT_LST[Lot],(LT_LST[Client Id.]=$C127)*(LT_LST[Strategy]=$D127)*(LT_LST[DTE/WTE]=$E127)*(LT_LST[Symbol]=$I127))),"-")</f>
        <v/>
      </c>
    </row>
    <row r="128" spans="3:17" x14ac:dyDescent="0.25">
      <c r="C128" t="str">
        <f t="shared" si="1"/>
        <v/>
      </c>
      <c r="Q128" t="str" cm="1">
        <f t="array" ref="Q128">IFERROR(IF($P128="","",_xlfn._xlws.FILTER(LT_LST[Lot],(LT_LST[Client Id.]=$C128)*(LT_LST[Strategy]=$D128)*(LT_LST[DTE/WTE]=$E128)*(LT_LST[Symbol]=$I128))),"-")</f>
        <v/>
      </c>
    </row>
    <row r="129" spans="3:17" x14ac:dyDescent="0.25">
      <c r="C129" t="str">
        <f t="shared" si="1"/>
        <v/>
      </c>
      <c r="Q129" t="str" cm="1">
        <f t="array" ref="Q129">IFERROR(IF($P129="","",_xlfn._xlws.FILTER(LT_LST[Lot],(LT_LST[Client Id.]=$C129)*(LT_LST[Strategy]=$D129)*(LT_LST[DTE/WTE]=$E129)*(LT_LST[Symbol]=$I129))),"-")</f>
        <v/>
      </c>
    </row>
    <row r="130" spans="3:17" x14ac:dyDescent="0.25">
      <c r="C130" t="str">
        <f t="shared" si="1"/>
        <v/>
      </c>
      <c r="Q130" t="str" cm="1">
        <f t="array" ref="Q130">IFERROR(IF($P130="","",_xlfn._xlws.FILTER(LT_LST[Lot],(LT_LST[Client Id.]=$C130)*(LT_LST[Strategy]=$D130)*(LT_LST[DTE/WTE]=$E130)*(LT_LST[Symbol]=$I130))),"-")</f>
        <v/>
      </c>
    </row>
    <row r="131" spans="3:17" x14ac:dyDescent="0.25">
      <c r="C131" t="str">
        <f t="shared" si="1"/>
        <v/>
      </c>
      <c r="Q131" t="str" cm="1">
        <f t="array" ref="Q131">IFERROR(IF($P131="","",_xlfn._xlws.FILTER(LT_LST[Lot],(LT_LST[Client Id.]=$C131)*(LT_LST[Strategy]=$D131)*(LT_LST[DTE/WTE]=$E131)*(LT_LST[Symbol]=$I131))),"-")</f>
        <v/>
      </c>
    </row>
    <row r="132" spans="3:17" x14ac:dyDescent="0.25">
      <c r="C132" t="str">
        <f t="shared" ref="C132:C195" si="2">IF(D132="","",$A$1)</f>
        <v/>
      </c>
      <c r="Q132" t="str" cm="1">
        <f t="array" ref="Q132">IFERROR(IF($P132="","",_xlfn._xlws.FILTER(LT_LST[Lot],(LT_LST[Client Id.]=$C132)*(LT_LST[Strategy]=$D132)*(LT_LST[DTE/WTE]=$E132)*(LT_LST[Symbol]=$I132))),"-")</f>
        <v/>
      </c>
    </row>
    <row r="133" spans="3:17" x14ac:dyDescent="0.25">
      <c r="C133" t="str">
        <f t="shared" si="2"/>
        <v/>
      </c>
      <c r="Q133" t="str" cm="1">
        <f t="array" ref="Q133">IFERROR(IF($P133="","",_xlfn._xlws.FILTER(LT_LST[Lot],(LT_LST[Client Id.]=$C133)*(LT_LST[Strategy]=$D133)*(LT_LST[DTE/WTE]=$E133)*(LT_LST[Symbol]=$I133))),"-")</f>
        <v/>
      </c>
    </row>
    <row r="134" spans="3:17" x14ac:dyDescent="0.25">
      <c r="C134" t="str">
        <f t="shared" si="2"/>
        <v/>
      </c>
      <c r="Q134" t="str" cm="1">
        <f t="array" ref="Q134">IFERROR(IF($P134="","",_xlfn._xlws.FILTER(LT_LST[Lot],(LT_LST[Client Id.]=$C134)*(LT_LST[Strategy]=$D134)*(LT_LST[DTE/WTE]=$E134)*(LT_LST[Symbol]=$I134))),"-")</f>
        <v/>
      </c>
    </row>
    <row r="135" spans="3:17" x14ac:dyDescent="0.25">
      <c r="C135" t="str">
        <f t="shared" si="2"/>
        <v/>
      </c>
      <c r="Q135" t="str" cm="1">
        <f t="array" ref="Q135">IFERROR(IF($P135="","",_xlfn._xlws.FILTER(LT_LST[Lot],(LT_LST[Client Id.]=$C135)*(LT_LST[Strategy]=$D135)*(LT_LST[DTE/WTE]=$E135)*(LT_LST[Symbol]=$I135))),"-")</f>
        <v/>
      </c>
    </row>
    <row r="136" spans="3:17" x14ac:dyDescent="0.25">
      <c r="C136" t="str">
        <f t="shared" si="2"/>
        <v/>
      </c>
      <c r="Q136" t="str" cm="1">
        <f t="array" ref="Q136">IFERROR(IF($P136="","",_xlfn._xlws.FILTER(LT_LST[Lot],(LT_LST[Client Id.]=$C136)*(LT_LST[Strategy]=$D136)*(LT_LST[DTE/WTE]=$E136)*(LT_LST[Symbol]=$I136))),"-")</f>
        <v/>
      </c>
    </row>
    <row r="137" spans="3:17" x14ac:dyDescent="0.25">
      <c r="C137" t="str">
        <f t="shared" si="2"/>
        <v/>
      </c>
      <c r="Q137" t="str" cm="1">
        <f t="array" ref="Q137">IFERROR(IF($P137="","",_xlfn._xlws.FILTER(LT_LST[Lot],(LT_LST[Client Id.]=$C137)*(LT_LST[Strategy]=$D137)*(LT_LST[DTE/WTE]=$E137)*(LT_LST[Symbol]=$I137))),"-")</f>
        <v/>
      </c>
    </row>
    <row r="138" spans="3:17" x14ac:dyDescent="0.25">
      <c r="C138" t="str">
        <f t="shared" si="2"/>
        <v/>
      </c>
      <c r="Q138" t="str" cm="1">
        <f t="array" ref="Q138">IFERROR(IF($P138="","",_xlfn._xlws.FILTER(LT_LST[Lot],(LT_LST[Client Id.]=$C138)*(LT_LST[Strategy]=$D138)*(LT_LST[DTE/WTE]=$E138)*(LT_LST[Symbol]=$I138))),"-")</f>
        <v/>
      </c>
    </row>
    <row r="139" spans="3:17" x14ac:dyDescent="0.25">
      <c r="C139" t="str">
        <f t="shared" si="2"/>
        <v/>
      </c>
      <c r="Q139" t="str" cm="1">
        <f t="array" ref="Q139">IFERROR(IF($P139="","",_xlfn._xlws.FILTER(LT_LST[Lot],(LT_LST[Client Id.]=$C139)*(LT_LST[Strategy]=$D139)*(LT_LST[DTE/WTE]=$E139)*(LT_LST[Symbol]=$I139))),"-")</f>
        <v/>
      </c>
    </row>
    <row r="140" spans="3:17" x14ac:dyDescent="0.25">
      <c r="C140" t="str">
        <f t="shared" si="2"/>
        <v/>
      </c>
      <c r="Q140" t="str" cm="1">
        <f t="array" ref="Q140">IFERROR(IF($P140="","",_xlfn._xlws.FILTER(LT_LST[Lot],(LT_LST[Client Id.]=$C140)*(LT_LST[Strategy]=$D140)*(LT_LST[DTE/WTE]=$E140)*(LT_LST[Symbol]=$I140))),"-")</f>
        <v/>
      </c>
    </row>
    <row r="141" spans="3:17" x14ac:dyDescent="0.25">
      <c r="C141" t="str">
        <f t="shared" si="2"/>
        <v/>
      </c>
      <c r="Q141" t="str" cm="1">
        <f t="array" ref="Q141">IFERROR(IF($P141="","",_xlfn._xlws.FILTER(LT_LST[Lot],(LT_LST[Client Id.]=$C141)*(LT_LST[Strategy]=$D141)*(LT_LST[DTE/WTE]=$E141)*(LT_LST[Symbol]=$I141))),"-")</f>
        <v/>
      </c>
    </row>
    <row r="142" spans="3:17" x14ac:dyDescent="0.25">
      <c r="C142" t="str">
        <f t="shared" si="2"/>
        <v/>
      </c>
      <c r="Q142" t="str" cm="1">
        <f t="array" ref="Q142">IFERROR(IF($P142="","",_xlfn._xlws.FILTER(LT_LST[Lot],(LT_LST[Client Id.]=$C142)*(LT_LST[Strategy]=$D142)*(LT_LST[DTE/WTE]=$E142)*(LT_LST[Symbol]=$I142))),"-")</f>
        <v/>
      </c>
    </row>
    <row r="143" spans="3:17" x14ac:dyDescent="0.25">
      <c r="C143" t="str">
        <f t="shared" si="2"/>
        <v/>
      </c>
      <c r="Q143" t="str" cm="1">
        <f t="array" ref="Q143">IFERROR(IF($P143="","",_xlfn._xlws.FILTER(LT_LST[Lot],(LT_LST[Client Id.]=$C143)*(LT_LST[Strategy]=$D143)*(LT_LST[DTE/WTE]=$E143)*(LT_LST[Symbol]=$I143))),"-")</f>
        <v/>
      </c>
    </row>
    <row r="144" spans="3:17" x14ac:dyDescent="0.25">
      <c r="C144" t="str">
        <f t="shared" si="2"/>
        <v/>
      </c>
      <c r="Q144" t="str" cm="1">
        <f t="array" ref="Q144">IFERROR(IF($P144="","",_xlfn._xlws.FILTER(LT_LST[Lot],(LT_LST[Client Id.]=$C144)*(LT_LST[Strategy]=$D144)*(LT_LST[DTE/WTE]=$E144)*(LT_LST[Symbol]=$I144))),"-")</f>
        <v/>
      </c>
    </row>
    <row r="145" spans="3:17" x14ac:dyDescent="0.25">
      <c r="C145" t="str">
        <f t="shared" si="2"/>
        <v/>
      </c>
      <c r="Q145" t="str" cm="1">
        <f t="array" ref="Q145">IFERROR(IF($P145="","",_xlfn._xlws.FILTER(LT_LST[Lot],(LT_LST[Client Id.]=$C145)*(LT_LST[Strategy]=$D145)*(LT_LST[DTE/WTE]=$E145)*(LT_LST[Symbol]=$I145))),"-")</f>
        <v/>
      </c>
    </row>
    <row r="146" spans="3:17" x14ac:dyDescent="0.25">
      <c r="C146" t="str">
        <f t="shared" si="2"/>
        <v/>
      </c>
      <c r="Q146" t="str" cm="1">
        <f t="array" ref="Q146">IFERROR(IF($P146="","",_xlfn._xlws.FILTER(LT_LST[Lot],(LT_LST[Client Id.]=$C146)*(LT_LST[Strategy]=$D146)*(LT_LST[DTE/WTE]=$E146)*(LT_LST[Symbol]=$I146))),"-")</f>
        <v/>
      </c>
    </row>
    <row r="147" spans="3:17" x14ac:dyDescent="0.25">
      <c r="C147" t="str">
        <f t="shared" si="2"/>
        <v/>
      </c>
      <c r="Q147" t="str" cm="1">
        <f t="array" ref="Q147">IFERROR(IF($P147="","",_xlfn._xlws.FILTER(LT_LST[Lot],(LT_LST[Client Id.]=$C147)*(LT_LST[Strategy]=$D147)*(LT_LST[DTE/WTE]=$E147)*(LT_LST[Symbol]=$I147))),"-")</f>
        <v/>
      </c>
    </row>
    <row r="148" spans="3:17" x14ac:dyDescent="0.25">
      <c r="C148" t="str">
        <f t="shared" si="2"/>
        <v/>
      </c>
      <c r="Q148" t="str" cm="1">
        <f t="array" ref="Q148">IFERROR(IF($P148="","",_xlfn._xlws.FILTER(LT_LST[Lot],(LT_LST[Client Id.]=$C148)*(LT_LST[Strategy]=$D148)*(LT_LST[DTE/WTE]=$E148)*(LT_LST[Symbol]=$I148))),"-")</f>
        <v/>
      </c>
    </row>
    <row r="149" spans="3:17" x14ac:dyDescent="0.25">
      <c r="C149" t="str">
        <f t="shared" si="2"/>
        <v/>
      </c>
      <c r="Q149" t="str" cm="1">
        <f t="array" ref="Q149">IFERROR(IF($P149="","",_xlfn._xlws.FILTER(LT_LST[Lot],(LT_LST[Client Id.]=$C149)*(LT_LST[Strategy]=$D149)*(LT_LST[DTE/WTE]=$E149)*(LT_LST[Symbol]=$I149))),"-")</f>
        <v/>
      </c>
    </row>
    <row r="150" spans="3:17" x14ac:dyDescent="0.25">
      <c r="C150" t="str">
        <f t="shared" si="2"/>
        <v/>
      </c>
      <c r="Q150" t="str" cm="1">
        <f t="array" ref="Q150">IFERROR(IF($P150="","",_xlfn._xlws.FILTER(LT_LST[Lot],(LT_LST[Client Id.]=$C150)*(LT_LST[Strategy]=$D150)*(LT_LST[DTE/WTE]=$E150)*(LT_LST[Symbol]=$I150))),"-")</f>
        <v/>
      </c>
    </row>
    <row r="151" spans="3:17" x14ac:dyDescent="0.25">
      <c r="C151" t="str">
        <f t="shared" si="2"/>
        <v/>
      </c>
      <c r="Q151" t="str" cm="1">
        <f t="array" ref="Q151">IFERROR(IF($P151="","",_xlfn._xlws.FILTER(LT_LST[Lot],(LT_LST[Client Id.]=$C151)*(LT_LST[Strategy]=$D151)*(LT_LST[DTE/WTE]=$E151)*(LT_LST[Symbol]=$I151))),"-")</f>
        <v/>
      </c>
    </row>
    <row r="152" spans="3:17" x14ac:dyDescent="0.25">
      <c r="C152" t="str">
        <f t="shared" si="2"/>
        <v/>
      </c>
      <c r="Q152" t="str" cm="1">
        <f t="array" ref="Q152">IFERROR(IF($P152="","",_xlfn._xlws.FILTER(LT_LST[Lot],(LT_LST[Client Id.]=$C152)*(LT_LST[Strategy]=$D152)*(LT_LST[DTE/WTE]=$E152)*(LT_LST[Symbol]=$I152))),"-")</f>
        <v/>
      </c>
    </row>
    <row r="153" spans="3:17" x14ac:dyDescent="0.25">
      <c r="C153" t="str">
        <f t="shared" si="2"/>
        <v/>
      </c>
      <c r="Q153" t="str" cm="1">
        <f t="array" ref="Q153">IFERROR(IF($P153="","",_xlfn._xlws.FILTER(LT_LST[Lot],(LT_LST[Client Id.]=$C153)*(LT_LST[Strategy]=$D153)*(LT_LST[DTE/WTE]=$E153)*(LT_LST[Symbol]=$I153))),"-")</f>
        <v/>
      </c>
    </row>
    <row r="154" spans="3:17" x14ac:dyDescent="0.25">
      <c r="C154" t="str">
        <f t="shared" si="2"/>
        <v/>
      </c>
      <c r="Q154" t="str" cm="1">
        <f t="array" ref="Q154">IFERROR(IF($P154="","",_xlfn._xlws.FILTER(LT_LST[Lot],(LT_LST[Client Id.]=$C154)*(LT_LST[Strategy]=$D154)*(LT_LST[DTE/WTE]=$E154)*(LT_LST[Symbol]=$I154))),"-")</f>
        <v/>
      </c>
    </row>
    <row r="155" spans="3:17" x14ac:dyDescent="0.25">
      <c r="C155" t="str">
        <f t="shared" si="2"/>
        <v/>
      </c>
      <c r="Q155" t="str" cm="1">
        <f t="array" ref="Q155">IFERROR(IF($P155="","",_xlfn._xlws.FILTER(LT_LST[Lot],(LT_LST[Client Id.]=$C155)*(LT_LST[Strategy]=$D155)*(LT_LST[DTE/WTE]=$E155)*(LT_LST[Symbol]=$I155))),"-")</f>
        <v/>
      </c>
    </row>
    <row r="156" spans="3:17" x14ac:dyDescent="0.25">
      <c r="C156" t="str">
        <f t="shared" si="2"/>
        <v/>
      </c>
      <c r="Q156" t="str" cm="1">
        <f t="array" ref="Q156">IFERROR(IF($P156="","",_xlfn._xlws.FILTER(LT_LST[Lot],(LT_LST[Client Id.]=$C156)*(LT_LST[Strategy]=$D156)*(LT_LST[DTE/WTE]=$E156)*(LT_LST[Symbol]=$I156))),"-")</f>
        <v/>
      </c>
    </row>
    <row r="157" spans="3:17" x14ac:dyDescent="0.25">
      <c r="C157" t="str">
        <f t="shared" si="2"/>
        <v/>
      </c>
      <c r="Q157" t="str" cm="1">
        <f t="array" ref="Q157">IFERROR(IF($P157="","",_xlfn._xlws.FILTER(LT_LST[Lot],(LT_LST[Client Id.]=$C157)*(LT_LST[Strategy]=$D157)*(LT_LST[DTE/WTE]=$E157)*(LT_LST[Symbol]=$I157))),"-")</f>
        <v/>
      </c>
    </row>
    <row r="158" spans="3:17" x14ac:dyDescent="0.25">
      <c r="C158" t="str">
        <f t="shared" si="2"/>
        <v/>
      </c>
      <c r="Q158" t="str" cm="1">
        <f t="array" ref="Q158">IFERROR(IF($P158="","",_xlfn._xlws.FILTER(LT_LST[Lot],(LT_LST[Client Id.]=$C158)*(LT_LST[Strategy]=$D158)*(LT_LST[DTE/WTE]=$E158)*(LT_LST[Symbol]=$I158))),"-")</f>
        <v/>
      </c>
    </row>
    <row r="159" spans="3:17" x14ac:dyDescent="0.25">
      <c r="C159" t="str">
        <f t="shared" si="2"/>
        <v/>
      </c>
      <c r="Q159" t="str" cm="1">
        <f t="array" ref="Q159">IFERROR(IF($P159="","",_xlfn._xlws.FILTER(LT_LST[Lot],(LT_LST[Client Id.]=$C159)*(LT_LST[Strategy]=$D159)*(LT_LST[DTE/WTE]=$E159)*(LT_LST[Symbol]=$I159))),"-")</f>
        <v/>
      </c>
    </row>
    <row r="160" spans="3:17" x14ac:dyDescent="0.25">
      <c r="C160" t="str">
        <f t="shared" si="2"/>
        <v/>
      </c>
      <c r="Q160" t="str" cm="1">
        <f t="array" ref="Q160">IFERROR(IF($P160="","",_xlfn._xlws.FILTER(LT_LST[Lot],(LT_LST[Client Id.]=$C160)*(LT_LST[Strategy]=$D160)*(LT_LST[DTE/WTE]=$E160)*(LT_LST[Symbol]=$I160))),"-")</f>
        <v/>
      </c>
    </row>
    <row r="161" spans="3:17" x14ac:dyDescent="0.25">
      <c r="C161" t="str">
        <f t="shared" si="2"/>
        <v/>
      </c>
      <c r="Q161" t="str" cm="1">
        <f t="array" ref="Q161">IFERROR(IF($P161="","",_xlfn._xlws.FILTER(LT_LST[Lot],(LT_LST[Client Id.]=$C161)*(LT_LST[Strategy]=$D161)*(LT_LST[DTE/WTE]=$E161)*(LT_LST[Symbol]=$I161))),"-")</f>
        <v/>
      </c>
    </row>
    <row r="162" spans="3:17" x14ac:dyDescent="0.25">
      <c r="C162" t="str">
        <f t="shared" si="2"/>
        <v/>
      </c>
      <c r="Q162" t="str" cm="1">
        <f t="array" ref="Q162">IFERROR(IF($P162="","",_xlfn._xlws.FILTER(LT_LST[Lot],(LT_LST[Client Id.]=$C162)*(LT_LST[Strategy]=$D162)*(LT_LST[DTE/WTE]=$E162)*(LT_LST[Symbol]=$I162))),"-")</f>
        <v/>
      </c>
    </row>
    <row r="163" spans="3:17" x14ac:dyDescent="0.25">
      <c r="C163" t="str">
        <f t="shared" si="2"/>
        <v/>
      </c>
      <c r="Q163" t="str" cm="1">
        <f t="array" ref="Q163">IFERROR(IF($P163="","",_xlfn._xlws.FILTER(LT_LST[Lot],(LT_LST[Client Id.]=$C163)*(LT_LST[Strategy]=$D163)*(LT_LST[DTE/WTE]=$E163)*(LT_LST[Symbol]=$I163))),"-")</f>
        <v/>
      </c>
    </row>
    <row r="164" spans="3:17" x14ac:dyDescent="0.25">
      <c r="C164" t="str">
        <f t="shared" si="2"/>
        <v/>
      </c>
      <c r="Q164" t="str" cm="1">
        <f t="array" ref="Q164">IFERROR(IF($P164="","",_xlfn._xlws.FILTER(LT_LST[Lot],(LT_LST[Client Id.]=$C164)*(LT_LST[Strategy]=$D164)*(LT_LST[DTE/WTE]=$E164)*(LT_LST[Symbol]=$I164))),"-")</f>
        <v/>
      </c>
    </row>
    <row r="165" spans="3:17" x14ac:dyDescent="0.25">
      <c r="C165" t="str">
        <f t="shared" si="2"/>
        <v/>
      </c>
      <c r="Q165" t="str" cm="1">
        <f t="array" ref="Q165">IFERROR(IF($P165="","",_xlfn._xlws.FILTER(LT_LST[Lot],(LT_LST[Client Id.]=$C165)*(LT_LST[Strategy]=$D165)*(LT_LST[DTE/WTE]=$E165)*(LT_LST[Symbol]=$I165))),"-")</f>
        <v/>
      </c>
    </row>
    <row r="166" spans="3:17" x14ac:dyDescent="0.25">
      <c r="C166" t="str">
        <f t="shared" si="2"/>
        <v/>
      </c>
      <c r="Q166" t="str" cm="1">
        <f t="array" ref="Q166">IFERROR(IF($P166="","",_xlfn._xlws.FILTER(LT_LST[Lot],(LT_LST[Client Id.]=$C166)*(LT_LST[Strategy]=$D166)*(LT_LST[DTE/WTE]=$E166)*(LT_LST[Symbol]=$I166))),"-")</f>
        <v/>
      </c>
    </row>
    <row r="167" spans="3:17" x14ac:dyDescent="0.25">
      <c r="C167" t="str">
        <f t="shared" si="2"/>
        <v/>
      </c>
      <c r="Q167" t="str" cm="1">
        <f t="array" ref="Q167">IFERROR(IF($P167="","",_xlfn._xlws.FILTER(LT_LST[Lot],(LT_LST[Client Id.]=$C167)*(LT_LST[Strategy]=$D167)*(LT_LST[DTE/WTE]=$E167)*(LT_LST[Symbol]=$I167))),"-")</f>
        <v/>
      </c>
    </row>
    <row r="168" spans="3:17" x14ac:dyDescent="0.25">
      <c r="C168" t="str">
        <f t="shared" si="2"/>
        <v/>
      </c>
      <c r="Q168" t="str" cm="1">
        <f t="array" ref="Q168">IFERROR(IF($P168="","",_xlfn._xlws.FILTER(LT_LST[Lot],(LT_LST[Client Id.]=$C168)*(LT_LST[Strategy]=$D168)*(LT_LST[DTE/WTE]=$E168)*(LT_LST[Symbol]=$I168))),"-")</f>
        <v/>
      </c>
    </row>
    <row r="169" spans="3:17" x14ac:dyDescent="0.25">
      <c r="C169" t="str">
        <f t="shared" si="2"/>
        <v/>
      </c>
      <c r="Q169" t="str" cm="1">
        <f t="array" ref="Q169">IFERROR(IF($P169="","",_xlfn._xlws.FILTER(LT_LST[Lot],(LT_LST[Client Id.]=$C169)*(LT_LST[Strategy]=$D169)*(LT_LST[DTE/WTE]=$E169)*(LT_LST[Symbol]=$I169))),"-")</f>
        <v/>
      </c>
    </row>
    <row r="170" spans="3:17" x14ac:dyDescent="0.25">
      <c r="C170" t="str">
        <f t="shared" si="2"/>
        <v/>
      </c>
      <c r="Q170" t="str" cm="1">
        <f t="array" ref="Q170">IFERROR(IF($P170="","",_xlfn._xlws.FILTER(LT_LST[Lot],(LT_LST[Client Id.]=$C170)*(LT_LST[Strategy]=$D170)*(LT_LST[DTE/WTE]=$E170)*(LT_LST[Symbol]=$I170))),"-")</f>
        <v/>
      </c>
    </row>
    <row r="171" spans="3:17" x14ac:dyDescent="0.25">
      <c r="C171" t="str">
        <f t="shared" si="2"/>
        <v/>
      </c>
      <c r="Q171" t="str" cm="1">
        <f t="array" ref="Q171">IFERROR(IF($P171="","",_xlfn._xlws.FILTER(LT_LST[Lot],(LT_LST[Client Id.]=$C171)*(LT_LST[Strategy]=$D171)*(LT_LST[DTE/WTE]=$E171)*(LT_LST[Symbol]=$I171))),"-")</f>
        <v/>
      </c>
    </row>
    <row r="172" spans="3:17" x14ac:dyDescent="0.25">
      <c r="C172" t="str">
        <f t="shared" si="2"/>
        <v/>
      </c>
      <c r="Q172" t="str" cm="1">
        <f t="array" ref="Q172">IFERROR(IF($P172="","",_xlfn._xlws.FILTER(LT_LST[Lot],(LT_LST[Client Id.]=$C172)*(LT_LST[Strategy]=$D172)*(LT_LST[DTE/WTE]=$E172)*(LT_LST[Symbol]=$I172))),"-")</f>
        <v/>
      </c>
    </row>
    <row r="173" spans="3:17" x14ac:dyDescent="0.25">
      <c r="C173" t="str">
        <f t="shared" si="2"/>
        <v/>
      </c>
      <c r="Q173" t="str" cm="1">
        <f t="array" ref="Q173">IFERROR(IF($P173="","",_xlfn._xlws.FILTER(LT_LST[Lot],(LT_LST[Client Id.]=$C173)*(LT_LST[Strategy]=$D173)*(LT_LST[DTE/WTE]=$E173)*(LT_LST[Symbol]=$I173))),"-")</f>
        <v/>
      </c>
    </row>
    <row r="174" spans="3:17" x14ac:dyDescent="0.25">
      <c r="C174" t="str">
        <f t="shared" si="2"/>
        <v/>
      </c>
      <c r="Q174" t="str" cm="1">
        <f t="array" ref="Q174">IFERROR(IF($P174="","",_xlfn._xlws.FILTER(LT_LST[Lot],(LT_LST[Client Id.]=$C174)*(LT_LST[Strategy]=$D174)*(LT_LST[DTE/WTE]=$E174)*(LT_LST[Symbol]=$I174))),"-")</f>
        <v/>
      </c>
    </row>
    <row r="175" spans="3:17" x14ac:dyDescent="0.25">
      <c r="C175" t="str">
        <f t="shared" si="2"/>
        <v/>
      </c>
      <c r="Q175" t="str" cm="1">
        <f t="array" ref="Q175">IFERROR(IF($P175="","",_xlfn._xlws.FILTER(LT_LST[Lot],(LT_LST[Client Id.]=$C175)*(LT_LST[Strategy]=$D175)*(LT_LST[DTE/WTE]=$E175)*(LT_LST[Symbol]=$I175))),"-")</f>
        <v/>
      </c>
    </row>
    <row r="176" spans="3:17" x14ac:dyDescent="0.25">
      <c r="C176" t="str">
        <f t="shared" si="2"/>
        <v/>
      </c>
      <c r="Q176" t="str" cm="1">
        <f t="array" ref="Q176">IFERROR(IF($P176="","",_xlfn._xlws.FILTER(LT_LST[Lot],(LT_LST[Client Id.]=$C176)*(LT_LST[Strategy]=$D176)*(LT_LST[DTE/WTE]=$E176)*(LT_LST[Symbol]=$I176))),"-")</f>
        <v/>
      </c>
    </row>
    <row r="177" spans="3:17" x14ac:dyDescent="0.25">
      <c r="C177" t="str">
        <f t="shared" si="2"/>
        <v/>
      </c>
      <c r="Q177" t="str" cm="1">
        <f t="array" ref="Q177">IFERROR(IF($P177="","",_xlfn._xlws.FILTER(LT_LST[Lot],(LT_LST[Client Id.]=$C177)*(LT_LST[Strategy]=$D177)*(LT_LST[DTE/WTE]=$E177)*(LT_LST[Symbol]=$I177))),"-")</f>
        <v/>
      </c>
    </row>
    <row r="178" spans="3:17" x14ac:dyDescent="0.25">
      <c r="C178" t="str">
        <f t="shared" si="2"/>
        <v/>
      </c>
      <c r="Q178" t="str" cm="1">
        <f t="array" ref="Q178">IFERROR(IF($P178="","",_xlfn._xlws.FILTER(LT_LST[Lot],(LT_LST[Client Id.]=$C178)*(LT_LST[Strategy]=$D178)*(LT_LST[DTE/WTE]=$E178)*(LT_LST[Symbol]=$I178))),"-")</f>
        <v/>
      </c>
    </row>
    <row r="179" spans="3:17" x14ac:dyDescent="0.25">
      <c r="C179" t="str">
        <f t="shared" si="2"/>
        <v/>
      </c>
      <c r="Q179" t="str" cm="1">
        <f t="array" ref="Q179">IFERROR(IF($P179="","",_xlfn._xlws.FILTER(LT_LST[Lot],(LT_LST[Client Id.]=$C179)*(LT_LST[Strategy]=$D179)*(LT_LST[DTE/WTE]=$E179)*(LT_LST[Symbol]=$I179))),"-")</f>
        <v/>
      </c>
    </row>
    <row r="180" spans="3:17" x14ac:dyDescent="0.25">
      <c r="C180" t="str">
        <f t="shared" si="2"/>
        <v/>
      </c>
      <c r="Q180" t="str" cm="1">
        <f t="array" ref="Q180">IFERROR(IF($P180="","",_xlfn._xlws.FILTER(LT_LST[Lot],(LT_LST[Client Id.]=$C180)*(LT_LST[Strategy]=$D180)*(LT_LST[DTE/WTE]=$E180)*(LT_LST[Symbol]=$I180))),"-")</f>
        <v/>
      </c>
    </row>
    <row r="181" spans="3:17" x14ac:dyDescent="0.25">
      <c r="C181" t="str">
        <f t="shared" si="2"/>
        <v/>
      </c>
      <c r="Q181" t="str" cm="1">
        <f t="array" ref="Q181">IFERROR(IF($P181="","",_xlfn._xlws.FILTER(LT_LST[Lot],(LT_LST[Client Id.]=$C181)*(LT_LST[Strategy]=$D181)*(LT_LST[DTE/WTE]=$E181)*(LT_LST[Symbol]=$I181))),"-")</f>
        <v/>
      </c>
    </row>
    <row r="182" spans="3:17" x14ac:dyDescent="0.25">
      <c r="C182" t="str">
        <f t="shared" si="2"/>
        <v/>
      </c>
      <c r="Q182" t="str" cm="1">
        <f t="array" ref="Q182">IFERROR(IF($P182="","",_xlfn._xlws.FILTER(LT_LST[Lot],(LT_LST[Client Id.]=$C182)*(LT_LST[Strategy]=$D182)*(LT_LST[DTE/WTE]=$E182)*(LT_LST[Symbol]=$I182))),"-")</f>
        <v/>
      </c>
    </row>
    <row r="183" spans="3:17" x14ac:dyDescent="0.25">
      <c r="C183" t="str">
        <f t="shared" si="2"/>
        <v/>
      </c>
      <c r="Q183" t="str" cm="1">
        <f t="array" ref="Q183">IFERROR(IF($P183="","",_xlfn._xlws.FILTER(LT_LST[Lot],(LT_LST[Client Id.]=$C183)*(LT_LST[Strategy]=$D183)*(LT_LST[DTE/WTE]=$E183)*(LT_LST[Symbol]=$I183))),"-")</f>
        <v/>
      </c>
    </row>
    <row r="184" spans="3:17" x14ac:dyDescent="0.25">
      <c r="C184" t="str">
        <f t="shared" si="2"/>
        <v/>
      </c>
      <c r="Q184" t="str" cm="1">
        <f t="array" ref="Q184">IFERROR(IF($P184="","",_xlfn._xlws.FILTER(LT_LST[Lot],(LT_LST[Client Id.]=$C184)*(LT_LST[Strategy]=$D184)*(LT_LST[DTE/WTE]=$E184)*(LT_LST[Symbol]=$I184))),"-")</f>
        <v/>
      </c>
    </row>
    <row r="185" spans="3:17" x14ac:dyDescent="0.25">
      <c r="C185" t="str">
        <f t="shared" si="2"/>
        <v/>
      </c>
      <c r="Q185" t="str" cm="1">
        <f t="array" ref="Q185">IFERROR(IF($P185="","",_xlfn._xlws.FILTER(LT_LST[Lot],(LT_LST[Client Id.]=$C185)*(LT_LST[Strategy]=$D185)*(LT_LST[DTE/WTE]=$E185)*(LT_LST[Symbol]=$I185))),"-")</f>
        <v/>
      </c>
    </row>
    <row r="186" spans="3:17" x14ac:dyDescent="0.25">
      <c r="C186" t="str">
        <f t="shared" si="2"/>
        <v/>
      </c>
      <c r="Q186" t="str" cm="1">
        <f t="array" ref="Q186">IFERROR(IF($P186="","",_xlfn._xlws.FILTER(LT_LST[Lot],(LT_LST[Client Id.]=$C186)*(LT_LST[Strategy]=$D186)*(LT_LST[DTE/WTE]=$E186)*(LT_LST[Symbol]=$I186))),"-")</f>
        <v/>
      </c>
    </row>
    <row r="187" spans="3:17" x14ac:dyDescent="0.25">
      <c r="C187" t="str">
        <f t="shared" si="2"/>
        <v/>
      </c>
      <c r="Q187" t="str" cm="1">
        <f t="array" ref="Q187">IFERROR(IF($P187="","",_xlfn._xlws.FILTER(LT_LST[Lot],(LT_LST[Client Id.]=$C187)*(LT_LST[Strategy]=$D187)*(LT_LST[DTE/WTE]=$E187)*(LT_LST[Symbol]=$I187))),"-")</f>
        <v/>
      </c>
    </row>
    <row r="188" spans="3:17" x14ac:dyDescent="0.25">
      <c r="C188" t="str">
        <f t="shared" si="2"/>
        <v/>
      </c>
      <c r="Q188" t="str" cm="1">
        <f t="array" ref="Q188">IFERROR(IF($P188="","",_xlfn._xlws.FILTER(LT_LST[Lot],(LT_LST[Client Id.]=$C188)*(LT_LST[Strategy]=$D188)*(LT_LST[DTE/WTE]=$E188)*(LT_LST[Symbol]=$I188))),"-")</f>
        <v/>
      </c>
    </row>
    <row r="189" spans="3:17" x14ac:dyDescent="0.25">
      <c r="C189" t="str">
        <f t="shared" si="2"/>
        <v/>
      </c>
      <c r="Q189" t="str" cm="1">
        <f t="array" ref="Q189">IFERROR(IF($P189="","",_xlfn._xlws.FILTER(LT_LST[Lot],(LT_LST[Client Id.]=$C189)*(LT_LST[Strategy]=$D189)*(LT_LST[DTE/WTE]=$E189)*(LT_LST[Symbol]=$I189))),"-")</f>
        <v/>
      </c>
    </row>
    <row r="190" spans="3:17" x14ac:dyDescent="0.25">
      <c r="C190" t="str">
        <f t="shared" si="2"/>
        <v/>
      </c>
      <c r="Q190" t="str" cm="1">
        <f t="array" ref="Q190">IFERROR(IF($P190="","",_xlfn._xlws.FILTER(LT_LST[Lot],(LT_LST[Client Id.]=$C190)*(LT_LST[Strategy]=$D190)*(LT_LST[DTE/WTE]=$E190)*(LT_LST[Symbol]=$I190))),"-")</f>
        <v/>
      </c>
    </row>
    <row r="191" spans="3:17" x14ac:dyDescent="0.25">
      <c r="C191" t="str">
        <f t="shared" si="2"/>
        <v/>
      </c>
      <c r="Q191" t="str" cm="1">
        <f t="array" ref="Q191">IFERROR(IF($P191="","",_xlfn._xlws.FILTER(LT_LST[Lot],(LT_LST[Client Id.]=$C191)*(LT_LST[Strategy]=$D191)*(LT_LST[DTE/WTE]=$E191)*(LT_LST[Symbol]=$I191))),"-")</f>
        <v/>
      </c>
    </row>
    <row r="192" spans="3:17" x14ac:dyDescent="0.25">
      <c r="C192" t="str">
        <f t="shared" si="2"/>
        <v/>
      </c>
      <c r="Q192" t="str" cm="1">
        <f t="array" ref="Q192">IFERROR(IF($P192="","",_xlfn._xlws.FILTER(LT_LST[Lot],(LT_LST[Client Id.]=$C192)*(LT_LST[Strategy]=$D192)*(LT_LST[DTE/WTE]=$E192)*(LT_LST[Symbol]=$I192))),"-")</f>
        <v/>
      </c>
    </row>
    <row r="193" spans="3:17" x14ac:dyDescent="0.25">
      <c r="C193" t="str">
        <f t="shared" si="2"/>
        <v/>
      </c>
      <c r="Q193" t="str" cm="1">
        <f t="array" ref="Q193">IFERROR(IF($P193="","",_xlfn._xlws.FILTER(LT_LST[Lot],(LT_LST[Client Id.]=$C193)*(LT_LST[Strategy]=$D193)*(LT_LST[DTE/WTE]=$E193)*(LT_LST[Symbol]=$I193))),"-")</f>
        <v/>
      </c>
    </row>
    <row r="194" spans="3:17" x14ac:dyDescent="0.25">
      <c r="C194" t="str">
        <f t="shared" si="2"/>
        <v/>
      </c>
      <c r="Q194" t="str" cm="1">
        <f t="array" ref="Q194">IFERROR(IF($P194="","",_xlfn._xlws.FILTER(LT_LST[Lot],(LT_LST[Client Id.]=$C194)*(LT_LST[Strategy]=$D194)*(LT_LST[DTE/WTE]=$E194)*(LT_LST[Symbol]=$I194))),"-")</f>
        <v/>
      </c>
    </row>
    <row r="195" spans="3:17" x14ac:dyDescent="0.25">
      <c r="C195" t="str">
        <f t="shared" si="2"/>
        <v/>
      </c>
      <c r="Q195" t="str" cm="1">
        <f t="array" ref="Q195">IFERROR(IF($P195="","",_xlfn._xlws.FILTER(LT_LST[Lot],(LT_LST[Client Id.]=$C195)*(LT_LST[Strategy]=$D195)*(LT_LST[DTE/WTE]=$E195)*(LT_LST[Symbol]=$I195))),"-")</f>
        <v/>
      </c>
    </row>
    <row r="196" spans="3:17" x14ac:dyDescent="0.25">
      <c r="C196" t="str">
        <f t="shared" ref="C196:C259" si="3">IF(D196="","",$A$1)</f>
        <v/>
      </c>
      <c r="Q196" t="str" cm="1">
        <f t="array" ref="Q196">IFERROR(IF($P196="","",_xlfn._xlws.FILTER(LT_LST[Lot],(LT_LST[Client Id.]=$C196)*(LT_LST[Strategy]=$D196)*(LT_LST[DTE/WTE]=$E196)*(LT_LST[Symbol]=$I196))),"-")</f>
        <v/>
      </c>
    </row>
    <row r="197" spans="3:17" x14ac:dyDescent="0.25">
      <c r="C197" t="str">
        <f t="shared" si="3"/>
        <v/>
      </c>
      <c r="Q197" t="str" cm="1">
        <f t="array" ref="Q197">IFERROR(IF($P197="","",_xlfn._xlws.FILTER(LT_LST[Lot],(LT_LST[Client Id.]=$C197)*(LT_LST[Strategy]=$D197)*(LT_LST[DTE/WTE]=$E197)*(LT_LST[Symbol]=$I197))),"-")</f>
        <v/>
      </c>
    </row>
    <row r="198" spans="3:17" x14ac:dyDescent="0.25">
      <c r="C198" t="str">
        <f t="shared" si="3"/>
        <v/>
      </c>
      <c r="Q198" t="str" cm="1">
        <f t="array" ref="Q198">IFERROR(IF($P198="","",_xlfn._xlws.FILTER(LT_LST[Lot],(LT_LST[Client Id.]=$C198)*(LT_LST[Strategy]=$D198)*(LT_LST[DTE/WTE]=$E198)*(LT_LST[Symbol]=$I198))),"-")</f>
        <v/>
      </c>
    </row>
    <row r="199" spans="3:17" x14ac:dyDescent="0.25">
      <c r="C199" t="str">
        <f t="shared" si="3"/>
        <v/>
      </c>
      <c r="Q199" t="str" cm="1">
        <f t="array" ref="Q199">IFERROR(IF($P199="","",_xlfn._xlws.FILTER(LT_LST[Lot],(LT_LST[Client Id.]=$C199)*(LT_LST[Strategy]=$D199)*(LT_LST[DTE/WTE]=$E199)*(LT_LST[Symbol]=$I199))),"-")</f>
        <v/>
      </c>
    </row>
    <row r="200" spans="3:17" x14ac:dyDescent="0.25">
      <c r="C200" t="str">
        <f t="shared" si="3"/>
        <v/>
      </c>
      <c r="Q200" t="str" cm="1">
        <f t="array" ref="Q200">IFERROR(IF($P200="","",_xlfn._xlws.FILTER(LT_LST[Lot],(LT_LST[Client Id.]=$C200)*(LT_LST[Strategy]=$D200)*(LT_LST[DTE/WTE]=$E200)*(LT_LST[Symbol]=$I200))),"-")</f>
        <v/>
      </c>
    </row>
    <row r="201" spans="3:17" x14ac:dyDescent="0.25">
      <c r="C201" t="str">
        <f t="shared" si="3"/>
        <v/>
      </c>
      <c r="Q201" t="str" cm="1">
        <f t="array" ref="Q201">IFERROR(IF($P201="","",_xlfn._xlws.FILTER(LT_LST[Lot],(LT_LST[Client Id.]=$C201)*(LT_LST[Strategy]=$D201)*(LT_LST[DTE/WTE]=$E201)*(LT_LST[Symbol]=$I201))),"-")</f>
        <v/>
      </c>
    </row>
    <row r="202" spans="3:17" x14ac:dyDescent="0.25">
      <c r="C202" t="str">
        <f t="shared" si="3"/>
        <v/>
      </c>
      <c r="Q202" t="str" cm="1">
        <f t="array" ref="Q202">IFERROR(IF($P202="","",_xlfn._xlws.FILTER(LT_LST[Lot],(LT_LST[Client Id.]=$C202)*(LT_LST[Strategy]=$D202)*(LT_LST[DTE/WTE]=$E202)*(LT_LST[Symbol]=$I202))),"-")</f>
        <v/>
      </c>
    </row>
    <row r="203" spans="3:17" x14ac:dyDescent="0.25">
      <c r="C203" t="str">
        <f t="shared" si="3"/>
        <v/>
      </c>
      <c r="Q203" t="str" cm="1">
        <f t="array" ref="Q203">IFERROR(IF($P203="","",_xlfn._xlws.FILTER(LT_LST[Lot],(LT_LST[Client Id.]=$C203)*(LT_LST[Strategy]=$D203)*(LT_LST[DTE/WTE]=$E203)*(LT_LST[Symbol]=$I203))),"-")</f>
        <v/>
      </c>
    </row>
    <row r="204" spans="3:17" x14ac:dyDescent="0.25">
      <c r="C204" t="str">
        <f t="shared" si="3"/>
        <v/>
      </c>
      <c r="Q204" t="str" cm="1">
        <f t="array" ref="Q204">IFERROR(IF($P204="","",_xlfn._xlws.FILTER(LT_LST[Lot],(LT_LST[Client Id.]=$C204)*(LT_LST[Strategy]=$D204)*(LT_LST[DTE/WTE]=$E204)*(LT_LST[Symbol]=$I204))),"-")</f>
        <v/>
      </c>
    </row>
    <row r="205" spans="3:17" x14ac:dyDescent="0.25">
      <c r="C205" t="str">
        <f t="shared" si="3"/>
        <v/>
      </c>
      <c r="Q205" t="str" cm="1">
        <f t="array" ref="Q205">IFERROR(IF($P205="","",_xlfn._xlws.FILTER(LT_LST[Lot],(LT_LST[Client Id.]=$C205)*(LT_LST[Strategy]=$D205)*(LT_LST[DTE/WTE]=$E205)*(LT_LST[Symbol]=$I205))),"-")</f>
        <v/>
      </c>
    </row>
    <row r="206" spans="3:17" x14ac:dyDescent="0.25">
      <c r="C206" t="str">
        <f t="shared" si="3"/>
        <v/>
      </c>
      <c r="Q206" t="str" cm="1">
        <f t="array" ref="Q206">IFERROR(IF($P206="","",_xlfn._xlws.FILTER(LT_LST[Lot],(LT_LST[Client Id.]=$C206)*(LT_LST[Strategy]=$D206)*(LT_LST[DTE/WTE]=$E206)*(LT_LST[Symbol]=$I206))),"-")</f>
        <v/>
      </c>
    </row>
    <row r="207" spans="3:17" x14ac:dyDescent="0.25">
      <c r="C207" t="str">
        <f t="shared" si="3"/>
        <v/>
      </c>
      <c r="Q207" t="str" cm="1">
        <f t="array" ref="Q207">IFERROR(IF($P207="","",_xlfn._xlws.FILTER(LT_LST[Lot],(LT_LST[Client Id.]=$C207)*(LT_LST[Strategy]=$D207)*(LT_LST[DTE/WTE]=$E207)*(LT_LST[Symbol]=$I207))),"-")</f>
        <v/>
      </c>
    </row>
    <row r="208" spans="3:17" x14ac:dyDescent="0.25">
      <c r="C208" t="str">
        <f t="shared" si="3"/>
        <v/>
      </c>
      <c r="Q208" t="str" cm="1">
        <f t="array" ref="Q208">IFERROR(IF($P208="","",_xlfn._xlws.FILTER(LT_LST[Lot],(LT_LST[Client Id.]=$C208)*(LT_LST[Strategy]=$D208)*(LT_LST[DTE/WTE]=$E208)*(LT_LST[Symbol]=$I208))),"-")</f>
        <v/>
      </c>
    </row>
    <row r="209" spans="3:17" x14ac:dyDescent="0.25">
      <c r="C209" t="str">
        <f t="shared" si="3"/>
        <v/>
      </c>
      <c r="Q209" t="str" cm="1">
        <f t="array" ref="Q209">IFERROR(IF($P209="","",_xlfn._xlws.FILTER(LT_LST[Lot],(LT_LST[Client Id.]=$C209)*(LT_LST[Strategy]=$D209)*(LT_LST[DTE/WTE]=$E209)*(LT_LST[Symbol]=$I209))),"-")</f>
        <v/>
      </c>
    </row>
    <row r="210" spans="3:17" x14ac:dyDescent="0.25">
      <c r="C210" t="str">
        <f t="shared" si="3"/>
        <v/>
      </c>
      <c r="Q210" t="str" cm="1">
        <f t="array" ref="Q210">IFERROR(IF($P210="","",_xlfn._xlws.FILTER(LT_LST[Lot],(LT_LST[Client Id.]=$C210)*(LT_LST[Strategy]=$D210)*(LT_LST[DTE/WTE]=$E210)*(LT_LST[Symbol]=$I210))),"-")</f>
        <v/>
      </c>
    </row>
    <row r="211" spans="3:17" x14ac:dyDescent="0.25">
      <c r="C211" t="str">
        <f t="shared" si="3"/>
        <v/>
      </c>
      <c r="Q211" t="str" cm="1">
        <f t="array" ref="Q211">IFERROR(IF($P211="","",_xlfn._xlws.FILTER(LT_LST[Lot],(LT_LST[Client Id.]=$C211)*(LT_LST[Strategy]=$D211)*(LT_LST[DTE/WTE]=$E211)*(LT_LST[Symbol]=$I211))),"-")</f>
        <v/>
      </c>
    </row>
    <row r="212" spans="3:17" x14ac:dyDescent="0.25">
      <c r="C212" t="str">
        <f t="shared" si="3"/>
        <v/>
      </c>
      <c r="Q212" t="str" cm="1">
        <f t="array" ref="Q212">IFERROR(IF($P212="","",_xlfn._xlws.FILTER(LT_LST[Lot],(LT_LST[Client Id.]=$C212)*(LT_LST[Strategy]=$D212)*(LT_LST[DTE/WTE]=$E212)*(LT_LST[Symbol]=$I212))),"-")</f>
        <v/>
      </c>
    </row>
    <row r="213" spans="3:17" x14ac:dyDescent="0.25">
      <c r="C213" t="str">
        <f t="shared" si="3"/>
        <v/>
      </c>
      <c r="Q213" t="str" cm="1">
        <f t="array" ref="Q213">IFERROR(IF($P213="","",_xlfn._xlws.FILTER(LT_LST[Lot],(LT_LST[Client Id.]=$C213)*(LT_LST[Strategy]=$D213)*(LT_LST[DTE/WTE]=$E213)*(LT_LST[Symbol]=$I213))),"-")</f>
        <v/>
      </c>
    </row>
    <row r="214" spans="3:17" x14ac:dyDescent="0.25">
      <c r="C214" t="str">
        <f t="shared" si="3"/>
        <v/>
      </c>
      <c r="Q214" t="str" cm="1">
        <f t="array" ref="Q214">IFERROR(IF($P214="","",_xlfn._xlws.FILTER(LT_LST[Lot],(LT_LST[Client Id.]=$C214)*(LT_LST[Strategy]=$D214)*(LT_LST[DTE/WTE]=$E214)*(LT_LST[Symbol]=$I214))),"-")</f>
        <v/>
      </c>
    </row>
    <row r="215" spans="3:17" x14ac:dyDescent="0.25">
      <c r="C215" t="str">
        <f t="shared" si="3"/>
        <v/>
      </c>
      <c r="Q215" t="str" cm="1">
        <f t="array" ref="Q215">IFERROR(IF($P215="","",_xlfn._xlws.FILTER(LT_LST[Lot],(LT_LST[Client Id.]=$C215)*(LT_LST[Strategy]=$D215)*(LT_LST[DTE/WTE]=$E215)*(LT_LST[Symbol]=$I215))),"-")</f>
        <v/>
      </c>
    </row>
    <row r="216" spans="3:17" x14ac:dyDescent="0.25">
      <c r="C216" t="str">
        <f t="shared" si="3"/>
        <v/>
      </c>
      <c r="Q216" t="str" cm="1">
        <f t="array" ref="Q216">IFERROR(IF($P216="","",_xlfn._xlws.FILTER(LT_LST[Lot],(LT_LST[Client Id.]=$C216)*(LT_LST[Strategy]=$D216)*(LT_LST[DTE/WTE]=$E216)*(LT_LST[Symbol]=$I216))),"-")</f>
        <v/>
      </c>
    </row>
    <row r="217" spans="3:17" x14ac:dyDescent="0.25">
      <c r="C217" t="str">
        <f t="shared" si="3"/>
        <v/>
      </c>
      <c r="Q217" t="str" cm="1">
        <f t="array" ref="Q217">IFERROR(IF($P217="","",_xlfn._xlws.FILTER(LT_LST[Lot],(LT_LST[Client Id.]=$C217)*(LT_LST[Strategy]=$D217)*(LT_LST[DTE/WTE]=$E217)*(LT_LST[Symbol]=$I217))),"-")</f>
        <v/>
      </c>
    </row>
    <row r="218" spans="3:17" x14ac:dyDescent="0.25">
      <c r="C218" t="str">
        <f t="shared" si="3"/>
        <v/>
      </c>
      <c r="Q218" t="str" cm="1">
        <f t="array" ref="Q218">IFERROR(IF($P218="","",_xlfn._xlws.FILTER(LT_LST[Lot],(LT_LST[Client Id.]=$C218)*(LT_LST[Strategy]=$D218)*(LT_LST[DTE/WTE]=$E218)*(LT_LST[Symbol]=$I218))),"-")</f>
        <v/>
      </c>
    </row>
    <row r="219" spans="3:17" x14ac:dyDescent="0.25">
      <c r="C219" t="str">
        <f t="shared" si="3"/>
        <v/>
      </c>
      <c r="Q219" t="str" cm="1">
        <f t="array" ref="Q219">IFERROR(IF($P219="","",_xlfn._xlws.FILTER(LT_LST[Lot],(LT_LST[Client Id.]=$C219)*(LT_LST[Strategy]=$D219)*(LT_LST[DTE/WTE]=$E219)*(LT_LST[Symbol]=$I219))),"-")</f>
        <v/>
      </c>
    </row>
    <row r="220" spans="3:17" x14ac:dyDescent="0.25">
      <c r="C220" t="str">
        <f t="shared" si="3"/>
        <v/>
      </c>
      <c r="Q220" t="str" cm="1">
        <f t="array" ref="Q220">IFERROR(IF($P220="","",_xlfn._xlws.FILTER(LT_LST[Lot],(LT_LST[Client Id.]=$C220)*(LT_LST[Strategy]=$D220)*(LT_LST[DTE/WTE]=$E220)*(LT_LST[Symbol]=$I220))),"-")</f>
        <v/>
      </c>
    </row>
    <row r="221" spans="3:17" x14ac:dyDescent="0.25">
      <c r="C221" t="str">
        <f t="shared" si="3"/>
        <v/>
      </c>
      <c r="Q221" t="str" cm="1">
        <f t="array" ref="Q221">IFERROR(IF($P221="","",_xlfn._xlws.FILTER(LT_LST[Lot],(LT_LST[Client Id.]=$C221)*(LT_LST[Strategy]=$D221)*(LT_LST[DTE/WTE]=$E221)*(LT_LST[Symbol]=$I221))),"-")</f>
        <v/>
      </c>
    </row>
    <row r="222" spans="3:17" x14ac:dyDescent="0.25">
      <c r="C222" t="str">
        <f t="shared" si="3"/>
        <v/>
      </c>
      <c r="Q222" t="str" cm="1">
        <f t="array" ref="Q222">IFERROR(IF($P222="","",_xlfn._xlws.FILTER(LT_LST[Lot],(LT_LST[Client Id.]=$C222)*(LT_LST[Strategy]=$D222)*(LT_LST[DTE/WTE]=$E222)*(LT_LST[Symbol]=$I222))),"-")</f>
        <v/>
      </c>
    </row>
    <row r="223" spans="3:17" x14ac:dyDescent="0.25">
      <c r="C223" t="str">
        <f t="shared" si="3"/>
        <v/>
      </c>
      <c r="Q223" t="str" cm="1">
        <f t="array" ref="Q223">IFERROR(IF($P223="","",_xlfn._xlws.FILTER(LT_LST[Lot],(LT_LST[Client Id.]=$C223)*(LT_LST[Strategy]=$D223)*(LT_LST[DTE/WTE]=$E223)*(LT_LST[Symbol]=$I223))),"-")</f>
        <v/>
      </c>
    </row>
    <row r="224" spans="3:17" x14ac:dyDescent="0.25">
      <c r="C224" t="str">
        <f t="shared" si="3"/>
        <v/>
      </c>
      <c r="Q224" t="str" cm="1">
        <f t="array" ref="Q224">IFERROR(IF($P224="","",_xlfn._xlws.FILTER(LT_LST[Lot],(LT_LST[Client Id.]=$C224)*(LT_LST[Strategy]=$D224)*(LT_LST[DTE/WTE]=$E224)*(LT_LST[Symbol]=$I224))),"-")</f>
        <v/>
      </c>
    </row>
    <row r="225" spans="3:17" x14ac:dyDescent="0.25">
      <c r="C225" t="str">
        <f t="shared" si="3"/>
        <v/>
      </c>
      <c r="Q225" t="str" cm="1">
        <f t="array" ref="Q225">IFERROR(IF($P225="","",_xlfn._xlws.FILTER(LT_LST[Lot],(LT_LST[Client Id.]=$C225)*(LT_LST[Strategy]=$D225)*(LT_LST[DTE/WTE]=$E225)*(LT_LST[Symbol]=$I225))),"-")</f>
        <v/>
      </c>
    </row>
    <row r="226" spans="3:17" x14ac:dyDescent="0.25">
      <c r="C226" t="str">
        <f t="shared" si="3"/>
        <v/>
      </c>
      <c r="Q226" t="str" cm="1">
        <f t="array" ref="Q226">IFERROR(IF($P226="","",_xlfn._xlws.FILTER(LT_LST[Lot],(LT_LST[Client Id.]=$C226)*(LT_LST[Strategy]=$D226)*(LT_LST[DTE/WTE]=$E226)*(LT_LST[Symbol]=$I226))),"-")</f>
        <v/>
      </c>
    </row>
    <row r="227" spans="3:17" x14ac:dyDescent="0.25">
      <c r="C227" t="str">
        <f t="shared" si="3"/>
        <v/>
      </c>
      <c r="Q227" t="str" cm="1">
        <f t="array" ref="Q227">IFERROR(IF($P227="","",_xlfn._xlws.FILTER(LT_LST[Lot],(LT_LST[Client Id.]=$C227)*(LT_LST[Strategy]=$D227)*(LT_LST[DTE/WTE]=$E227)*(LT_LST[Symbol]=$I227))),"-")</f>
        <v/>
      </c>
    </row>
    <row r="228" spans="3:17" x14ac:dyDescent="0.25">
      <c r="C228" t="str">
        <f t="shared" si="3"/>
        <v/>
      </c>
      <c r="Q228" t="str" cm="1">
        <f t="array" ref="Q228">IFERROR(IF($P228="","",_xlfn._xlws.FILTER(LT_LST[Lot],(LT_LST[Client Id.]=$C228)*(LT_LST[Strategy]=$D228)*(LT_LST[DTE/WTE]=$E228)*(LT_LST[Symbol]=$I228))),"-")</f>
        <v/>
      </c>
    </row>
    <row r="229" spans="3:17" x14ac:dyDescent="0.25">
      <c r="C229" t="str">
        <f t="shared" si="3"/>
        <v/>
      </c>
      <c r="Q229" t="str" cm="1">
        <f t="array" ref="Q229">IFERROR(IF($P229="","",_xlfn._xlws.FILTER(LT_LST[Lot],(LT_LST[Client Id.]=$C229)*(LT_LST[Strategy]=$D229)*(LT_LST[DTE/WTE]=$E229)*(LT_LST[Symbol]=$I229))),"-")</f>
        <v/>
      </c>
    </row>
    <row r="230" spans="3:17" x14ac:dyDescent="0.25">
      <c r="C230" t="str">
        <f t="shared" si="3"/>
        <v/>
      </c>
      <c r="Q230" t="str" cm="1">
        <f t="array" ref="Q230">IFERROR(IF($P230="","",_xlfn._xlws.FILTER(LT_LST[Lot],(LT_LST[Client Id.]=$C230)*(LT_LST[Strategy]=$D230)*(LT_LST[DTE/WTE]=$E230)*(LT_LST[Symbol]=$I230))),"-")</f>
        <v/>
      </c>
    </row>
    <row r="231" spans="3:17" x14ac:dyDescent="0.25">
      <c r="C231" t="str">
        <f t="shared" si="3"/>
        <v/>
      </c>
      <c r="Q231" t="str" cm="1">
        <f t="array" ref="Q231">IFERROR(IF($P231="","",_xlfn._xlws.FILTER(LT_LST[Lot],(LT_LST[Client Id.]=$C231)*(LT_LST[Strategy]=$D231)*(LT_LST[DTE/WTE]=$E231)*(LT_LST[Symbol]=$I231))),"-")</f>
        <v/>
      </c>
    </row>
    <row r="232" spans="3:17" x14ac:dyDescent="0.25">
      <c r="C232" t="str">
        <f t="shared" si="3"/>
        <v/>
      </c>
      <c r="Q232" t="str" cm="1">
        <f t="array" ref="Q232">IFERROR(IF($P232="","",_xlfn._xlws.FILTER(LT_LST[Lot],(LT_LST[Client Id.]=$C232)*(LT_LST[Strategy]=$D232)*(LT_LST[DTE/WTE]=$E232)*(LT_LST[Symbol]=$I232))),"-")</f>
        <v/>
      </c>
    </row>
    <row r="233" spans="3:17" x14ac:dyDescent="0.25">
      <c r="C233" t="str">
        <f t="shared" si="3"/>
        <v/>
      </c>
      <c r="Q233" t="str" cm="1">
        <f t="array" ref="Q233">IFERROR(IF($P233="","",_xlfn._xlws.FILTER(LT_LST[Lot],(LT_LST[Client Id.]=$C233)*(LT_LST[Strategy]=$D233)*(LT_LST[DTE/WTE]=$E233)*(LT_LST[Symbol]=$I233))),"-")</f>
        <v/>
      </c>
    </row>
    <row r="234" spans="3:17" x14ac:dyDescent="0.25">
      <c r="C234" t="str">
        <f t="shared" si="3"/>
        <v/>
      </c>
      <c r="Q234" t="str" cm="1">
        <f t="array" ref="Q234">IFERROR(IF($P234="","",_xlfn._xlws.FILTER(LT_LST[Lot],(LT_LST[Client Id.]=$C234)*(LT_LST[Strategy]=$D234)*(LT_LST[DTE/WTE]=$E234)*(LT_LST[Symbol]=$I234))),"-")</f>
        <v/>
      </c>
    </row>
    <row r="235" spans="3:17" x14ac:dyDescent="0.25">
      <c r="C235" t="str">
        <f t="shared" si="3"/>
        <v/>
      </c>
      <c r="Q235" t="str" cm="1">
        <f t="array" ref="Q235">IFERROR(IF($P235="","",_xlfn._xlws.FILTER(LT_LST[Lot],(LT_LST[Client Id.]=$C235)*(LT_LST[Strategy]=$D235)*(LT_LST[DTE/WTE]=$E235)*(LT_LST[Symbol]=$I235))),"-")</f>
        <v/>
      </c>
    </row>
    <row r="236" spans="3:17" x14ac:dyDescent="0.25">
      <c r="C236" t="str">
        <f t="shared" si="3"/>
        <v/>
      </c>
      <c r="Q236" t="str" cm="1">
        <f t="array" ref="Q236">IFERROR(IF($P236="","",_xlfn._xlws.FILTER(LT_LST[Lot],(LT_LST[Client Id.]=$C236)*(LT_LST[Strategy]=$D236)*(LT_LST[DTE/WTE]=$E236)*(LT_LST[Symbol]=$I236))),"-")</f>
        <v/>
      </c>
    </row>
    <row r="237" spans="3:17" x14ac:dyDescent="0.25">
      <c r="C237" t="str">
        <f t="shared" si="3"/>
        <v/>
      </c>
      <c r="Q237" t="str" cm="1">
        <f t="array" ref="Q237">IFERROR(IF($P237="","",_xlfn._xlws.FILTER(LT_LST[Lot],(LT_LST[Client Id.]=$C237)*(LT_LST[Strategy]=$D237)*(LT_LST[DTE/WTE]=$E237)*(LT_LST[Symbol]=$I237))),"-")</f>
        <v/>
      </c>
    </row>
    <row r="238" spans="3:17" x14ac:dyDescent="0.25">
      <c r="C238" t="str">
        <f t="shared" si="3"/>
        <v/>
      </c>
      <c r="Q238" t="str" cm="1">
        <f t="array" ref="Q238">IFERROR(IF($P238="","",_xlfn._xlws.FILTER(LT_LST[Lot],(LT_LST[Client Id.]=$C238)*(LT_LST[Strategy]=$D238)*(LT_LST[DTE/WTE]=$E238)*(LT_LST[Symbol]=$I238))),"-")</f>
        <v/>
      </c>
    </row>
    <row r="239" spans="3:17" x14ac:dyDescent="0.25">
      <c r="C239" t="str">
        <f t="shared" si="3"/>
        <v/>
      </c>
      <c r="Q239" t="str" cm="1">
        <f t="array" ref="Q239">IFERROR(IF($P239="","",_xlfn._xlws.FILTER(LT_LST[Lot],(LT_LST[Client Id.]=$C239)*(LT_LST[Strategy]=$D239)*(LT_LST[DTE/WTE]=$E239)*(LT_LST[Symbol]=$I239))),"-")</f>
        <v/>
      </c>
    </row>
    <row r="240" spans="3:17" x14ac:dyDescent="0.25">
      <c r="C240" t="str">
        <f t="shared" si="3"/>
        <v/>
      </c>
      <c r="Q240" t="str" cm="1">
        <f t="array" ref="Q240">IFERROR(IF($P240="","",_xlfn._xlws.FILTER(LT_LST[Lot],(LT_LST[Client Id.]=$C240)*(LT_LST[Strategy]=$D240)*(LT_LST[DTE/WTE]=$E240)*(LT_LST[Symbol]=$I240))),"-")</f>
        <v/>
      </c>
    </row>
    <row r="241" spans="3:17" x14ac:dyDescent="0.25">
      <c r="C241" t="str">
        <f t="shared" si="3"/>
        <v/>
      </c>
      <c r="Q241" t="str" cm="1">
        <f t="array" ref="Q241">IFERROR(IF($P241="","",_xlfn._xlws.FILTER(LT_LST[Lot],(LT_LST[Client Id.]=$C241)*(LT_LST[Strategy]=$D241)*(LT_LST[DTE/WTE]=$E241)*(LT_LST[Symbol]=$I241))),"-")</f>
        <v/>
      </c>
    </row>
    <row r="242" spans="3:17" x14ac:dyDescent="0.25">
      <c r="C242" t="str">
        <f t="shared" si="3"/>
        <v/>
      </c>
      <c r="Q242" t="str" cm="1">
        <f t="array" ref="Q242">IFERROR(IF($P242="","",_xlfn._xlws.FILTER(LT_LST[Lot],(LT_LST[Client Id.]=$C242)*(LT_LST[Strategy]=$D242)*(LT_LST[DTE/WTE]=$E242)*(LT_LST[Symbol]=$I242))),"-")</f>
        <v/>
      </c>
    </row>
    <row r="243" spans="3:17" x14ac:dyDescent="0.25">
      <c r="C243" t="str">
        <f t="shared" si="3"/>
        <v/>
      </c>
      <c r="Q243" t="str" cm="1">
        <f t="array" ref="Q243">IFERROR(IF($P243="","",_xlfn._xlws.FILTER(LT_LST[Lot],(LT_LST[Client Id.]=$C243)*(LT_LST[Strategy]=$D243)*(LT_LST[DTE/WTE]=$E243)*(LT_LST[Symbol]=$I243))),"-")</f>
        <v/>
      </c>
    </row>
    <row r="244" spans="3:17" x14ac:dyDescent="0.25">
      <c r="C244" t="str">
        <f t="shared" si="3"/>
        <v/>
      </c>
      <c r="Q244" t="str" cm="1">
        <f t="array" ref="Q244">IFERROR(IF($P244="","",_xlfn._xlws.FILTER(LT_LST[Lot],(LT_LST[Client Id.]=$C244)*(LT_LST[Strategy]=$D244)*(LT_LST[DTE/WTE]=$E244)*(LT_LST[Symbol]=$I244))),"-")</f>
        <v/>
      </c>
    </row>
    <row r="245" spans="3:17" x14ac:dyDescent="0.25">
      <c r="C245" t="str">
        <f t="shared" si="3"/>
        <v/>
      </c>
      <c r="Q245" t="str" cm="1">
        <f t="array" ref="Q245">IFERROR(IF($P245="","",_xlfn._xlws.FILTER(LT_LST[Lot],(LT_LST[Client Id.]=$C245)*(LT_LST[Strategy]=$D245)*(LT_LST[DTE/WTE]=$E245)*(LT_LST[Symbol]=$I245))),"-")</f>
        <v/>
      </c>
    </row>
    <row r="246" spans="3:17" x14ac:dyDescent="0.25">
      <c r="C246" t="str">
        <f t="shared" si="3"/>
        <v/>
      </c>
      <c r="Q246" t="str" cm="1">
        <f t="array" ref="Q246">IFERROR(IF($P246="","",_xlfn._xlws.FILTER(LT_LST[Lot],(LT_LST[Client Id.]=$C246)*(LT_LST[Strategy]=$D246)*(LT_LST[DTE/WTE]=$E246)*(LT_LST[Symbol]=$I246))),"-")</f>
        <v/>
      </c>
    </row>
    <row r="247" spans="3:17" x14ac:dyDescent="0.25">
      <c r="C247" t="str">
        <f t="shared" si="3"/>
        <v/>
      </c>
      <c r="Q247" t="str" cm="1">
        <f t="array" ref="Q247">IFERROR(IF($P247="","",_xlfn._xlws.FILTER(LT_LST[Lot],(LT_LST[Client Id.]=$C247)*(LT_LST[Strategy]=$D247)*(LT_LST[DTE/WTE]=$E247)*(LT_LST[Symbol]=$I247))),"-")</f>
        <v/>
      </c>
    </row>
    <row r="248" spans="3:17" x14ac:dyDescent="0.25">
      <c r="C248" t="str">
        <f t="shared" si="3"/>
        <v/>
      </c>
      <c r="Q248" t="str" cm="1">
        <f t="array" ref="Q248">IFERROR(IF($P248="","",_xlfn._xlws.FILTER(LT_LST[Lot],(LT_LST[Client Id.]=$C248)*(LT_LST[Strategy]=$D248)*(LT_LST[DTE/WTE]=$E248)*(LT_LST[Symbol]=$I248))),"-")</f>
        <v/>
      </c>
    </row>
    <row r="249" spans="3:17" x14ac:dyDescent="0.25">
      <c r="C249" t="str">
        <f t="shared" si="3"/>
        <v/>
      </c>
      <c r="Q249" t="str" cm="1">
        <f t="array" ref="Q249">IFERROR(IF($P249="","",_xlfn._xlws.FILTER(LT_LST[Lot],(LT_LST[Client Id.]=$C249)*(LT_LST[Strategy]=$D249)*(LT_LST[DTE/WTE]=$E249)*(LT_LST[Symbol]=$I249))),"-")</f>
        <v/>
      </c>
    </row>
    <row r="250" spans="3:17" x14ac:dyDescent="0.25">
      <c r="C250" t="str">
        <f t="shared" si="3"/>
        <v/>
      </c>
      <c r="Q250" t="str" cm="1">
        <f t="array" ref="Q250">IFERROR(IF($P250="","",_xlfn._xlws.FILTER(LT_LST[Lot],(LT_LST[Client Id.]=$C250)*(LT_LST[Strategy]=$D250)*(LT_LST[DTE/WTE]=$E250)*(LT_LST[Symbol]=$I250))),"-")</f>
        <v/>
      </c>
    </row>
    <row r="251" spans="3:17" x14ac:dyDescent="0.25">
      <c r="C251" t="str">
        <f t="shared" si="3"/>
        <v/>
      </c>
      <c r="Q251" t="str" cm="1">
        <f t="array" ref="Q251">IFERROR(IF($P251="","",_xlfn._xlws.FILTER(LT_LST[Lot],(LT_LST[Client Id.]=$C251)*(LT_LST[Strategy]=$D251)*(LT_LST[DTE/WTE]=$E251)*(LT_LST[Symbol]=$I251))),"-")</f>
        <v/>
      </c>
    </row>
    <row r="252" spans="3:17" x14ac:dyDescent="0.25">
      <c r="C252" t="str">
        <f t="shared" si="3"/>
        <v/>
      </c>
      <c r="Q252" t="str" cm="1">
        <f t="array" ref="Q252">IFERROR(IF($P252="","",_xlfn._xlws.FILTER(LT_LST[Lot],(LT_LST[Client Id.]=$C252)*(LT_LST[Strategy]=$D252)*(LT_LST[DTE/WTE]=$E252)*(LT_LST[Symbol]=$I252))),"-")</f>
        <v/>
      </c>
    </row>
    <row r="253" spans="3:17" x14ac:dyDescent="0.25">
      <c r="C253" t="str">
        <f t="shared" si="3"/>
        <v/>
      </c>
      <c r="Q253" t="str" cm="1">
        <f t="array" ref="Q253">IFERROR(IF($P253="","",_xlfn._xlws.FILTER(LT_LST[Lot],(LT_LST[Client Id.]=$C253)*(LT_LST[Strategy]=$D253)*(LT_LST[DTE/WTE]=$E253)*(LT_LST[Symbol]=$I253))),"-")</f>
        <v/>
      </c>
    </row>
    <row r="254" spans="3:17" x14ac:dyDescent="0.25">
      <c r="C254" t="str">
        <f t="shared" si="3"/>
        <v/>
      </c>
      <c r="Q254" t="str" cm="1">
        <f t="array" ref="Q254">IFERROR(IF($P254="","",_xlfn._xlws.FILTER(LT_LST[Lot],(LT_LST[Client Id.]=$C254)*(LT_LST[Strategy]=$D254)*(LT_LST[DTE/WTE]=$E254)*(LT_LST[Symbol]=$I254))),"-")</f>
        <v/>
      </c>
    </row>
    <row r="255" spans="3:17" x14ac:dyDescent="0.25">
      <c r="C255" t="str">
        <f t="shared" si="3"/>
        <v/>
      </c>
      <c r="Q255" t="str" cm="1">
        <f t="array" ref="Q255">IFERROR(IF($P255="","",_xlfn._xlws.FILTER(LT_LST[Lot],(LT_LST[Client Id.]=$C255)*(LT_LST[Strategy]=$D255)*(LT_LST[DTE/WTE]=$E255)*(LT_LST[Symbol]=$I255))),"-")</f>
        <v/>
      </c>
    </row>
    <row r="256" spans="3:17" x14ac:dyDescent="0.25">
      <c r="C256" t="str">
        <f t="shared" si="3"/>
        <v/>
      </c>
      <c r="Q256" t="str" cm="1">
        <f t="array" ref="Q256">IFERROR(IF($P256="","",_xlfn._xlws.FILTER(LT_LST[Lot],(LT_LST[Client Id.]=$C256)*(LT_LST[Strategy]=$D256)*(LT_LST[DTE/WTE]=$E256)*(LT_LST[Symbol]=$I256))),"-")</f>
        <v/>
      </c>
    </row>
    <row r="257" spans="3:17" x14ac:dyDescent="0.25">
      <c r="C257" t="str">
        <f t="shared" si="3"/>
        <v/>
      </c>
      <c r="Q257" t="str" cm="1">
        <f t="array" ref="Q257">IFERROR(IF($P257="","",_xlfn._xlws.FILTER(LT_LST[Lot],(LT_LST[Client Id.]=$C257)*(LT_LST[Strategy]=$D257)*(LT_LST[DTE/WTE]=$E257)*(LT_LST[Symbol]=$I257))),"-")</f>
        <v/>
      </c>
    </row>
    <row r="258" spans="3:17" x14ac:dyDescent="0.25">
      <c r="C258" t="str">
        <f t="shared" si="3"/>
        <v/>
      </c>
      <c r="Q258" t="str" cm="1">
        <f t="array" ref="Q258">IFERROR(IF($P258="","",_xlfn._xlws.FILTER(LT_LST[Lot],(LT_LST[Client Id.]=$C258)*(LT_LST[Strategy]=$D258)*(LT_LST[DTE/WTE]=$E258)*(LT_LST[Symbol]=$I258))),"-")</f>
        <v/>
      </c>
    </row>
    <row r="259" spans="3:17" x14ac:dyDescent="0.25">
      <c r="C259" t="str">
        <f t="shared" si="3"/>
        <v/>
      </c>
      <c r="Q259" t="str" cm="1">
        <f t="array" ref="Q259">IFERROR(IF($P259="","",_xlfn._xlws.FILTER(LT_LST[Lot],(LT_LST[Client Id.]=$C259)*(LT_LST[Strategy]=$D259)*(LT_LST[DTE/WTE]=$E259)*(LT_LST[Symbol]=$I259))),"-")</f>
        <v/>
      </c>
    </row>
    <row r="260" spans="3:17" x14ac:dyDescent="0.25">
      <c r="C260" t="str">
        <f t="shared" ref="C260:C323" si="4">IF(D260="","",$A$1)</f>
        <v/>
      </c>
      <c r="Q260" t="str" cm="1">
        <f t="array" ref="Q260">IFERROR(IF($P260="","",_xlfn._xlws.FILTER(LT_LST[Lot],(LT_LST[Client Id.]=$C260)*(LT_LST[Strategy]=$D260)*(LT_LST[DTE/WTE]=$E260)*(LT_LST[Symbol]=$I260))),"-")</f>
        <v/>
      </c>
    </row>
    <row r="261" spans="3:17" x14ac:dyDescent="0.25">
      <c r="C261" t="str">
        <f t="shared" si="4"/>
        <v/>
      </c>
      <c r="Q261" t="str" cm="1">
        <f t="array" ref="Q261">IFERROR(IF($P261="","",_xlfn._xlws.FILTER(LT_LST[Lot],(LT_LST[Client Id.]=$C261)*(LT_LST[Strategy]=$D261)*(LT_LST[DTE/WTE]=$E261)*(LT_LST[Symbol]=$I261))),"-")</f>
        <v/>
      </c>
    </row>
    <row r="262" spans="3:17" x14ac:dyDescent="0.25">
      <c r="C262" t="str">
        <f t="shared" si="4"/>
        <v/>
      </c>
      <c r="Q262" t="str" cm="1">
        <f t="array" ref="Q262">IFERROR(IF($P262="","",_xlfn._xlws.FILTER(LT_LST[Lot],(LT_LST[Client Id.]=$C262)*(LT_LST[Strategy]=$D262)*(LT_LST[DTE/WTE]=$E262)*(LT_LST[Symbol]=$I262))),"-")</f>
        <v/>
      </c>
    </row>
    <row r="263" spans="3:17" x14ac:dyDescent="0.25">
      <c r="C263" t="str">
        <f t="shared" si="4"/>
        <v/>
      </c>
      <c r="Q263" t="str" cm="1">
        <f t="array" ref="Q263">IFERROR(IF($P263="","",_xlfn._xlws.FILTER(LT_LST[Lot],(LT_LST[Client Id.]=$C263)*(LT_LST[Strategy]=$D263)*(LT_LST[DTE/WTE]=$E263)*(LT_LST[Symbol]=$I263))),"-")</f>
        <v/>
      </c>
    </row>
    <row r="264" spans="3:17" x14ac:dyDescent="0.25">
      <c r="C264" t="str">
        <f t="shared" si="4"/>
        <v/>
      </c>
      <c r="Q264" t="str" cm="1">
        <f t="array" ref="Q264">IFERROR(IF($P264="","",_xlfn._xlws.FILTER(LT_LST[Lot],(LT_LST[Client Id.]=$C264)*(LT_LST[Strategy]=$D264)*(LT_LST[DTE/WTE]=$E264)*(LT_LST[Symbol]=$I264))),"-")</f>
        <v/>
      </c>
    </row>
    <row r="265" spans="3:17" x14ac:dyDescent="0.25">
      <c r="C265" t="str">
        <f t="shared" si="4"/>
        <v/>
      </c>
      <c r="Q265" t="str" cm="1">
        <f t="array" ref="Q265">IFERROR(IF($P265="","",_xlfn._xlws.FILTER(LT_LST[Lot],(LT_LST[Client Id.]=$C265)*(LT_LST[Strategy]=$D265)*(LT_LST[DTE/WTE]=$E265)*(LT_LST[Symbol]=$I265))),"-")</f>
        <v/>
      </c>
    </row>
    <row r="266" spans="3:17" x14ac:dyDescent="0.25">
      <c r="C266" t="str">
        <f t="shared" si="4"/>
        <v/>
      </c>
      <c r="Q266" t="str" cm="1">
        <f t="array" ref="Q266">IFERROR(IF($P266="","",_xlfn._xlws.FILTER(LT_LST[Lot],(LT_LST[Client Id.]=$C266)*(LT_LST[Strategy]=$D266)*(LT_LST[DTE/WTE]=$E266)*(LT_LST[Symbol]=$I266))),"-")</f>
        <v/>
      </c>
    </row>
    <row r="267" spans="3:17" x14ac:dyDescent="0.25">
      <c r="C267" t="str">
        <f t="shared" si="4"/>
        <v/>
      </c>
      <c r="Q267" t="str" cm="1">
        <f t="array" ref="Q267">IFERROR(IF($P267="","",_xlfn._xlws.FILTER(LT_LST[Lot],(LT_LST[Client Id.]=$C267)*(LT_LST[Strategy]=$D267)*(LT_LST[DTE/WTE]=$E267)*(LT_LST[Symbol]=$I267))),"-")</f>
        <v/>
      </c>
    </row>
    <row r="268" spans="3:17" x14ac:dyDescent="0.25">
      <c r="C268" t="str">
        <f t="shared" si="4"/>
        <v/>
      </c>
      <c r="Q268" t="str" cm="1">
        <f t="array" ref="Q268">IFERROR(IF($P268="","",_xlfn._xlws.FILTER(LT_LST[Lot],(LT_LST[Client Id.]=$C268)*(LT_LST[Strategy]=$D268)*(LT_LST[DTE/WTE]=$E268)*(LT_LST[Symbol]=$I268))),"-")</f>
        <v/>
      </c>
    </row>
    <row r="269" spans="3:17" x14ac:dyDescent="0.25">
      <c r="C269" t="str">
        <f t="shared" si="4"/>
        <v/>
      </c>
      <c r="Q269" t="str" cm="1">
        <f t="array" ref="Q269">IFERROR(IF($P269="","",_xlfn._xlws.FILTER(LT_LST[Lot],(LT_LST[Client Id.]=$C269)*(LT_LST[Strategy]=$D269)*(LT_LST[DTE/WTE]=$E269)*(LT_LST[Symbol]=$I269))),"-")</f>
        <v/>
      </c>
    </row>
    <row r="270" spans="3:17" x14ac:dyDescent="0.25">
      <c r="C270" t="str">
        <f t="shared" si="4"/>
        <v/>
      </c>
      <c r="Q270" t="str" cm="1">
        <f t="array" ref="Q270">IFERROR(IF($P270="","",_xlfn._xlws.FILTER(LT_LST[Lot],(LT_LST[Client Id.]=$C270)*(LT_LST[Strategy]=$D270)*(LT_LST[DTE/WTE]=$E270)*(LT_LST[Symbol]=$I270))),"-")</f>
        <v/>
      </c>
    </row>
    <row r="271" spans="3:17" x14ac:dyDescent="0.25">
      <c r="C271" t="str">
        <f t="shared" si="4"/>
        <v/>
      </c>
      <c r="Q271" t="str" cm="1">
        <f t="array" ref="Q271">IFERROR(IF($P271="","",_xlfn._xlws.FILTER(LT_LST[Lot],(LT_LST[Client Id.]=$C271)*(LT_LST[Strategy]=$D271)*(LT_LST[DTE/WTE]=$E271)*(LT_LST[Symbol]=$I271))),"-")</f>
        <v/>
      </c>
    </row>
    <row r="272" spans="3:17" x14ac:dyDescent="0.25">
      <c r="C272" t="str">
        <f t="shared" si="4"/>
        <v/>
      </c>
      <c r="Q272" t="str" cm="1">
        <f t="array" ref="Q272">IFERROR(IF($P272="","",_xlfn._xlws.FILTER(LT_LST[Lot],(LT_LST[Client Id.]=$C272)*(LT_LST[Strategy]=$D272)*(LT_LST[DTE/WTE]=$E272)*(LT_LST[Symbol]=$I272))),"-")</f>
        <v/>
      </c>
    </row>
    <row r="273" spans="3:17" x14ac:dyDescent="0.25">
      <c r="C273" t="str">
        <f t="shared" si="4"/>
        <v/>
      </c>
      <c r="Q273" t="str" cm="1">
        <f t="array" ref="Q273">IFERROR(IF($P273="","",_xlfn._xlws.FILTER(LT_LST[Lot],(LT_LST[Client Id.]=$C273)*(LT_LST[Strategy]=$D273)*(LT_LST[DTE/WTE]=$E273)*(LT_LST[Symbol]=$I273))),"-")</f>
        <v/>
      </c>
    </row>
    <row r="274" spans="3:17" x14ac:dyDescent="0.25">
      <c r="C274" t="str">
        <f t="shared" si="4"/>
        <v/>
      </c>
      <c r="Q274" t="str" cm="1">
        <f t="array" ref="Q274">IFERROR(IF($P274="","",_xlfn._xlws.FILTER(LT_LST[Lot],(LT_LST[Client Id.]=$C274)*(LT_LST[Strategy]=$D274)*(LT_LST[DTE/WTE]=$E274)*(LT_LST[Symbol]=$I274))),"-")</f>
        <v/>
      </c>
    </row>
    <row r="275" spans="3:17" x14ac:dyDescent="0.25">
      <c r="C275" t="str">
        <f t="shared" si="4"/>
        <v/>
      </c>
      <c r="Q275" t="str" cm="1">
        <f t="array" ref="Q275">IFERROR(IF($P275="","",_xlfn._xlws.FILTER(LT_LST[Lot],(LT_LST[Client Id.]=$C275)*(LT_LST[Strategy]=$D275)*(LT_LST[DTE/WTE]=$E275)*(LT_LST[Symbol]=$I275))),"-")</f>
        <v/>
      </c>
    </row>
    <row r="276" spans="3:17" x14ac:dyDescent="0.25">
      <c r="C276" t="str">
        <f t="shared" si="4"/>
        <v/>
      </c>
      <c r="Q276" t="str" cm="1">
        <f t="array" ref="Q276">IFERROR(IF($P276="","",_xlfn._xlws.FILTER(LT_LST[Lot],(LT_LST[Client Id.]=$C276)*(LT_LST[Strategy]=$D276)*(LT_LST[DTE/WTE]=$E276)*(LT_LST[Symbol]=$I276))),"-")</f>
        <v/>
      </c>
    </row>
    <row r="277" spans="3:17" x14ac:dyDescent="0.25">
      <c r="C277" t="str">
        <f t="shared" si="4"/>
        <v/>
      </c>
      <c r="Q277" t="str" cm="1">
        <f t="array" ref="Q277">IFERROR(IF($P277="","",_xlfn._xlws.FILTER(LT_LST[Lot],(LT_LST[Client Id.]=$C277)*(LT_LST[Strategy]=$D277)*(LT_LST[DTE/WTE]=$E277)*(LT_LST[Symbol]=$I277))),"-")</f>
        <v/>
      </c>
    </row>
    <row r="278" spans="3:17" x14ac:dyDescent="0.25">
      <c r="C278" t="str">
        <f t="shared" si="4"/>
        <v/>
      </c>
      <c r="Q278" t="str" cm="1">
        <f t="array" ref="Q278">IFERROR(IF($P278="","",_xlfn._xlws.FILTER(LT_LST[Lot],(LT_LST[Client Id.]=$C278)*(LT_LST[Strategy]=$D278)*(LT_LST[DTE/WTE]=$E278)*(LT_LST[Symbol]=$I278))),"-")</f>
        <v/>
      </c>
    </row>
    <row r="279" spans="3:17" x14ac:dyDescent="0.25">
      <c r="C279" t="str">
        <f t="shared" si="4"/>
        <v/>
      </c>
      <c r="Q279" t="str" cm="1">
        <f t="array" ref="Q279">IFERROR(IF($P279="","",_xlfn._xlws.FILTER(LT_LST[Lot],(LT_LST[Client Id.]=$C279)*(LT_LST[Strategy]=$D279)*(LT_LST[DTE/WTE]=$E279)*(LT_LST[Symbol]=$I279))),"-")</f>
        <v/>
      </c>
    </row>
    <row r="280" spans="3:17" x14ac:dyDescent="0.25">
      <c r="C280" t="str">
        <f t="shared" si="4"/>
        <v/>
      </c>
      <c r="Q280" t="str" cm="1">
        <f t="array" ref="Q280">IFERROR(IF($P280="","",_xlfn._xlws.FILTER(LT_LST[Lot],(LT_LST[Client Id.]=$C280)*(LT_LST[Strategy]=$D280)*(LT_LST[DTE/WTE]=$E280)*(LT_LST[Symbol]=$I280))),"-")</f>
        <v/>
      </c>
    </row>
    <row r="281" spans="3:17" x14ac:dyDescent="0.25">
      <c r="C281" t="str">
        <f t="shared" si="4"/>
        <v/>
      </c>
      <c r="Q281" t="str" cm="1">
        <f t="array" ref="Q281">IFERROR(IF($P281="","",_xlfn._xlws.FILTER(LT_LST[Lot],(LT_LST[Client Id.]=$C281)*(LT_LST[Strategy]=$D281)*(LT_LST[DTE/WTE]=$E281)*(LT_LST[Symbol]=$I281))),"-")</f>
        <v/>
      </c>
    </row>
    <row r="282" spans="3:17" x14ac:dyDescent="0.25">
      <c r="C282" t="str">
        <f t="shared" si="4"/>
        <v/>
      </c>
      <c r="Q282" t="str" cm="1">
        <f t="array" ref="Q282">IFERROR(IF($P282="","",_xlfn._xlws.FILTER(LT_LST[Lot],(LT_LST[Client Id.]=$C282)*(LT_LST[Strategy]=$D282)*(LT_LST[DTE/WTE]=$E282)*(LT_LST[Symbol]=$I282))),"-")</f>
        <v/>
      </c>
    </row>
    <row r="283" spans="3:17" x14ac:dyDescent="0.25">
      <c r="C283" t="str">
        <f t="shared" si="4"/>
        <v/>
      </c>
      <c r="Q283" t="str" cm="1">
        <f t="array" ref="Q283">IFERROR(IF($P283="","",_xlfn._xlws.FILTER(LT_LST[Lot],(LT_LST[Client Id.]=$C283)*(LT_LST[Strategy]=$D283)*(LT_LST[DTE/WTE]=$E283)*(LT_LST[Symbol]=$I283))),"-")</f>
        <v/>
      </c>
    </row>
    <row r="284" spans="3:17" x14ac:dyDescent="0.25">
      <c r="C284" t="str">
        <f t="shared" si="4"/>
        <v/>
      </c>
      <c r="Q284" t="str" cm="1">
        <f t="array" ref="Q284">IFERROR(IF($P284="","",_xlfn._xlws.FILTER(LT_LST[Lot],(LT_LST[Client Id.]=$C284)*(LT_LST[Strategy]=$D284)*(LT_LST[DTE/WTE]=$E284)*(LT_LST[Symbol]=$I284))),"-")</f>
        <v/>
      </c>
    </row>
    <row r="285" spans="3:17" x14ac:dyDescent="0.25">
      <c r="C285" t="str">
        <f t="shared" si="4"/>
        <v/>
      </c>
      <c r="Q285" t="str" cm="1">
        <f t="array" ref="Q285">IFERROR(IF($P285="","",_xlfn._xlws.FILTER(LT_LST[Lot],(LT_LST[Client Id.]=$C285)*(LT_LST[Strategy]=$D285)*(LT_LST[DTE/WTE]=$E285)*(LT_LST[Symbol]=$I285))),"-")</f>
        <v/>
      </c>
    </row>
    <row r="286" spans="3:17" x14ac:dyDescent="0.25">
      <c r="C286" t="str">
        <f t="shared" si="4"/>
        <v/>
      </c>
      <c r="Q286" t="str" cm="1">
        <f t="array" ref="Q286">IFERROR(IF($P286="","",_xlfn._xlws.FILTER(LT_LST[Lot],(LT_LST[Client Id.]=$C286)*(LT_LST[Strategy]=$D286)*(LT_LST[DTE/WTE]=$E286)*(LT_LST[Symbol]=$I286))),"-")</f>
        <v/>
      </c>
    </row>
    <row r="287" spans="3:17" x14ac:dyDescent="0.25">
      <c r="C287" t="str">
        <f t="shared" si="4"/>
        <v/>
      </c>
      <c r="Q287" t="str" cm="1">
        <f t="array" ref="Q287">IFERROR(IF($P287="","",_xlfn._xlws.FILTER(LT_LST[Lot],(LT_LST[Client Id.]=$C287)*(LT_LST[Strategy]=$D287)*(LT_LST[DTE/WTE]=$E287)*(LT_LST[Symbol]=$I287))),"-")</f>
        <v/>
      </c>
    </row>
    <row r="288" spans="3:17" x14ac:dyDescent="0.25">
      <c r="C288" t="str">
        <f t="shared" si="4"/>
        <v/>
      </c>
      <c r="Q288" t="str" cm="1">
        <f t="array" ref="Q288">IFERROR(IF($P288="","",_xlfn._xlws.FILTER(LT_LST[Lot],(LT_LST[Client Id.]=$C288)*(LT_LST[Strategy]=$D288)*(LT_LST[DTE/WTE]=$E288)*(LT_LST[Symbol]=$I288))),"-")</f>
        <v/>
      </c>
    </row>
    <row r="289" spans="3:17" x14ac:dyDescent="0.25">
      <c r="C289" t="str">
        <f t="shared" si="4"/>
        <v/>
      </c>
      <c r="Q289" t="str" cm="1">
        <f t="array" ref="Q289">IFERROR(IF($P289="","",_xlfn._xlws.FILTER(LT_LST[Lot],(LT_LST[Client Id.]=$C289)*(LT_LST[Strategy]=$D289)*(LT_LST[DTE/WTE]=$E289)*(LT_LST[Symbol]=$I289))),"-")</f>
        <v/>
      </c>
    </row>
    <row r="290" spans="3:17" x14ac:dyDescent="0.25">
      <c r="C290" t="str">
        <f t="shared" si="4"/>
        <v/>
      </c>
      <c r="Q290" t="str" cm="1">
        <f t="array" ref="Q290">IFERROR(IF($P290="","",_xlfn._xlws.FILTER(LT_LST[Lot],(LT_LST[Client Id.]=$C290)*(LT_LST[Strategy]=$D290)*(LT_LST[DTE/WTE]=$E290)*(LT_LST[Symbol]=$I290))),"-")</f>
        <v/>
      </c>
    </row>
    <row r="291" spans="3:17" x14ac:dyDescent="0.25">
      <c r="C291" t="str">
        <f t="shared" si="4"/>
        <v/>
      </c>
      <c r="Q291" t="str" cm="1">
        <f t="array" ref="Q291">IFERROR(IF($P291="","",_xlfn._xlws.FILTER(LT_LST[Lot],(LT_LST[Client Id.]=$C291)*(LT_LST[Strategy]=$D291)*(LT_LST[DTE/WTE]=$E291)*(LT_LST[Symbol]=$I291))),"-")</f>
        <v/>
      </c>
    </row>
    <row r="292" spans="3:17" x14ac:dyDescent="0.25">
      <c r="C292" t="str">
        <f t="shared" si="4"/>
        <v/>
      </c>
      <c r="Q292" t="str" cm="1">
        <f t="array" ref="Q292">IFERROR(IF($P292="","",_xlfn._xlws.FILTER(LT_LST[Lot],(LT_LST[Client Id.]=$C292)*(LT_LST[Strategy]=$D292)*(LT_LST[DTE/WTE]=$E292)*(LT_LST[Symbol]=$I292))),"-")</f>
        <v/>
      </c>
    </row>
    <row r="293" spans="3:17" x14ac:dyDescent="0.25">
      <c r="C293" t="str">
        <f t="shared" si="4"/>
        <v/>
      </c>
      <c r="Q293" t="str" cm="1">
        <f t="array" ref="Q293">IFERROR(IF($P293="","",_xlfn._xlws.FILTER(LT_LST[Lot],(LT_LST[Client Id.]=$C293)*(LT_LST[Strategy]=$D293)*(LT_LST[DTE/WTE]=$E293)*(LT_LST[Symbol]=$I293))),"-")</f>
        <v/>
      </c>
    </row>
    <row r="294" spans="3:17" x14ac:dyDescent="0.25">
      <c r="C294" t="str">
        <f t="shared" si="4"/>
        <v/>
      </c>
      <c r="Q294" t="str" cm="1">
        <f t="array" ref="Q294">IFERROR(IF($P294="","",_xlfn._xlws.FILTER(LT_LST[Lot],(LT_LST[Client Id.]=$C294)*(LT_LST[Strategy]=$D294)*(LT_LST[DTE/WTE]=$E294)*(LT_LST[Symbol]=$I294))),"-")</f>
        <v/>
      </c>
    </row>
    <row r="295" spans="3:17" x14ac:dyDescent="0.25">
      <c r="C295" t="str">
        <f t="shared" si="4"/>
        <v/>
      </c>
      <c r="Q295" t="str" cm="1">
        <f t="array" ref="Q295">IFERROR(IF($P295="","",_xlfn._xlws.FILTER(LT_LST[Lot],(LT_LST[Client Id.]=$C295)*(LT_LST[Strategy]=$D295)*(LT_LST[DTE/WTE]=$E295)*(LT_LST[Symbol]=$I295))),"-")</f>
        <v/>
      </c>
    </row>
    <row r="296" spans="3:17" x14ac:dyDescent="0.25">
      <c r="C296" t="str">
        <f t="shared" si="4"/>
        <v/>
      </c>
      <c r="Q296" t="str" cm="1">
        <f t="array" ref="Q296">IFERROR(IF($P296="","",_xlfn._xlws.FILTER(LT_LST[Lot],(LT_LST[Client Id.]=$C296)*(LT_LST[Strategy]=$D296)*(LT_LST[DTE/WTE]=$E296)*(LT_LST[Symbol]=$I296))),"-")</f>
        <v/>
      </c>
    </row>
    <row r="297" spans="3:17" x14ac:dyDescent="0.25">
      <c r="C297" t="str">
        <f t="shared" si="4"/>
        <v/>
      </c>
      <c r="Q297" t="str" cm="1">
        <f t="array" ref="Q297">IFERROR(IF($P297="","",_xlfn._xlws.FILTER(LT_LST[Lot],(LT_LST[Client Id.]=$C297)*(LT_LST[Strategy]=$D297)*(LT_LST[DTE/WTE]=$E297)*(LT_LST[Symbol]=$I297))),"-")</f>
        <v/>
      </c>
    </row>
    <row r="298" spans="3:17" x14ac:dyDescent="0.25">
      <c r="C298" t="str">
        <f t="shared" si="4"/>
        <v/>
      </c>
      <c r="Q298" t="str" cm="1">
        <f t="array" ref="Q298">IFERROR(IF($P298="","",_xlfn._xlws.FILTER(LT_LST[Lot],(LT_LST[Client Id.]=$C298)*(LT_LST[Strategy]=$D298)*(LT_LST[DTE/WTE]=$E298)*(LT_LST[Symbol]=$I298))),"-")</f>
        <v/>
      </c>
    </row>
    <row r="299" spans="3:17" x14ac:dyDescent="0.25">
      <c r="C299" t="str">
        <f t="shared" si="4"/>
        <v/>
      </c>
      <c r="Q299" t="str" cm="1">
        <f t="array" ref="Q299">IFERROR(IF($P299="","",_xlfn._xlws.FILTER(LT_LST[Lot],(LT_LST[Client Id.]=$C299)*(LT_LST[Strategy]=$D299)*(LT_LST[DTE/WTE]=$E299)*(LT_LST[Symbol]=$I299))),"-")</f>
        <v/>
      </c>
    </row>
    <row r="300" spans="3:17" x14ac:dyDescent="0.25">
      <c r="C300" t="str">
        <f t="shared" si="4"/>
        <v/>
      </c>
      <c r="Q300" t="str" cm="1">
        <f t="array" ref="Q300">IFERROR(IF($P300="","",_xlfn._xlws.FILTER(LT_LST[Lot],(LT_LST[Client Id.]=$C300)*(LT_LST[Strategy]=$D300)*(LT_LST[DTE/WTE]=$E300)*(LT_LST[Symbol]=$I300))),"-")</f>
        <v/>
      </c>
    </row>
    <row r="301" spans="3:17" x14ac:dyDescent="0.25">
      <c r="C301" t="str">
        <f t="shared" si="4"/>
        <v/>
      </c>
      <c r="Q301" t="str" cm="1">
        <f t="array" ref="Q301">IFERROR(IF($P301="","",_xlfn._xlws.FILTER(LT_LST[Lot],(LT_LST[Client Id.]=$C301)*(LT_LST[Strategy]=$D301)*(LT_LST[DTE/WTE]=$E301)*(LT_LST[Symbol]=$I301))),"-")</f>
        <v/>
      </c>
    </row>
    <row r="302" spans="3:17" x14ac:dyDescent="0.25">
      <c r="C302" t="str">
        <f t="shared" si="4"/>
        <v/>
      </c>
      <c r="Q302" t="str" cm="1">
        <f t="array" ref="Q302">IFERROR(IF($P302="","",_xlfn._xlws.FILTER(LT_LST[Lot],(LT_LST[Client Id.]=$C302)*(LT_LST[Strategy]=$D302)*(LT_LST[DTE/WTE]=$E302)*(LT_LST[Symbol]=$I302))),"-")</f>
        <v/>
      </c>
    </row>
    <row r="303" spans="3:17" x14ac:dyDescent="0.25">
      <c r="C303" t="str">
        <f t="shared" si="4"/>
        <v/>
      </c>
      <c r="Q303" t="str" cm="1">
        <f t="array" ref="Q303">IFERROR(IF($P303="","",_xlfn._xlws.FILTER(LT_LST[Lot],(LT_LST[Client Id.]=$C303)*(LT_LST[Strategy]=$D303)*(LT_LST[DTE/WTE]=$E303)*(LT_LST[Symbol]=$I303))),"-")</f>
        <v/>
      </c>
    </row>
    <row r="304" spans="3:17" x14ac:dyDescent="0.25">
      <c r="C304" t="str">
        <f t="shared" si="4"/>
        <v/>
      </c>
      <c r="Q304" t="str" cm="1">
        <f t="array" ref="Q304">IFERROR(IF($P304="","",_xlfn._xlws.FILTER(LT_LST[Lot],(LT_LST[Client Id.]=$C304)*(LT_LST[Strategy]=$D304)*(LT_LST[DTE/WTE]=$E304)*(LT_LST[Symbol]=$I304))),"-")</f>
        <v/>
      </c>
    </row>
    <row r="305" spans="3:17" x14ac:dyDescent="0.25">
      <c r="C305" t="str">
        <f t="shared" si="4"/>
        <v/>
      </c>
      <c r="Q305" t="str" cm="1">
        <f t="array" ref="Q305">IFERROR(IF($P305="","",_xlfn._xlws.FILTER(LT_LST[Lot],(LT_LST[Client Id.]=$C305)*(LT_LST[Strategy]=$D305)*(LT_LST[DTE/WTE]=$E305)*(LT_LST[Symbol]=$I305))),"-")</f>
        <v/>
      </c>
    </row>
    <row r="306" spans="3:17" x14ac:dyDescent="0.25">
      <c r="C306" t="str">
        <f t="shared" si="4"/>
        <v/>
      </c>
      <c r="Q306" t="str" cm="1">
        <f t="array" ref="Q306">IFERROR(IF($P306="","",_xlfn._xlws.FILTER(LT_LST[Lot],(LT_LST[Client Id.]=$C306)*(LT_LST[Strategy]=$D306)*(LT_LST[DTE/WTE]=$E306)*(LT_LST[Symbol]=$I306))),"-")</f>
        <v/>
      </c>
    </row>
    <row r="307" spans="3:17" x14ac:dyDescent="0.25">
      <c r="C307" t="str">
        <f t="shared" si="4"/>
        <v/>
      </c>
      <c r="Q307" t="str" cm="1">
        <f t="array" ref="Q307">IFERROR(IF($P307="","",_xlfn._xlws.FILTER(LT_LST[Lot],(LT_LST[Client Id.]=$C307)*(LT_LST[Strategy]=$D307)*(LT_LST[DTE/WTE]=$E307)*(LT_LST[Symbol]=$I307))),"-")</f>
        <v/>
      </c>
    </row>
    <row r="308" spans="3:17" x14ac:dyDescent="0.25">
      <c r="C308" t="str">
        <f t="shared" si="4"/>
        <v/>
      </c>
      <c r="Q308" t="str" cm="1">
        <f t="array" ref="Q308">IFERROR(IF($P308="","",_xlfn._xlws.FILTER(LT_LST[Lot],(LT_LST[Client Id.]=$C308)*(LT_LST[Strategy]=$D308)*(LT_LST[DTE/WTE]=$E308)*(LT_LST[Symbol]=$I308))),"-")</f>
        <v/>
      </c>
    </row>
    <row r="309" spans="3:17" x14ac:dyDescent="0.25">
      <c r="C309" t="str">
        <f t="shared" si="4"/>
        <v/>
      </c>
      <c r="Q309" t="str" cm="1">
        <f t="array" ref="Q309">IFERROR(IF($P309="","",_xlfn._xlws.FILTER(LT_LST[Lot],(LT_LST[Client Id.]=$C309)*(LT_LST[Strategy]=$D309)*(LT_LST[DTE/WTE]=$E309)*(LT_LST[Symbol]=$I309))),"-")</f>
        <v/>
      </c>
    </row>
    <row r="310" spans="3:17" x14ac:dyDescent="0.25">
      <c r="C310" t="str">
        <f t="shared" si="4"/>
        <v/>
      </c>
      <c r="Q310" t="str" cm="1">
        <f t="array" ref="Q310">IFERROR(IF($P310="","",_xlfn._xlws.FILTER(LT_LST[Lot],(LT_LST[Client Id.]=$C310)*(LT_LST[Strategy]=$D310)*(LT_LST[DTE/WTE]=$E310)*(LT_LST[Symbol]=$I310))),"-")</f>
        <v/>
      </c>
    </row>
    <row r="311" spans="3:17" x14ac:dyDescent="0.25">
      <c r="C311" t="str">
        <f t="shared" si="4"/>
        <v/>
      </c>
      <c r="Q311" t="str" cm="1">
        <f t="array" ref="Q311">IFERROR(IF($P311="","",_xlfn._xlws.FILTER(LT_LST[Lot],(LT_LST[Client Id.]=$C311)*(LT_LST[Strategy]=$D311)*(LT_LST[DTE/WTE]=$E311)*(LT_LST[Symbol]=$I311))),"-")</f>
        <v/>
      </c>
    </row>
    <row r="312" spans="3:17" x14ac:dyDescent="0.25">
      <c r="C312" t="str">
        <f t="shared" si="4"/>
        <v/>
      </c>
      <c r="Q312" t="str" cm="1">
        <f t="array" ref="Q312">IFERROR(IF($P312="","",_xlfn._xlws.FILTER(LT_LST[Lot],(LT_LST[Client Id.]=$C312)*(LT_LST[Strategy]=$D312)*(LT_LST[DTE/WTE]=$E312)*(LT_LST[Symbol]=$I312))),"-")</f>
        <v/>
      </c>
    </row>
    <row r="313" spans="3:17" x14ac:dyDescent="0.25">
      <c r="C313" t="str">
        <f t="shared" si="4"/>
        <v/>
      </c>
      <c r="Q313" t="str" cm="1">
        <f t="array" ref="Q313">IFERROR(IF($P313="","",_xlfn._xlws.FILTER(LT_LST[Lot],(LT_LST[Client Id.]=$C313)*(LT_LST[Strategy]=$D313)*(LT_LST[DTE/WTE]=$E313)*(LT_LST[Symbol]=$I313))),"-")</f>
        <v/>
      </c>
    </row>
    <row r="314" spans="3:17" x14ac:dyDescent="0.25">
      <c r="C314" t="str">
        <f t="shared" si="4"/>
        <v/>
      </c>
      <c r="Q314" t="str" cm="1">
        <f t="array" ref="Q314">IFERROR(IF($P314="","",_xlfn._xlws.FILTER(LT_LST[Lot],(LT_LST[Client Id.]=$C314)*(LT_LST[Strategy]=$D314)*(LT_LST[DTE/WTE]=$E314)*(LT_LST[Symbol]=$I314))),"-")</f>
        <v/>
      </c>
    </row>
    <row r="315" spans="3:17" x14ac:dyDescent="0.25">
      <c r="C315" t="str">
        <f t="shared" si="4"/>
        <v/>
      </c>
      <c r="Q315" t="str" cm="1">
        <f t="array" ref="Q315">IFERROR(IF($P315="","",_xlfn._xlws.FILTER(LT_LST[Lot],(LT_LST[Client Id.]=$C315)*(LT_LST[Strategy]=$D315)*(LT_LST[DTE/WTE]=$E315)*(LT_LST[Symbol]=$I315))),"-")</f>
        <v/>
      </c>
    </row>
    <row r="316" spans="3:17" x14ac:dyDescent="0.25">
      <c r="C316" t="str">
        <f t="shared" si="4"/>
        <v/>
      </c>
      <c r="Q316" t="str" cm="1">
        <f t="array" ref="Q316">IFERROR(IF($P316="","",_xlfn._xlws.FILTER(LT_LST[Lot],(LT_LST[Client Id.]=$C316)*(LT_LST[Strategy]=$D316)*(LT_LST[DTE/WTE]=$E316)*(LT_LST[Symbol]=$I316))),"-")</f>
        <v/>
      </c>
    </row>
    <row r="317" spans="3:17" x14ac:dyDescent="0.25">
      <c r="C317" t="str">
        <f t="shared" si="4"/>
        <v/>
      </c>
      <c r="Q317" t="str" cm="1">
        <f t="array" ref="Q317">IFERROR(IF($P317="","",_xlfn._xlws.FILTER(LT_LST[Lot],(LT_LST[Client Id.]=$C317)*(LT_LST[Strategy]=$D317)*(LT_LST[DTE/WTE]=$E317)*(LT_LST[Symbol]=$I317))),"-")</f>
        <v/>
      </c>
    </row>
    <row r="318" spans="3:17" x14ac:dyDescent="0.25">
      <c r="C318" t="str">
        <f t="shared" si="4"/>
        <v/>
      </c>
      <c r="Q318" t="str" cm="1">
        <f t="array" ref="Q318">IFERROR(IF($P318="","",_xlfn._xlws.FILTER(LT_LST[Lot],(LT_LST[Client Id.]=$C318)*(LT_LST[Strategy]=$D318)*(LT_LST[DTE/WTE]=$E318)*(LT_LST[Symbol]=$I318))),"-")</f>
        <v/>
      </c>
    </row>
    <row r="319" spans="3:17" x14ac:dyDescent="0.25">
      <c r="C319" t="str">
        <f t="shared" si="4"/>
        <v/>
      </c>
      <c r="Q319" t="str" cm="1">
        <f t="array" ref="Q319">IFERROR(IF($P319="","",_xlfn._xlws.FILTER(LT_LST[Lot],(LT_LST[Client Id.]=$C319)*(LT_LST[Strategy]=$D319)*(LT_LST[DTE/WTE]=$E319)*(LT_LST[Symbol]=$I319))),"-")</f>
        <v/>
      </c>
    </row>
    <row r="320" spans="3:17" x14ac:dyDescent="0.25">
      <c r="C320" t="str">
        <f t="shared" si="4"/>
        <v/>
      </c>
      <c r="Q320" t="str" cm="1">
        <f t="array" ref="Q320">IFERROR(IF($P320="","",_xlfn._xlws.FILTER(LT_LST[Lot],(LT_LST[Client Id.]=$C320)*(LT_LST[Strategy]=$D320)*(LT_LST[DTE/WTE]=$E320)*(LT_LST[Symbol]=$I320))),"-")</f>
        <v/>
      </c>
    </row>
    <row r="321" spans="3:17" x14ac:dyDescent="0.25">
      <c r="C321" t="str">
        <f t="shared" si="4"/>
        <v/>
      </c>
      <c r="Q321" t="str" cm="1">
        <f t="array" ref="Q321">IFERROR(IF($P321="","",_xlfn._xlws.FILTER(LT_LST[Lot],(LT_LST[Client Id.]=$C321)*(LT_LST[Strategy]=$D321)*(LT_LST[DTE/WTE]=$E321)*(LT_LST[Symbol]=$I321))),"-")</f>
        <v/>
      </c>
    </row>
    <row r="322" spans="3:17" x14ac:dyDescent="0.25">
      <c r="C322" t="str">
        <f t="shared" si="4"/>
        <v/>
      </c>
      <c r="Q322" t="str" cm="1">
        <f t="array" ref="Q322">IFERROR(IF($P322="","",_xlfn._xlws.FILTER(LT_LST[Lot],(LT_LST[Client Id.]=$C322)*(LT_LST[Strategy]=$D322)*(LT_LST[DTE/WTE]=$E322)*(LT_LST[Symbol]=$I322))),"-")</f>
        <v/>
      </c>
    </row>
    <row r="323" spans="3:17" x14ac:dyDescent="0.25">
      <c r="C323" t="str">
        <f t="shared" si="4"/>
        <v/>
      </c>
      <c r="Q323" t="str" cm="1">
        <f t="array" ref="Q323">IFERROR(IF($P323="","",_xlfn._xlws.FILTER(LT_LST[Lot],(LT_LST[Client Id.]=$C323)*(LT_LST[Strategy]=$D323)*(LT_LST[DTE/WTE]=$E323)*(LT_LST[Symbol]=$I323))),"-")</f>
        <v/>
      </c>
    </row>
    <row r="324" spans="3:17" x14ac:dyDescent="0.25">
      <c r="C324" t="str">
        <f t="shared" ref="C324:C385" si="5">IF(D324="","",$A$1)</f>
        <v/>
      </c>
      <c r="Q324" t="str" cm="1">
        <f t="array" ref="Q324">IFERROR(IF($P324="","",_xlfn._xlws.FILTER(LT_LST[Lot],(LT_LST[Client Id.]=$C324)*(LT_LST[Strategy]=$D324)*(LT_LST[DTE/WTE]=$E324)*(LT_LST[Symbol]=$I324))),"-")</f>
        <v/>
      </c>
    </row>
    <row r="325" spans="3:17" x14ac:dyDescent="0.25">
      <c r="C325" t="str">
        <f t="shared" si="5"/>
        <v/>
      </c>
      <c r="Q325" t="str" cm="1">
        <f t="array" ref="Q325">IFERROR(IF($P325="","",_xlfn._xlws.FILTER(LT_LST[Lot],(LT_LST[Client Id.]=$C325)*(LT_LST[Strategy]=$D325)*(LT_LST[DTE/WTE]=$E325)*(LT_LST[Symbol]=$I325))),"-")</f>
        <v/>
      </c>
    </row>
    <row r="326" spans="3:17" x14ac:dyDescent="0.25">
      <c r="C326" t="str">
        <f t="shared" si="5"/>
        <v/>
      </c>
      <c r="Q326" t="str" cm="1">
        <f t="array" ref="Q326">IFERROR(IF($P326="","",_xlfn._xlws.FILTER(LT_LST[Lot],(LT_LST[Client Id.]=$C326)*(LT_LST[Strategy]=$D326)*(LT_LST[DTE/WTE]=$E326)*(LT_LST[Symbol]=$I326))),"-")</f>
        <v/>
      </c>
    </row>
    <row r="327" spans="3:17" x14ac:dyDescent="0.25">
      <c r="C327" t="str">
        <f t="shared" si="5"/>
        <v/>
      </c>
      <c r="Q327" t="str" cm="1">
        <f t="array" ref="Q327">IFERROR(IF($P327="","",_xlfn._xlws.FILTER(LT_LST[Lot],(LT_LST[Client Id.]=$C327)*(LT_LST[Strategy]=$D327)*(LT_LST[DTE/WTE]=$E327)*(LT_LST[Symbol]=$I327))),"-")</f>
        <v/>
      </c>
    </row>
    <row r="328" spans="3:17" x14ac:dyDescent="0.25">
      <c r="C328" t="str">
        <f t="shared" si="5"/>
        <v/>
      </c>
      <c r="Q328" t="str" cm="1">
        <f t="array" ref="Q328">IFERROR(IF($P328="","",_xlfn._xlws.FILTER(LT_LST[Lot],(LT_LST[Client Id.]=$C328)*(LT_LST[Strategy]=$D328)*(LT_LST[DTE/WTE]=$E328)*(LT_LST[Symbol]=$I328))),"-")</f>
        <v/>
      </c>
    </row>
    <row r="329" spans="3:17" x14ac:dyDescent="0.25">
      <c r="C329" t="str">
        <f t="shared" si="5"/>
        <v/>
      </c>
      <c r="Q329" t="str" cm="1">
        <f t="array" ref="Q329">IFERROR(IF($P329="","",_xlfn._xlws.FILTER(LT_LST[Lot],(LT_LST[Client Id.]=$C329)*(LT_LST[Strategy]=$D329)*(LT_LST[DTE/WTE]=$E329)*(LT_LST[Symbol]=$I329))),"-")</f>
        <v/>
      </c>
    </row>
    <row r="330" spans="3:17" x14ac:dyDescent="0.25">
      <c r="C330" t="str">
        <f t="shared" si="5"/>
        <v/>
      </c>
      <c r="Q330" t="str" cm="1">
        <f t="array" ref="Q330">IFERROR(IF($P330="","",_xlfn._xlws.FILTER(LT_LST[Lot],(LT_LST[Client Id.]=$C330)*(LT_LST[Strategy]=$D330)*(LT_LST[DTE/WTE]=$E330)*(LT_LST[Symbol]=$I330))),"-")</f>
        <v/>
      </c>
    </row>
    <row r="331" spans="3:17" x14ac:dyDescent="0.25">
      <c r="C331" t="str">
        <f t="shared" si="5"/>
        <v/>
      </c>
      <c r="Q331" t="str" cm="1">
        <f t="array" ref="Q331">IFERROR(IF($P331="","",_xlfn._xlws.FILTER(LT_LST[Lot],(LT_LST[Client Id.]=$C331)*(LT_LST[Strategy]=$D331)*(LT_LST[DTE/WTE]=$E331)*(LT_LST[Symbol]=$I331))),"-")</f>
        <v/>
      </c>
    </row>
    <row r="332" spans="3:17" x14ac:dyDescent="0.25">
      <c r="C332" t="str">
        <f t="shared" si="5"/>
        <v/>
      </c>
      <c r="Q332" t="str" cm="1">
        <f t="array" ref="Q332">IFERROR(IF($P332="","",_xlfn._xlws.FILTER(LT_LST[Lot],(LT_LST[Client Id.]=$C332)*(LT_LST[Strategy]=$D332)*(LT_LST[DTE/WTE]=$E332)*(LT_LST[Symbol]=$I332))),"-")</f>
        <v/>
      </c>
    </row>
    <row r="333" spans="3:17" x14ac:dyDescent="0.25">
      <c r="C333" t="str">
        <f t="shared" si="5"/>
        <v/>
      </c>
      <c r="Q333" t="str" cm="1">
        <f t="array" ref="Q333">IFERROR(IF($P333="","",_xlfn._xlws.FILTER(LT_LST[Lot],(LT_LST[Client Id.]=$C333)*(LT_LST[Strategy]=$D333)*(LT_LST[DTE/WTE]=$E333)*(LT_LST[Symbol]=$I333))),"-")</f>
        <v/>
      </c>
    </row>
    <row r="334" spans="3:17" x14ac:dyDescent="0.25">
      <c r="C334" t="str">
        <f t="shared" si="5"/>
        <v/>
      </c>
      <c r="Q334" t="str" cm="1">
        <f t="array" ref="Q334">IFERROR(IF($P334="","",_xlfn._xlws.FILTER(LT_LST[Lot],(LT_LST[Client Id.]=$C334)*(LT_LST[Strategy]=$D334)*(LT_LST[DTE/WTE]=$E334)*(LT_LST[Symbol]=$I334))),"-")</f>
        <v/>
      </c>
    </row>
    <row r="335" spans="3:17" x14ac:dyDescent="0.25">
      <c r="C335" t="str">
        <f t="shared" si="5"/>
        <v/>
      </c>
      <c r="Q335" t="str" cm="1">
        <f t="array" ref="Q335">IFERROR(IF($P335="","",_xlfn._xlws.FILTER(LT_LST[Lot],(LT_LST[Client Id.]=$C335)*(LT_LST[Strategy]=$D335)*(LT_LST[DTE/WTE]=$E335)*(LT_LST[Symbol]=$I335))),"-")</f>
        <v/>
      </c>
    </row>
    <row r="336" spans="3:17" x14ac:dyDescent="0.25">
      <c r="C336" t="str">
        <f t="shared" si="5"/>
        <v/>
      </c>
      <c r="Q336" t="str" cm="1">
        <f t="array" ref="Q336">IFERROR(IF($P336="","",_xlfn._xlws.FILTER(LT_LST[Lot],(LT_LST[Client Id.]=$C336)*(LT_LST[Strategy]=$D336)*(LT_LST[DTE/WTE]=$E336)*(LT_LST[Symbol]=$I336))),"-")</f>
        <v/>
      </c>
    </row>
    <row r="337" spans="3:17" x14ac:dyDescent="0.25">
      <c r="C337" t="str">
        <f t="shared" si="5"/>
        <v/>
      </c>
      <c r="Q337" t="str" cm="1">
        <f t="array" ref="Q337">IFERROR(IF($P337="","",_xlfn._xlws.FILTER(LT_LST[Lot],(LT_LST[Client Id.]=$C337)*(LT_LST[Strategy]=$D337)*(LT_LST[DTE/WTE]=$E337)*(LT_LST[Symbol]=$I337))),"-")</f>
        <v/>
      </c>
    </row>
    <row r="338" spans="3:17" x14ac:dyDescent="0.25">
      <c r="C338" t="str">
        <f t="shared" si="5"/>
        <v/>
      </c>
      <c r="Q338" t="str" cm="1">
        <f t="array" ref="Q338">IFERROR(IF($P338="","",_xlfn._xlws.FILTER(LT_LST[Lot],(LT_LST[Client Id.]=$C338)*(LT_LST[Strategy]=$D338)*(LT_LST[DTE/WTE]=$E338)*(LT_LST[Symbol]=$I338))),"-")</f>
        <v/>
      </c>
    </row>
    <row r="339" spans="3:17" x14ac:dyDescent="0.25">
      <c r="C339" t="str">
        <f t="shared" si="5"/>
        <v/>
      </c>
      <c r="Q339" t="str" cm="1">
        <f t="array" ref="Q339">IFERROR(IF($P339="","",_xlfn._xlws.FILTER(LT_LST[Lot],(LT_LST[Client Id.]=$C339)*(LT_LST[Strategy]=$D339)*(LT_LST[DTE/WTE]=$E339)*(LT_LST[Symbol]=$I339))),"-")</f>
        <v/>
      </c>
    </row>
    <row r="340" spans="3:17" x14ac:dyDescent="0.25">
      <c r="C340" t="str">
        <f t="shared" si="5"/>
        <v/>
      </c>
      <c r="Q340" t="str" cm="1">
        <f t="array" ref="Q340">IFERROR(IF($P340="","",_xlfn._xlws.FILTER(LT_LST[Lot],(LT_LST[Client Id.]=$C340)*(LT_LST[Strategy]=$D340)*(LT_LST[DTE/WTE]=$E340)*(LT_LST[Symbol]=$I340))),"-")</f>
        <v/>
      </c>
    </row>
    <row r="341" spans="3:17" x14ac:dyDescent="0.25">
      <c r="C341" t="str">
        <f t="shared" si="5"/>
        <v/>
      </c>
      <c r="Q341" t="str" cm="1">
        <f t="array" ref="Q341">IFERROR(IF($P341="","",_xlfn._xlws.FILTER(LT_LST[Lot],(LT_LST[Client Id.]=$C341)*(LT_LST[Strategy]=$D341)*(LT_LST[DTE/WTE]=$E341)*(LT_LST[Symbol]=$I341))),"-")</f>
        <v/>
      </c>
    </row>
    <row r="342" spans="3:17" x14ac:dyDescent="0.25">
      <c r="C342" t="str">
        <f t="shared" si="5"/>
        <v/>
      </c>
      <c r="Q342" t="str" cm="1">
        <f t="array" ref="Q342">IFERROR(IF($P342="","",_xlfn._xlws.FILTER(LT_LST[Lot],(LT_LST[Client Id.]=$C342)*(LT_LST[Strategy]=$D342)*(LT_LST[DTE/WTE]=$E342)*(LT_LST[Symbol]=$I342))),"-")</f>
        <v/>
      </c>
    </row>
    <row r="343" spans="3:17" x14ac:dyDescent="0.25">
      <c r="C343" t="str">
        <f t="shared" si="5"/>
        <v/>
      </c>
      <c r="Q343" t="str" cm="1">
        <f t="array" ref="Q343">IFERROR(IF($P343="","",_xlfn._xlws.FILTER(LT_LST[Lot],(LT_LST[Client Id.]=$C343)*(LT_LST[Strategy]=$D343)*(LT_LST[DTE/WTE]=$E343)*(LT_LST[Symbol]=$I343))),"-")</f>
        <v/>
      </c>
    </row>
    <row r="344" spans="3:17" x14ac:dyDescent="0.25">
      <c r="C344" t="str">
        <f t="shared" si="5"/>
        <v/>
      </c>
      <c r="Q344" t="str" cm="1">
        <f t="array" ref="Q344">IFERROR(IF($P344="","",_xlfn._xlws.FILTER(LT_LST[Lot],(LT_LST[Client Id.]=$C344)*(LT_LST[Strategy]=$D344)*(LT_LST[DTE/WTE]=$E344)*(LT_LST[Symbol]=$I344))),"-")</f>
        <v/>
      </c>
    </row>
    <row r="345" spans="3:17" x14ac:dyDescent="0.25">
      <c r="C345" t="str">
        <f t="shared" si="5"/>
        <v/>
      </c>
      <c r="Q345" t="str" cm="1">
        <f t="array" ref="Q345">IFERROR(IF($P345="","",_xlfn._xlws.FILTER(LT_LST[Lot],(LT_LST[Client Id.]=$C345)*(LT_LST[Strategy]=$D345)*(LT_LST[DTE/WTE]=$E345)*(LT_LST[Symbol]=$I345))),"-")</f>
        <v/>
      </c>
    </row>
    <row r="346" spans="3:17" x14ac:dyDescent="0.25">
      <c r="C346" t="str">
        <f t="shared" si="5"/>
        <v/>
      </c>
      <c r="Q346" t="str" cm="1">
        <f t="array" ref="Q346">IFERROR(IF($P346="","",_xlfn._xlws.FILTER(LT_LST[Lot],(LT_LST[Client Id.]=$C346)*(LT_LST[Strategy]=$D346)*(LT_LST[DTE/WTE]=$E346)*(LT_LST[Symbol]=$I346))),"-")</f>
        <v/>
      </c>
    </row>
    <row r="347" spans="3:17" x14ac:dyDescent="0.25">
      <c r="C347" t="str">
        <f t="shared" si="5"/>
        <v/>
      </c>
      <c r="Q347" t="str" cm="1">
        <f t="array" ref="Q347">IFERROR(IF($P347="","",_xlfn._xlws.FILTER(LT_LST[Lot],(LT_LST[Client Id.]=$C347)*(LT_LST[Strategy]=$D347)*(LT_LST[DTE/WTE]=$E347)*(LT_LST[Symbol]=$I347))),"-")</f>
        <v/>
      </c>
    </row>
    <row r="348" spans="3:17" x14ac:dyDescent="0.25">
      <c r="C348" t="str">
        <f t="shared" si="5"/>
        <v/>
      </c>
      <c r="Q348" t="str" cm="1">
        <f t="array" ref="Q348">IFERROR(IF($P348="","",_xlfn._xlws.FILTER(LT_LST[Lot],(LT_LST[Client Id.]=$C348)*(LT_LST[Strategy]=$D348)*(LT_LST[DTE/WTE]=$E348)*(LT_LST[Symbol]=$I348))),"-")</f>
        <v/>
      </c>
    </row>
    <row r="349" spans="3:17" x14ac:dyDescent="0.25">
      <c r="C349" t="str">
        <f t="shared" si="5"/>
        <v/>
      </c>
      <c r="Q349" t="str" cm="1">
        <f t="array" ref="Q349">IFERROR(IF($P349="","",_xlfn._xlws.FILTER(LT_LST[Lot],(LT_LST[Client Id.]=$C349)*(LT_LST[Strategy]=$D349)*(LT_LST[DTE/WTE]=$E349)*(LT_LST[Symbol]=$I349))),"-")</f>
        <v/>
      </c>
    </row>
    <row r="350" spans="3:17" x14ac:dyDescent="0.25">
      <c r="C350" t="str">
        <f t="shared" si="5"/>
        <v/>
      </c>
      <c r="Q350" t="str" cm="1">
        <f t="array" ref="Q350">IFERROR(IF($P350="","",_xlfn._xlws.FILTER(LT_LST[Lot],(LT_LST[Client Id.]=$C350)*(LT_LST[Strategy]=$D350)*(LT_LST[DTE/WTE]=$E350)*(LT_LST[Symbol]=$I350))),"-")</f>
        <v/>
      </c>
    </row>
    <row r="351" spans="3:17" x14ac:dyDescent="0.25">
      <c r="C351" t="str">
        <f t="shared" si="5"/>
        <v/>
      </c>
      <c r="Q351" t="str" cm="1">
        <f t="array" ref="Q351">IFERROR(IF($P351="","",_xlfn._xlws.FILTER(LT_LST[Lot],(LT_LST[Client Id.]=$C351)*(LT_LST[Strategy]=$D351)*(LT_LST[DTE/WTE]=$E351)*(LT_LST[Symbol]=$I351))),"-")</f>
        <v/>
      </c>
    </row>
    <row r="352" spans="3:17" x14ac:dyDescent="0.25">
      <c r="C352" t="str">
        <f t="shared" si="5"/>
        <v/>
      </c>
      <c r="Q352" t="str" cm="1">
        <f t="array" ref="Q352">IFERROR(IF($P352="","",_xlfn._xlws.FILTER(LT_LST[Lot],(LT_LST[Client Id.]=$C352)*(LT_LST[Strategy]=$D352)*(LT_LST[DTE/WTE]=$E352)*(LT_LST[Symbol]=$I352))),"-")</f>
        <v/>
      </c>
    </row>
    <row r="353" spans="3:17" x14ac:dyDescent="0.25">
      <c r="C353" t="str">
        <f t="shared" si="5"/>
        <v/>
      </c>
      <c r="Q353" t="str" cm="1">
        <f t="array" ref="Q353">IFERROR(IF($P353="","",_xlfn._xlws.FILTER(LT_LST[Lot],(LT_LST[Client Id.]=$C353)*(LT_LST[Strategy]=$D353)*(LT_LST[DTE/WTE]=$E353)*(LT_LST[Symbol]=$I353))),"-")</f>
        <v/>
      </c>
    </row>
    <row r="354" spans="3:17" x14ac:dyDescent="0.25">
      <c r="C354" t="str">
        <f t="shared" si="5"/>
        <v/>
      </c>
      <c r="Q354" t="str" cm="1">
        <f t="array" ref="Q354">IFERROR(IF($P354="","",_xlfn._xlws.FILTER(LT_LST[Lot],(LT_LST[Client Id.]=$C354)*(LT_LST[Strategy]=$D354)*(LT_LST[DTE/WTE]=$E354)*(LT_LST[Symbol]=$I354))),"-")</f>
        <v/>
      </c>
    </row>
    <row r="355" spans="3:17" x14ac:dyDescent="0.25">
      <c r="C355" t="str">
        <f t="shared" si="5"/>
        <v/>
      </c>
      <c r="Q355" t="str" cm="1">
        <f t="array" ref="Q355">IFERROR(IF($P355="","",_xlfn._xlws.FILTER(LT_LST[Lot],(LT_LST[Client Id.]=$C355)*(LT_LST[Strategy]=$D355)*(LT_LST[DTE/WTE]=$E355)*(LT_LST[Symbol]=$I355))),"-")</f>
        <v/>
      </c>
    </row>
    <row r="356" spans="3:17" x14ac:dyDescent="0.25">
      <c r="C356" t="str">
        <f t="shared" si="5"/>
        <v/>
      </c>
      <c r="Q356" t="str" cm="1">
        <f t="array" ref="Q356">IFERROR(IF($P356="","",_xlfn._xlws.FILTER(LT_LST[Lot],(LT_LST[Client Id.]=$C356)*(LT_LST[Strategy]=$D356)*(LT_LST[DTE/WTE]=$E356)*(LT_LST[Symbol]=$I356))),"-")</f>
        <v/>
      </c>
    </row>
    <row r="357" spans="3:17" x14ac:dyDescent="0.25">
      <c r="C357" t="str">
        <f t="shared" si="5"/>
        <v/>
      </c>
      <c r="Q357" t="str" cm="1">
        <f t="array" ref="Q357">IFERROR(IF($P357="","",_xlfn._xlws.FILTER(LT_LST[Lot],(LT_LST[Client Id.]=$C357)*(LT_LST[Strategy]=$D357)*(LT_LST[DTE/WTE]=$E357)*(LT_LST[Symbol]=$I357))),"-")</f>
        <v/>
      </c>
    </row>
    <row r="358" spans="3:17" x14ac:dyDescent="0.25">
      <c r="C358" t="str">
        <f t="shared" si="5"/>
        <v/>
      </c>
      <c r="Q358" t="str" cm="1">
        <f t="array" ref="Q358">IFERROR(IF($P358="","",_xlfn._xlws.FILTER(LT_LST[Lot],(LT_LST[Client Id.]=$C358)*(LT_LST[Strategy]=$D358)*(LT_LST[DTE/WTE]=$E358)*(LT_LST[Symbol]=$I358))),"-")</f>
        <v/>
      </c>
    </row>
    <row r="359" spans="3:17" x14ac:dyDescent="0.25">
      <c r="C359" t="str">
        <f t="shared" si="5"/>
        <v/>
      </c>
      <c r="Q359" t="str" cm="1">
        <f t="array" ref="Q359">IFERROR(IF($P359="","",_xlfn._xlws.FILTER(LT_LST[Lot],(LT_LST[Client Id.]=$C359)*(LT_LST[Strategy]=$D359)*(LT_LST[DTE/WTE]=$E359)*(LT_LST[Symbol]=$I359))),"-")</f>
        <v/>
      </c>
    </row>
    <row r="360" spans="3:17" x14ac:dyDescent="0.25">
      <c r="C360" t="str">
        <f t="shared" si="5"/>
        <v/>
      </c>
      <c r="Q360" t="str" cm="1">
        <f t="array" ref="Q360">IFERROR(IF($P360="","",_xlfn._xlws.FILTER(LT_LST[Lot],(LT_LST[Client Id.]=$C360)*(LT_LST[Strategy]=$D360)*(LT_LST[DTE/WTE]=$E360)*(LT_LST[Symbol]=$I360))),"-")</f>
        <v/>
      </c>
    </row>
    <row r="361" spans="3:17" x14ac:dyDescent="0.25">
      <c r="C361" t="str">
        <f t="shared" si="5"/>
        <v/>
      </c>
      <c r="Q361" t="str" cm="1">
        <f t="array" ref="Q361">IFERROR(IF($P361="","",_xlfn._xlws.FILTER(LT_LST[Lot],(LT_LST[Client Id.]=$C361)*(LT_LST[Strategy]=$D361)*(LT_LST[DTE/WTE]=$E361)*(LT_LST[Symbol]=$I361))),"-")</f>
        <v/>
      </c>
    </row>
    <row r="362" spans="3:17" x14ac:dyDescent="0.25">
      <c r="C362" t="str">
        <f t="shared" si="5"/>
        <v/>
      </c>
      <c r="Q362" t="str" cm="1">
        <f t="array" ref="Q362">IFERROR(IF($P362="","",_xlfn._xlws.FILTER(LT_LST[Lot],(LT_LST[Client Id.]=$C362)*(LT_LST[Strategy]=$D362)*(LT_LST[DTE/WTE]=$E362)*(LT_LST[Symbol]=$I362))),"-")</f>
        <v/>
      </c>
    </row>
    <row r="363" spans="3:17" x14ac:dyDescent="0.25">
      <c r="C363" t="str">
        <f t="shared" si="5"/>
        <v/>
      </c>
      <c r="Q363" t="str" cm="1">
        <f t="array" ref="Q363">IFERROR(IF($P363="","",_xlfn._xlws.FILTER(LT_LST[Lot],(LT_LST[Client Id.]=$C363)*(LT_LST[Strategy]=$D363)*(LT_LST[DTE/WTE]=$E363)*(LT_LST[Symbol]=$I363))),"-")</f>
        <v/>
      </c>
    </row>
    <row r="364" spans="3:17" x14ac:dyDescent="0.25">
      <c r="C364" t="str">
        <f t="shared" si="5"/>
        <v/>
      </c>
      <c r="Q364" t="str" cm="1">
        <f t="array" ref="Q364">IFERROR(IF($P364="","",_xlfn._xlws.FILTER(LT_LST[Lot],(LT_LST[Client Id.]=$C364)*(LT_LST[Strategy]=$D364)*(LT_LST[DTE/WTE]=$E364)*(LT_LST[Symbol]=$I364))),"-")</f>
        <v/>
      </c>
    </row>
    <row r="365" spans="3:17" x14ac:dyDescent="0.25">
      <c r="C365" t="str">
        <f t="shared" si="5"/>
        <v/>
      </c>
      <c r="Q365" t="str" cm="1">
        <f t="array" ref="Q365">IFERROR(IF($P365="","",_xlfn._xlws.FILTER(LT_LST[Lot],(LT_LST[Client Id.]=$C365)*(LT_LST[Strategy]=$D365)*(LT_LST[DTE/WTE]=$E365)*(LT_LST[Symbol]=$I365))),"-")</f>
        <v/>
      </c>
    </row>
    <row r="366" spans="3:17" x14ac:dyDescent="0.25">
      <c r="C366" t="str">
        <f t="shared" si="5"/>
        <v/>
      </c>
      <c r="Q366" t="str" cm="1">
        <f t="array" ref="Q366">IFERROR(IF($P366="","",_xlfn._xlws.FILTER(LT_LST[Lot],(LT_LST[Client Id.]=$C366)*(LT_LST[Strategy]=$D366)*(LT_LST[DTE/WTE]=$E366)*(LT_LST[Symbol]=$I366))),"-")</f>
        <v/>
      </c>
    </row>
    <row r="367" spans="3:17" x14ac:dyDescent="0.25">
      <c r="C367" t="str">
        <f t="shared" si="5"/>
        <v/>
      </c>
      <c r="Q367" t="str" cm="1">
        <f t="array" ref="Q367">IFERROR(IF($P367="","",_xlfn._xlws.FILTER(LT_LST[Lot],(LT_LST[Client Id.]=$C367)*(LT_LST[Strategy]=$D367)*(LT_LST[DTE/WTE]=$E367)*(LT_LST[Symbol]=$I367))),"-")</f>
        <v/>
      </c>
    </row>
    <row r="368" spans="3:17" x14ac:dyDescent="0.25">
      <c r="C368" t="str">
        <f t="shared" si="5"/>
        <v/>
      </c>
      <c r="Q368" t="str" cm="1">
        <f t="array" ref="Q368">IFERROR(IF($P368="","",_xlfn._xlws.FILTER(LT_LST[Lot],(LT_LST[Client Id.]=$C368)*(LT_LST[Strategy]=$D368)*(LT_LST[DTE/WTE]=$E368)*(LT_LST[Symbol]=$I368))),"-")</f>
        <v/>
      </c>
    </row>
    <row r="369" spans="3:17" x14ac:dyDescent="0.25">
      <c r="C369" t="str">
        <f t="shared" si="5"/>
        <v/>
      </c>
      <c r="Q369" t="str" cm="1">
        <f t="array" ref="Q369">IFERROR(IF($P369="","",_xlfn._xlws.FILTER(LT_LST[Lot],(LT_LST[Client Id.]=$C369)*(LT_LST[Strategy]=$D369)*(LT_LST[DTE/WTE]=$E369)*(LT_LST[Symbol]=$I369))),"-")</f>
        <v/>
      </c>
    </row>
    <row r="370" spans="3:17" x14ac:dyDescent="0.25">
      <c r="C370" t="str">
        <f t="shared" si="5"/>
        <v/>
      </c>
      <c r="Q370" t="str" cm="1">
        <f t="array" ref="Q370">IFERROR(IF($P370="","",_xlfn._xlws.FILTER(LT_LST[Lot],(LT_LST[Client Id.]=$C370)*(LT_LST[Strategy]=$D370)*(LT_LST[DTE/WTE]=$E370)*(LT_LST[Symbol]=$I370))),"-")</f>
        <v/>
      </c>
    </row>
    <row r="371" spans="3:17" x14ac:dyDescent="0.25">
      <c r="C371" t="str">
        <f t="shared" si="5"/>
        <v/>
      </c>
      <c r="Q371" t="str" cm="1">
        <f t="array" ref="Q371">IFERROR(IF($P371="","",_xlfn._xlws.FILTER(LT_LST[Lot],(LT_LST[Client Id.]=$C371)*(LT_LST[Strategy]=$D371)*(LT_LST[DTE/WTE]=$E371)*(LT_LST[Symbol]=$I371))),"-")</f>
        <v/>
      </c>
    </row>
    <row r="372" spans="3:17" x14ac:dyDescent="0.25">
      <c r="C372" t="str">
        <f t="shared" si="5"/>
        <v/>
      </c>
      <c r="Q372" t="str" cm="1">
        <f t="array" ref="Q372">IFERROR(IF($P372="","",_xlfn._xlws.FILTER(LT_LST[Lot],(LT_LST[Client Id.]=$C372)*(LT_LST[Strategy]=$D372)*(LT_LST[DTE/WTE]=$E372)*(LT_LST[Symbol]=$I372))),"-")</f>
        <v/>
      </c>
    </row>
    <row r="373" spans="3:17" x14ac:dyDescent="0.25">
      <c r="C373" t="str">
        <f t="shared" si="5"/>
        <v/>
      </c>
      <c r="Q373" t="str" cm="1">
        <f t="array" ref="Q373">IFERROR(IF($P373="","",_xlfn._xlws.FILTER(LT_LST[Lot],(LT_LST[Client Id.]=$C373)*(LT_LST[Strategy]=$D373)*(LT_LST[DTE/WTE]=$E373)*(LT_LST[Symbol]=$I373))),"-")</f>
        <v/>
      </c>
    </row>
    <row r="374" spans="3:17" x14ac:dyDescent="0.25">
      <c r="C374" t="str">
        <f t="shared" si="5"/>
        <v/>
      </c>
      <c r="Q374" t="str" cm="1">
        <f t="array" ref="Q374">IFERROR(IF($P374="","",_xlfn._xlws.FILTER(LT_LST[Lot],(LT_LST[Client Id.]=$C374)*(LT_LST[Strategy]=$D374)*(LT_LST[DTE/WTE]=$E374)*(LT_LST[Symbol]=$I374))),"-")</f>
        <v/>
      </c>
    </row>
    <row r="375" spans="3:17" x14ac:dyDescent="0.25">
      <c r="C375" t="str">
        <f t="shared" si="5"/>
        <v/>
      </c>
      <c r="Q375" t="str" cm="1">
        <f t="array" ref="Q375">IFERROR(IF($P375="","",_xlfn._xlws.FILTER(LT_LST[Lot],(LT_LST[Client Id.]=$C375)*(LT_LST[Strategy]=$D375)*(LT_LST[DTE/WTE]=$E375)*(LT_LST[Symbol]=$I375))),"-")</f>
        <v/>
      </c>
    </row>
    <row r="376" spans="3:17" x14ac:dyDescent="0.25">
      <c r="C376" t="str">
        <f t="shared" si="5"/>
        <v/>
      </c>
    </row>
    <row r="377" spans="3:17" x14ac:dyDescent="0.25">
      <c r="C377" t="str">
        <f t="shared" si="5"/>
        <v/>
      </c>
    </row>
    <row r="378" spans="3:17" x14ac:dyDescent="0.25">
      <c r="C378" t="str">
        <f t="shared" si="5"/>
        <v/>
      </c>
    </row>
    <row r="379" spans="3:17" x14ac:dyDescent="0.25">
      <c r="C379" t="str">
        <f t="shared" si="5"/>
        <v/>
      </c>
    </row>
    <row r="380" spans="3:17" x14ac:dyDescent="0.25">
      <c r="C380" t="str">
        <f t="shared" si="5"/>
        <v/>
      </c>
    </row>
    <row r="381" spans="3:17" x14ac:dyDescent="0.25">
      <c r="C381" t="str">
        <f t="shared" si="5"/>
        <v/>
      </c>
    </row>
    <row r="382" spans="3:17" x14ac:dyDescent="0.25">
      <c r="C382" t="str">
        <f t="shared" si="5"/>
        <v/>
      </c>
    </row>
    <row r="383" spans="3:17" x14ac:dyDescent="0.25">
      <c r="C383" t="str">
        <f t="shared" si="5"/>
        <v/>
      </c>
    </row>
    <row r="384" spans="3:17" x14ac:dyDescent="0.25">
      <c r="C384" t="str">
        <f t="shared" si="5"/>
        <v/>
      </c>
    </row>
    <row r="385" spans="3:3" x14ac:dyDescent="0.25">
      <c r="C385" t="str">
        <f t="shared" si="5"/>
        <v/>
      </c>
    </row>
  </sheetData>
  <conditionalFormatting sqref="C2:Q2">
    <cfRule type="notContainsBlanks" dxfId="40" priority="4">
      <formula>LEN(TRIM(C2))&gt;0</formula>
    </cfRule>
  </conditionalFormatting>
  <conditionalFormatting sqref="D3">
    <cfRule type="notContainsBlanks" dxfId="39" priority="3">
      <formula>LEN(TRIM(D3))&gt;0</formula>
    </cfRule>
  </conditionalFormatting>
  <conditionalFormatting sqref="C3:C385">
    <cfRule type="notContainsBlanks" dxfId="38" priority="2">
      <formula>LEN(TRIM(C3))&gt;0</formula>
    </cfRule>
  </conditionalFormatting>
  <conditionalFormatting sqref="Q3:Q375">
    <cfRule type="notContainsBlanks" dxfId="37" priority="1">
      <formula>LEN(TRIM(Q3))&gt;0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1A70-4A13-41E4-9801-1400B2D76EB5}">
  <sheetPr codeName="Sheet33"/>
  <dimension ref="A1:Q277"/>
  <sheetViews>
    <sheetView topLeftCell="A4" workbookViewId="0">
      <selection activeCell="O16" sqref="O16"/>
    </sheetView>
  </sheetViews>
  <sheetFormatPr defaultRowHeight="15" x14ac:dyDescent="0.25"/>
  <cols>
    <col min="7" max="7" width="17.5703125" bestFit="1" customWidth="1"/>
    <col min="10" max="10" width="10.42578125" style="50" bestFit="1" customWidth="1"/>
    <col min="11" max="12" width="11.28515625" style="75" bestFit="1" customWidth="1"/>
    <col min="16" max="16" width="9.140625" style="77"/>
  </cols>
  <sheetData>
    <row r="1" spans="1:17" x14ac:dyDescent="0.25">
      <c r="A1" s="73" t="s">
        <v>229</v>
      </c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74" t="s">
        <v>128</v>
      </c>
      <c r="K2" s="76" t="s">
        <v>129</v>
      </c>
      <c r="L2" s="76" t="s">
        <v>130</v>
      </c>
      <c r="M2" s="66" t="s">
        <v>131</v>
      </c>
      <c r="N2" s="66" t="s">
        <v>132</v>
      </c>
      <c r="O2" s="66" t="s">
        <v>133</v>
      </c>
      <c r="P2" s="78" t="s">
        <v>134</v>
      </c>
      <c r="Q2" s="66" t="s">
        <v>199</v>
      </c>
    </row>
    <row r="3" spans="1:17" x14ac:dyDescent="0.25">
      <c r="C3" t="str">
        <f ca="1">IF(D3="","",$A$1)</f>
        <v>SAT2484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>
        <f ca="1"/>
        <v>1</v>
      </c>
      <c r="F3" t="str">
        <f ca="1"/>
        <v>Derivatives</v>
      </c>
      <c r="G3" t="str">
        <f ca="1"/>
        <v>NF_ATM DY_14:00</v>
      </c>
      <c r="H3" t="str">
        <f ca="1"/>
        <v>NSE</v>
      </c>
      <c r="I3" t="str">
        <f ca="1"/>
        <v>NIFTY</v>
      </c>
      <c r="J3" s="50">
        <f ca="1"/>
        <v>46125</v>
      </c>
      <c r="K3" s="75">
        <f ca="1"/>
        <v>0.58333333333333337</v>
      </c>
      <c r="L3" s="75">
        <f ca="1"/>
        <v>0.1423611111111111</v>
      </c>
      <c r="M3" t="str">
        <f ca="1"/>
        <v>ATM</v>
      </c>
      <c r="N3" t="str">
        <f ca="1"/>
        <v>CE&amp; PE Both</v>
      </c>
      <c r="O3" t="str">
        <f ca="1"/>
        <v>Sell</v>
      </c>
      <c r="P3" s="77">
        <f ca="1"/>
        <v>0.7</v>
      </c>
      <c r="Q3" cm="1">
        <f t="array" aca="1" ref="Q3" ca="1">IFERROR(IF($P3="","",_xlfn._xlws.FILTER(LT_LST[Lot],(LT_LST[Client Id.]=$C3)*(LT_LST[Strategy]=$D3)*(LT_LST[DTE/WTE]=$E3)*(LT_LST[Symbol]=$I3))),"-")</f>
        <v>2</v>
      </c>
    </row>
    <row r="4" spans="1:17" x14ac:dyDescent="0.25">
      <c r="C4" t="str">
        <f t="shared" ref="C4:C67" ca="1" si="0">IF(D4="","",$A$1)</f>
        <v>SAT2484</v>
      </c>
      <c r="D4" t="str">
        <f ca="1"/>
        <v>DYNAMIC SL</v>
      </c>
      <c r="E4">
        <f ca="1"/>
        <v>1</v>
      </c>
      <c r="F4" t="str">
        <f ca="1"/>
        <v>Derivatives</v>
      </c>
      <c r="G4" t="str">
        <f ca="1"/>
        <v>NF_ATM DY_14:15</v>
      </c>
      <c r="H4" t="str">
        <f ca="1"/>
        <v>NSE</v>
      </c>
      <c r="I4" t="str">
        <f ca="1"/>
        <v>NIFTY</v>
      </c>
      <c r="J4" s="50">
        <f ca="1"/>
        <v>46125</v>
      </c>
      <c r="K4" s="75">
        <f ca="1"/>
        <v>0.59375</v>
      </c>
      <c r="L4" s="75">
        <f ca="1"/>
        <v>0.1423611111111111</v>
      </c>
      <c r="M4" t="str">
        <f ca="1"/>
        <v>ATM</v>
      </c>
      <c r="N4" t="str">
        <f ca="1"/>
        <v>CE&amp; PE Both</v>
      </c>
      <c r="O4" t="str">
        <f ca="1"/>
        <v>Sell</v>
      </c>
      <c r="P4" s="77">
        <f ca="1"/>
        <v>0.7</v>
      </c>
      <c r="Q4" cm="1">
        <f t="array" aca="1" ref="Q4" ca="1">IFERROR(IF($P4="","",_xlfn._xlws.FILTER(LT_LST[Lot],(LT_LST[Client Id.]=$C4)*(LT_LST[Strategy]=$D4)*(LT_LST[DTE/WTE]=$E4)*(LT_LST[Symbol]=$I4))),"-")</f>
        <v>2</v>
      </c>
    </row>
    <row r="5" spans="1:17" x14ac:dyDescent="0.25">
      <c r="C5" t="str">
        <f t="shared" ca="1" si="0"/>
        <v>SAT2484</v>
      </c>
      <c r="D5" t="str">
        <f ca="1"/>
        <v>DYNAMIC SL</v>
      </c>
      <c r="E5">
        <f ca="1"/>
        <v>1</v>
      </c>
      <c r="F5" t="str">
        <f ca="1"/>
        <v>Derivatives</v>
      </c>
      <c r="G5" t="str">
        <f ca="1"/>
        <v>NF_ATM DY_14:30</v>
      </c>
      <c r="H5" t="str">
        <f ca="1"/>
        <v>NSE</v>
      </c>
      <c r="I5" t="str">
        <f ca="1"/>
        <v>NIFTY</v>
      </c>
      <c r="J5" s="50">
        <f ca="1"/>
        <v>46125</v>
      </c>
      <c r="K5" s="75">
        <f ca="1"/>
        <v>0.60416666666666663</v>
      </c>
      <c r="L5" s="75">
        <f ca="1"/>
        <v>0.1423611111111111</v>
      </c>
      <c r="M5" t="str">
        <f ca="1"/>
        <v>ATM</v>
      </c>
      <c r="N5" t="str">
        <f ca="1"/>
        <v>CE&amp; PE Both</v>
      </c>
      <c r="O5" t="str">
        <f ca="1"/>
        <v>Sell</v>
      </c>
      <c r="P5" s="77">
        <f ca="1"/>
        <v>0.7</v>
      </c>
      <c r="Q5" cm="1">
        <f t="array" aca="1" ref="Q5" ca="1">IFERROR(IF($P5="","",_xlfn._xlws.FILTER(LT_LST[Lot],(LT_LST[Client Id.]=$C5)*(LT_LST[Strategy]=$D5)*(LT_LST[DTE/WTE]=$E5)*(LT_LST[Symbol]=$I5))),"-")</f>
        <v>2</v>
      </c>
    </row>
    <row r="6" spans="1:17" x14ac:dyDescent="0.25">
      <c r="C6" t="str">
        <f t="shared" ca="1" si="0"/>
        <v>SAT2484</v>
      </c>
      <c r="D6" t="str">
        <f ca="1"/>
        <v>DYNAMIC SL</v>
      </c>
      <c r="E6">
        <f ca="1"/>
        <v>1</v>
      </c>
      <c r="F6" t="str">
        <f ca="1"/>
        <v>Derivatives</v>
      </c>
      <c r="G6" t="str">
        <f ca="1"/>
        <v>NF_ATM DY_14:45</v>
      </c>
      <c r="H6" t="str">
        <f ca="1"/>
        <v>NSE</v>
      </c>
      <c r="I6" t="str">
        <f ca="1"/>
        <v>NIFTY</v>
      </c>
      <c r="J6" s="50">
        <f ca="1"/>
        <v>46125</v>
      </c>
      <c r="K6" s="75">
        <f ca="1"/>
        <v>0.61458333333333337</v>
      </c>
      <c r="L6" s="75">
        <f ca="1"/>
        <v>0.1423611111111111</v>
      </c>
      <c r="M6" t="str">
        <f ca="1"/>
        <v>ATM</v>
      </c>
      <c r="N6" t="str">
        <f ca="1"/>
        <v>CE&amp; PE Both</v>
      </c>
      <c r="O6" t="str">
        <f ca="1"/>
        <v>Sell</v>
      </c>
      <c r="P6" s="77">
        <f ca="1"/>
        <v>0.7</v>
      </c>
      <c r="Q6" cm="1">
        <f t="array" aca="1" ref="Q6" ca="1">IFERROR(IF($P6="","",_xlfn._xlws.FILTER(LT_LST[Lot],(LT_LST[Client Id.]=$C6)*(LT_LST[Strategy]=$D6)*(LT_LST[DTE/WTE]=$E6)*(LT_LST[Symbol]=$I6))),"-")</f>
        <v>2</v>
      </c>
    </row>
    <row r="7" spans="1:17" x14ac:dyDescent="0.25">
      <c r="C7" t="str">
        <f t="shared" ca="1" si="0"/>
        <v>SAT2484</v>
      </c>
      <c r="D7" t="str">
        <f ca="1"/>
        <v>DYNAMIC SL</v>
      </c>
      <c r="E7">
        <f ca="1"/>
        <v>1</v>
      </c>
      <c r="F7" t="str">
        <f ca="1"/>
        <v>Derivatives</v>
      </c>
      <c r="G7" t="str">
        <f ca="1"/>
        <v>NF_ATM DY_15:00</v>
      </c>
      <c r="H7" t="str">
        <f ca="1"/>
        <v>NSE</v>
      </c>
      <c r="I7" t="str">
        <f ca="1"/>
        <v>NIFTY</v>
      </c>
      <c r="J7" s="50">
        <f ca="1"/>
        <v>46125</v>
      </c>
      <c r="K7" s="75">
        <f ca="1"/>
        <v>0.625</v>
      </c>
      <c r="L7" s="75">
        <f ca="1"/>
        <v>0.1423611111111111</v>
      </c>
      <c r="M7" t="str">
        <f ca="1"/>
        <v>ATM</v>
      </c>
      <c r="N7" t="str">
        <f ca="1"/>
        <v>CE&amp; PE Both</v>
      </c>
      <c r="O7" t="str">
        <f ca="1"/>
        <v>Sell</v>
      </c>
      <c r="P7" s="77">
        <f ca="1"/>
        <v>0.7</v>
      </c>
      <c r="Q7" cm="1">
        <f t="array" aca="1" ref="Q7" ca="1">IFERROR(IF($P7="","",_xlfn._xlws.FILTER(LT_LST[Lot],(LT_LST[Client Id.]=$C7)*(LT_LST[Strategy]=$D7)*(LT_LST[DTE/WTE]=$E7)*(LT_LST[Symbol]=$I7))),"-")</f>
        <v>2</v>
      </c>
    </row>
    <row r="8" spans="1:17" x14ac:dyDescent="0.25">
      <c r="C8" t="str">
        <f t="shared" ca="1" si="0"/>
        <v>SAT2484</v>
      </c>
      <c r="D8" t="str">
        <f ca="1"/>
        <v>DYNAMIC SL</v>
      </c>
      <c r="E8">
        <f ca="1"/>
        <v>1</v>
      </c>
      <c r="F8" t="str">
        <f ca="1"/>
        <v>Derivatives</v>
      </c>
      <c r="G8" t="str">
        <f ca="1"/>
        <v>NF_ATM DY_14:00</v>
      </c>
      <c r="H8" t="str">
        <f ca="1"/>
        <v>NSE</v>
      </c>
      <c r="I8" t="str">
        <f ca="1"/>
        <v>NIFTY</v>
      </c>
      <c r="J8" s="50">
        <f ca="1"/>
        <v>46125</v>
      </c>
      <c r="K8" s="75">
        <f ca="1"/>
        <v>0.58333333333333337</v>
      </c>
      <c r="L8" s="75">
        <f ca="1"/>
        <v>0.1423611111111111</v>
      </c>
      <c r="M8" t="str">
        <f ca="1"/>
        <v>ATM</v>
      </c>
      <c r="N8" t="str">
        <f ca="1"/>
        <v>CE&amp; PE Both</v>
      </c>
      <c r="O8" t="str">
        <f ca="1"/>
        <v>Sell</v>
      </c>
      <c r="P8" s="77">
        <f ca="1"/>
        <v>0.7</v>
      </c>
      <c r="Q8" cm="1">
        <f t="array" aca="1" ref="Q8" ca="1">IFERROR(IF($P8="","",_xlfn._xlws.FILTER(LT_LST[Lot],(LT_LST[Client Id.]=$C8)*(LT_LST[Strategy]=$D8)*(LT_LST[DTE/WTE]=$E8)*(LT_LST[Symbol]=$I8))),"-")</f>
        <v>2</v>
      </c>
    </row>
    <row r="9" spans="1:17" x14ac:dyDescent="0.25">
      <c r="C9" t="str">
        <f t="shared" ca="1" si="0"/>
        <v>SAT2484</v>
      </c>
      <c r="D9" t="str">
        <f ca="1"/>
        <v>DYNAMIC SL</v>
      </c>
      <c r="E9">
        <f ca="1"/>
        <v>1</v>
      </c>
      <c r="F9" t="str">
        <f ca="1"/>
        <v>Derivatives</v>
      </c>
      <c r="G9" t="str">
        <f ca="1"/>
        <v>NF_ATM DY_14:15</v>
      </c>
      <c r="H9" t="str">
        <f ca="1"/>
        <v>NSE</v>
      </c>
      <c r="I9" t="str">
        <f ca="1"/>
        <v>NIFTY</v>
      </c>
      <c r="J9" s="50">
        <f ca="1"/>
        <v>46125</v>
      </c>
      <c r="K9" s="75">
        <f ca="1"/>
        <v>0.59375</v>
      </c>
      <c r="L9" s="75">
        <f ca="1"/>
        <v>0.1423611111111111</v>
      </c>
      <c r="M9" t="str">
        <f ca="1"/>
        <v>ATM</v>
      </c>
      <c r="N9" t="str">
        <f ca="1"/>
        <v>CE&amp; PE Both</v>
      </c>
      <c r="O9" t="str">
        <f ca="1"/>
        <v>Sell</v>
      </c>
      <c r="P9" s="77">
        <f ca="1"/>
        <v>0.7</v>
      </c>
      <c r="Q9" cm="1">
        <f t="array" aca="1" ref="Q9" ca="1">IFERROR(IF($P9="","",_xlfn._xlws.FILTER(LT_LST[Lot],(LT_LST[Client Id.]=$C9)*(LT_LST[Strategy]=$D9)*(LT_LST[DTE/WTE]=$E9)*(LT_LST[Symbol]=$I9))),"-")</f>
        <v>2</v>
      </c>
    </row>
    <row r="10" spans="1:17" x14ac:dyDescent="0.25">
      <c r="C10" t="str">
        <f t="shared" ca="1" si="0"/>
        <v>SAT2484</v>
      </c>
      <c r="D10" t="str">
        <f ca="1"/>
        <v>DYNAMIC SL</v>
      </c>
      <c r="E10">
        <f ca="1"/>
        <v>1</v>
      </c>
      <c r="F10" t="str">
        <f ca="1"/>
        <v>Derivatives</v>
      </c>
      <c r="G10" t="str">
        <f ca="1"/>
        <v>NF_ATM DY_14:30</v>
      </c>
      <c r="H10" t="str">
        <f ca="1"/>
        <v>NSE</v>
      </c>
      <c r="I10" t="str">
        <f ca="1"/>
        <v>NIFTY</v>
      </c>
      <c r="J10" s="50">
        <f ca="1"/>
        <v>46125</v>
      </c>
      <c r="K10" s="75">
        <f ca="1"/>
        <v>0.60416666666666663</v>
      </c>
      <c r="L10" s="75">
        <f ca="1"/>
        <v>0.1423611111111111</v>
      </c>
      <c r="M10" t="str">
        <f ca="1"/>
        <v>ATM</v>
      </c>
      <c r="N10" t="str">
        <f ca="1"/>
        <v>CE&amp; PE Both</v>
      </c>
      <c r="O10" t="str">
        <f ca="1"/>
        <v>Sell</v>
      </c>
      <c r="P10" s="77">
        <f ca="1"/>
        <v>0.7</v>
      </c>
      <c r="Q10" cm="1">
        <f t="array" aca="1" ref="Q10" ca="1">IFERROR(IF($P10="","",_xlfn._xlws.FILTER(LT_LST[Lot],(LT_LST[Client Id.]=$C10)*(LT_LST[Strategy]=$D10)*(LT_LST[DTE/WTE]=$E10)*(LT_LST[Symbol]=$I10))),"-")</f>
        <v>2</v>
      </c>
    </row>
    <row r="11" spans="1:17" x14ac:dyDescent="0.25">
      <c r="C11" t="str">
        <f t="shared" ca="1" si="0"/>
        <v>SAT2484</v>
      </c>
      <c r="D11" t="str">
        <f ca="1"/>
        <v>DYNAMIC SL</v>
      </c>
      <c r="E11">
        <f ca="1"/>
        <v>1</v>
      </c>
      <c r="F11" t="str">
        <f ca="1"/>
        <v>Derivatives</v>
      </c>
      <c r="G11" t="str">
        <f ca="1"/>
        <v>NF_ATM DY_14:45</v>
      </c>
      <c r="H11" t="str">
        <f ca="1"/>
        <v>NSE</v>
      </c>
      <c r="I11" t="str">
        <f ca="1"/>
        <v>NIFTY</v>
      </c>
      <c r="J11" s="50">
        <f ca="1"/>
        <v>46125</v>
      </c>
      <c r="K11" s="75">
        <f ca="1"/>
        <v>0.61458333333333337</v>
      </c>
      <c r="L11" s="75">
        <f ca="1"/>
        <v>0.1423611111111111</v>
      </c>
      <c r="M11" t="str">
        <f ca="1"/>
        <v>ATM</v>
      </c>
      <c r="N11" t="str">
        <f ca="1"/>
        <v>CE&amp; PE Both</v>
      </c>
      <c r="O11" t="str">
        <f ca="1"/>
        <v>Sell</v>
      </c>
      <c r="P11" s="77">
        <f ca="1"/>
        <v>0.7</v>
      </c>
      <c r="Q11" cm="1">
        <f t="array" aca="1" ref="Q11" ca="1">IFERROR(IF($P11="","",_xlfn._xlws.FILTER(LT_LST[Lot],(LT_LST[Client Id.]=$C11)*(LT_LST[Strategy]=$D11)*(LT_LST[DTE/WTE]=$E11)*(LT_LST[Symbol]=$I11))),"-")</f>
        <v>2</v>
      </c>
    </row>
    <row r="12" spans="1:17" x14ac:dyDescent="0.25">
      <c r="C12" t="str">
        <f t="shared" ca="1" si="0"/>
        <v>SAT2484</v>
      </c>
      <c r="D12" t="str">
        <f ca="1"/>
        <v>DYNAMIC SL</v>
      </c>
      <c r="E12">
        <f ca="1"/>
        <v>1</v>
      </c>
      <c r="F12" t="str">
        <f ca="1"/>
        <v>Derivatives</v>
      </c>
      <c r="G12" t="str">
        <f ca="1"/>
        <v>NF_ATM DY_15:00</v>
      </c>
      <c r="H12" t="str">
        <f ca="1"/>
        <v>NSE</v>
      </c>
      <c r="I12" t="str">
        <f ca="1"/>
        <v>NIFTY</v>
      </c>
      <c r="J12" s="50">
        <f ca="1"/>
        <v>46125</v>
      </c>
      <c r="K12" s="75">
        <f ca="1"/>
        <v>0.625</v>
      </c>
      <c r="L12" s="75">
        <f ca="1"/>
        <v>0.1423611111111111</v>
      </c>
      <c r="M12" t="str">
        <f ca="1"/>
        <v>ATM</v>
      </c>
      <c r="N12" t="str">
        <f ca="1"/>
        <v>CE&amp; PE Both</v>
      </c>
      <c r="O12" t="str">
        <f ca="1"/>
        <v>Sell</v>
      </c>
      <c r="P12" s="77">
        <f ca="1"/>
        <v>0.7</v>
      </c>
      <c r="Q12" cm="1">
        <f t="array" aca="1" ref="Q12" ca="1">IFERROR(IF($P12="","",_xlfn._xlws.FILTER(LT_LST[Lot],(LT_LST[Client Id.]=$C12)*(LT_LST[Strategy]=$D12)*(LT_LST[DTE/WTE]=$E12)*(LT_LST[Symbol]=$I12))),"-")</f>
        <v>2</v>
      </c>
    </row>
    <row r="13" spans="1:17" x14ac:dyDescent="0.25">
      <c r="C13" t="str">
        <f t="shared" ca="1" si="0"/>
        <v>SAT2484</v>
      </c>
      <c r="D13" t="str">
        <f ca="1"/>
        <v>DYNAMIC SL</v>
      </c>
      <c r="E13">
        <f ca="1"/>
        <v>3</v>
      </c>
      <c r="F13" t="str">
        <f ca="1"/>
        <v>Derivatives</v>
      </c>
      <c r="G13" t="str">
        <f ca="1"/>
        <v>BNF_ATM DY_10:15</v>
      </c>
      <c r="H13" t="str">
        <f ca="1"/>
        <v>NSE</v>
      </c>
      <c r="I13" t="str">
        <f ca="1"/>
        <v>BANKNIFTY</v>
      </c>
      <c r="J13" s="50">
        <f ca="1"/>
        <v>46140</v>
      </c>
      <c r="K13" s="75">
        <f ca="1"/>
        <v>0.42708333333333331</v>
      </c>
      <c r="L13" s="75">
        <f ca="1"/>
        <v>0.1423611111111111</v>
      </c>
      <c r="M13" t="str">
        <f ca="1"/>
        <v>ATM</v>
      </c>
      <c r="N13" t="str">
        <f ca="1"/>
        <v>CE&amp; PE Both</v>
      </c>
      <c r="O13" t="str">
        <f ca="1"/>
        <v>Sell</v>
      </c>
      <c r="P13" s="77">
        <f ca="1"/>
        <v>0.3</v>
      </c>
      <c r="Q13" cm="1">
        <f t="array" aca="1" ref="Q13" ca="1">IFERROR(IF($P13="","",_xlfn._xlws.FILTER(LT_LST[Lot],(LT_LST[Client Id.]=$C13)*(LT_LST[Strategy]=$D13)*(LT_LST[DTE/WTE]=$E13)*(LT_LST[Symbol]=$I13))),"-")</f>
        <v>2</v>
      </c>
    </row>
    <row r="14" spans="1:17" x14ac:dyDescent="0.25">
      <c r="C14" t="str">
        <f t="shared" ca="1" si="0"/>
        <v>SAT2484</v>
      </c>
      <c r="D14" t="str">
        <f ca="1"/>
        <v>DYNAMIC SL</v>
      </c>
      <c r="E14">
        <f ca="1"/>
        <v>3</v>
      </c>
      <c r="F14" t="str">
        <f ca="1"/>
        <v>Derivatives</v>
      </c>
      <c r="G14" t="str">
        <f ca="1"/>
        <v>BNF_ATM DY_10:30</v>
      </c>
      <c r="H14" t="str">
        <f ca="1"/>
        <v>NSE</v>
      </c>
      <c r="I14" t="str">
        <f ca="1"/>
        <v>BANKNIFTY</v>
      </c>
      <c r="J14" s="50">
        <f ca="1"/>
        <v>46140</v>
      </c>
      <c r="K14" s="75">
        <f ca="1"/>
        <v>0.4375</v>
      </c>
      <c r="L14" s="75">
        <f ca="1"/>
        <v>0.1423611111111111</v>
      </c>
      <c r="M14" t="str">
        <f ca="1"/>
        <v>ATM</v>
      </c>
      <c r="N14" t="str">
        <f ca="1"/>
        <v>CE&amp; PE Both</v>
      </c>
      <c r="O14" t="str">
        <f ca="1"/>
        <v>Sell</v>
      </c>
      <c r="P14" s="77">
        <f ca="1"/>
        <v>0.3</v>
      </c>
      <c r="Q14" cm="1">
        <f t="array" aca="1" ref="Q14" ca="1">IFERROR(IF($P14="","",_xlfn._xlws.FILTER(LT_LST[Lot],(LT_LST[Client Id.]=$C14)*(LT_LST[Strategy]=$D14)*(LT_LST[DTE/WTE]=$E14)*(LT_LST[Symbol]=$I14))),"-")</f>
        <v>2</v>
      </c>
    </row>
    <row r="15" spans="1:17" x14ac:dyDescent="0.25">
      <c r="C15" t="str">
        <f t="shared" ca="1" si="0"/>
        <v>SAT2484</v>
      </c>
      <c r="D15" t="str">
        <f ca="1"/>
        <v>DYNAMIC SL</v>
      </c>
      <c r="E15">
        <f ca="1"/>
        <v>3</v>
      </c>
      <c r="F15" t="str">
        <f ca="1"/>
        <v>Derivatives</v>
      </c>
      <c r="G15" t="str">
        <f ca="1"/>
        <v>BNF_ATM DY_10:45</v>
      </c>
      <c r="H15" t="str">
        <f ca="1"/>
        <v>NSE</v>
      </c>
      <c r="I15" t="str">
        <f ca="1"/>
        <v>BANKNIFTY</v>
      </c>
      <c r="J15" s="50">
        <f ca="1"/>
        <v>46140</v>
      </c>
      <c r="K15" s="75">
        <f ca="1"/>
        <v>0.44791666666666669</v>
      </c>
      <c r="L15" s="75">
        <f ca="1"/>
        <v>0.1423611111111111</v>
      </c>
      <c r="M15" t="str">
        <f ca="1"/>
        <v>ATM</v>
      </c>
      <c r="N15" t="str">
        <f ca="1"/>
        <v>CE&amp; PE Both</v>
      </c>
      <c r="O15" t="str">
        <f ca="1"/>
        <v>Sell</v>
      </c>
      <c r="P15" s="77">
        <f ca="1"/>
        <v>0.3</v>
      </c>
      <c r="Q15" cm="1">
        <f t="array" aca="1" ref="Q15" ca="1">IFERROR(IF($P15="","",_xlfn._xlws.FILTER(LT_LST[Lot],(LT_LST[Client Id.]=$C15)*(LT_LST[Strategy]=$D15)*(LT_LST[DTE/WTE]=$E15)*(LT_LST[Symbol]=$I15))),"-")</f>
        <v>2</v>
      </c>
    </row>
    <row r="16" spans="1:17" x14ac:dyDescent="0.25">
      <c r="C16" t="str">
        <f t="shared" ca="1" si="0"/>
        <v>SAT2484</v>
      </c>
      <c r="D16" t="str">
        <f ca="1"/>
        <v>DYNAMIC SL</v>
      </c>
      <c r="E16">
        <f ca="1"/>
        <v>3</v>
      </c>
      <c r="F16" t="str">
        <f ca="1"/>
        <v>Derivatives</v>
      </c>
      <c r="G16" t="str">
        <f ca="1"/>
        <v>BNF_ITM1 DY_09:30</v>
      </c>
      <c r="H16" t="str">
        <f ca="1"/>
        <v>NSE</v>
      </c>
      <c r="I16" t="str">
        <f ca="1"/>
        <v>BANKNIFTY</v>
      </c>
      <c r="J16" s="50">
        <f ca="1"/>
        <v>46140</v>
      </c>
      <c r="K16" s="75">
        <f ca="1"/>
        <v>0.39583333333333331</v>
      </c>
      <c r="L16" s="75">
        <f ca="1"/>
        <v>0.1423611111111111</v>
      </c>
      <c r="M16" t="str">
        <f ca="1"/>
        <v>ITM1</v>
      </c>
      <c r="N16" t="str">
        <f ca="1"/>
        <v>CE&amp; PE Both</v>
      </c>
      <c r="O16" t="str">
        <f ca="1"/>
        <v>Sell</v>
      </c>
      <c r="P16" s="77">
        <f ca="1"/>
        <v>0.5</v>
      </c>
      <c r="Q16" cm="1">
        <f t="array" aca="1" ref="Q16" ca="1">IFERROR(IF($P16="","",_xlfn._xlws.FILTER(LT_LST[Lot],(LT_LST[Client Id.]=$C16)*(LT_LST[Strategy]=$D16)*(LT_LST[DTE/WTE]=$E16)*(LT_LST[Symbol]=$I16))),"-")</f>
        <v>2</v>
      </c>
    </row>
    <row r="17" spans="3:17" x14ac:dyDescent="0.25">
      <c r="C17" t="str">
        <f t="shared" ca="1" si="0"/>
        <v>SAT2484</v>
      </c>
      <c r="D17" t="str">
        <f ca="1"/>
        <v>DYNAMIC SL</v>
      </c>
      <c r="E17">
        <f ca="1"/>
        <v>3</v>
      </c>
      <c r="F17" t="str">
        <f ca="1"/>
        <v>Derivatives</v>
      </c>
      <c r="G17" t="str">
        <f ca="1"/>
        <v>BNF_ITM1 DY_09:45</v>
      </c>
      <c r="H17" t="str">
        <f ca="1"/>
        <v>NSE</v>
      </c>
      <c r="I17" t="str">
        <f ca="1"/>
        <v>BANKNIFTY</v>
      </c>
      <c r="J17" s="50">
        <f ca="1"/>
        <v>46140</v>
      </c>
      <c r="K17" s="75">
        <f ca="1"/>
        <v>0.40625</v>
      </c>
      <c r="L17" s="75">
        <f ca="1"/>
        <v>0.1423611111111111</v>
      </c>
      <c r="M17" t="str">
        <f ca="1"/>
        <v>ITM1</v>
      </c>
      <c r="N17" t="str">
        <f ca="1"/>
        <v>CE&amp; PE Both</v>
      </c>
      <c r="O17" t="str">
        <f ca="1"/>
        <v>Sell</v>
      </c>
      <c r="P17" s="77">
        <f ca="1"/>
        <v>0.5</v>
      </c>
      <c r="Q17" cm="1">
        <f t="array" aca="1" ref="Q17" ca="1">IFERROR(IF($P17="","",_xlfn._xlws.FILTER(LT_LST[Lot],(LT_LST[Client Id.]=$C17)*(LT_LST[Strategy]=$D17)*(LT_LST[DTE/WTE]=$E17)*(LT_LST[Symbol]=$I17))),"-")</f>
        <v>2</v>
      </c>
    </row>
    <row r="18" spans="3:17" x14ac:dyDescent="0.25">
      <c r="C18" t="str">
        <f t="shared" ca="1" si="0"/>
        <v>SAT2484</v>
      </c>
      <c r="D18" t="str">
        <f ca="1"/>
        <v>DYNAMIC SL</v>
      </c>
      <c r="E18">
        <f ca="1"/>
        <v>3</v>
      </c>
      <c r="F18" t="str">
        <f ca="1"/>
        <v>Derivatives</v>
      </c>
      <c r="G18" t="str">
        <f ca="1"/>
        <v>BNF_ITM1 DY_10:00</v>
      </c>
      <c r="H18" t="str">
        <f ca="1"/>
        <v>NSE</v>
      </c>
      <c r="I18" t="str">
        <f ca="1"/>
        <v>BANKNIFTY</v>
      </c>
      <c r="J18" s="50">
        <f ca="1"/>
        <v>46140</v>
      </c>
      <c r="K18" s="75">
        <f ca="1"/>
        <v>0.41666666666666669</v>
      </c>
      <c r="L18" s="75">
        <f ca="1"/>
        <v>0.1423611111111111</v>
      </c>
      <c r="M18" t="str">
        <f ca="1"/>
        <v>ITM1</v>
      </c>
      <c r="N18" t="str">
        <f ca="1"/>
        <v>CE&amp; PE Both</v>
      </c>
      <c r="O18" t="str">
        <f ca="1"/>
        <v>Sell</v>
      </c>
      <c r="P18" s="77">
        <f ca="1"/>
        <v>0.5</v>
      </c>
      <c r="Q18" cm="1">
        <f t="array" aca="1" ref="Q18" ca="1">IFERROR(IF($P18="","",_xlfn._xlws.FILTER(LT_LST[Lot],(LT_LST[Client Id.]=$C18)*(LT_LST[Strategy]=$D18)*(LT_LST[DTE/WTE]=$E18)*(LT_LST[Symbol]=$I18))),"-")</f>
        <v>2</v>
      </c>
    </row>
    <row r="19" spans="3:17" x14ac:dyDescent="0.25">
      <c r="C19" t="str">
        <f t="shared" ca="1" si="0"/>
        <v>SAT2484</v>
      </c>
      <c r="D19" t="str">
        <f ca="1"/>
        <v>DYNAMIC SL</v>
      </c>
      <c r="E19">
        <f ca="1"/>
        <v>0</v>
      </c>
      <c r="F19" t="str">
        <f ca="1"/>
        <v>Derivatives</v>
      </c>
      <c r="G19" t="str">
        <f ca="1"/>
        <v>SDT_ITM5_09:45</v>
      </c>
      <c r="H19" t="str">
        <f ca="1"/>
        <v>BSE</v>
      </c>
      <c r="I19" t="str">
        <f ca="1"/>
        <v>SENSEX</v>
      </c>
      <c r="J19" s="50">
        <f ca="1"/>
        <v>46128</v>
      </c>
      <c r="K19" s="75">
        <f ca="1"/>
        <v>0.40625</v>
      </c>
      <c r="L19" s="75">
        <f ca="1"/>
        <v>0.1423611111111111</v>
      </c>
      <c r="M19" t="str">
        <f ca="1"/>
        <v>ITM 5</v>
      </c>
      <c r="N19" t="str">
        <f ca="1"/>
        <v>CE&amp; PE Both</v>
      </c>
      <c r="O19" t="str">
        <f ca="1"/>
        <v>Sell</v>
      </c>
      <c r="P19" s="77">
        <f ca="1"/>
        <v>0.3</v>
      </c>
      <c r="Q19" cm="1">
        <f t="array" aca="1" ref="Q19" ca="1">IFERROR(IF($P19="","",_xlfn._xlws.FILTER(LT_LST[Lot],(LT_LST[Client Id.]=$C19)*(LT_LST[Strategy]=$D19)*(LT_LST[DTE/WTE]=$E19)*(LT_LST[Symbol]=$I19))),"-")</f>
        <v>6</v>
      </c>
    </row>
    <row r="20" spans="3:17" x14ac:dyDescent="0.25">
      <c r="C20" t="str">
        <f t="shared" ca="1" si="0"/>
        <v>SAT2484</v>
      </c>
      <c r="D20" t="str">
        <f ca="1"/>
        <v>DYNAMIC SL</v>
      </c>
      <c r="E20">
        <f ca="1"/>
        <v>0</v>
      </c>
      <c r="F20" t="str">
        <f ca="1"/>
        <v>Derivatives</v>
      </c>
      <c r="G20" t="str">
        <f ca="1"/>
        <v>SDT_ITM5_10:00</v>
      </c>
      <c r="H20" t="str">
        <f ca="1"/>
        <v>BSE</v>
      </c>
      <c r="I20" t="str">
        <f ca="1"/>
        <v>SENSEX</v>
      </c>
      <c r="J20" s="50">
        <f ca="1"/>
        <v>46128</v>
      </c>
      <c r="K20" s="75">
        <f ca="1"/>
        <v>0.41666666666666669</v>
      </c>
      <c r="L20" s="75">
        <f ca="1"/>
        <v>0.1423611111111111</v>
      </c>
      <c r="M20" t="str">
        <f ca="1"/>
        <v>ITM 5</v>
      </c>
      <c r="N20" t="str">
        <f ca="1"/>
        <v>CE&amp; PE Both</v>
      </c>
      <c r="O20" t="str">
        <f ca="1"/>
        <v>Sell</v>
      </c>
      <c r="P20" s="77">
        <f ca="1"/>
        <v>0.3</v>
      </c>
      <c r="Q20" cm="1">
        <f t="array" aca="1" ref="Q20" ca="1">IFERROR(IF($P20="","",_xlfn._xlws.FILTER(LT_LST[Lot],(LT_LST[Client Id.]=$C20)*(LT_LST[Strategy]=$D20)*(LT_LST[DTE/WTE]=$E20)*(LT_LST[Symbol]=$I20))),"-")</f>
        <v>6</v>
      </c>
    </row>
    <row r="21" spans="3:17" x14ac:dyDescent="0.25">
      <c r="C21" t="str">
        <f t="shared" ca="1" si="0"/>
        <v>SAT2484</v>
      </c>
      <c r="D21" t="str">
        <f ca="1"/>
        <v>DYNAMIC SL</v>
      </c>
      <c r="E21">
        <f ca="1"/>
        <v>0</v>
      </c>
      <c r="F21" t="str">
        <f ca="1"/>
        <v>Derivatives</v>
      </c>
      <c r="G21" t="str">
        <f ca="1"/>
        <v>SDT_ITM5_10:15</v>
      </c>
      <c r="H21" t="str">
        <f ca="1"/>
        <v>BSE</v>
      </c>
      <c r="I21" t="str">
        <f ca="1"/>
        <v>SENSEX</v>
      </c>
      <c r="J21" s="50">
        <f ca="1"/>
        <v>46128</v>
      </c>
      <c r="K21" s="75">
        <f ca="1"/>
        <v>0.42708333333333331</v>
      </c>
      <c r="L21" s="75">
        <f ca="1"/>
        <v>0.1423611111111111</v>
      </c>
      <c r="M21" t="str">
        <f ca="1"/>
        <v>ITM 5</v>
      </c>
      <c r="N21" t="str">
        <f ca="1"/>
        <v>CE&amp; PE Both</v>
      </c>
      <c r="O21" t="str">
        <f ca="1"/>
        <v>Sell</v>
      </c>
      <c r="P21" s="77">
        <f ca="1"/>
        <v>0.3</v>
      </c>
      <c r="Q21" cm="1">
        <f t="array" aca="1" ref="Q21" ca="1">IFERROR(IF($P21="","",_xlfn._xlws.FILTER(LT_LST[Lot],(LT_LST[Client Id.]=$C21)*(LT_LST[Strategy]=$D21)*(LT_LST[DTE/WTE]=$E21)*(LT_LST[Symbol]=$I21))),"-")</f>
        <v>6</v>
      </c>
    </row>
    <row r="22" spans="3:17" x14ac:dyDescent="0.25">
      <c r="C22" t="str">
        <f t="shared" ca="1" si="0"/>
        <v>SAT2484</v>
      </c>
      <c r="D22" t="str">
        <f ca="1"/>
        <v>DYNAMIC SL</v>
      </c>
      <c r="E22">
        <f ca="1"/>
        <v>0</v>
      </c>
      <c r="F22" t="str">
        <f ca="1"/>
        <v>Derivatives</v>
      </c>
      <c r="G22" t="str">
        <f ca="1"/>
        <v>SDT_ITM3_09:45</v>
      </c>
      <c r="H22" t="str">
        <f ca="1"/>
        <v>BSE</v>
      </c>
      <c r="I22" t="str">
        <f ca="1"/>
        <v>SENSEX</v>
      </c>
      <c r="J22" s="50">
        <f ca="1"/>
        <v>46128</v>
      </c>
      <c r="K22" s="75">
        <f ca="1"/>
        <v>0.40625</v>
      </c>
      <c r="L22" s="75">
        <f ca="1"/>
        <v>0.1423611111111111</v>
      </c>
      <c r="M22" t="str">
        <f ca="1"/>
        <v>ITM 3</v>
      </c>
      <c r="N22" t="str">
        <f ca="1"/>
        <v>CE&amp; PE Both</v>
      </c>
      <c r="O22" t="str">
        <f ca="1"/>
        <v>Sell</v>
      </c>
      <c r="P22" s="77">
        <f ca="1"/>
        <v>0.5</v>
      </c>
      <c r="Q22" cm="1">
        <f t="array" aca="1" ref="Q22" ca="1">IFERROR(IF($P22="","",_xlfn._xlws.FILTER(LT_LST[Lot],(LT_LST[Client Id.]=$C22)*(LT_LST[Strategy]=$D22)*(LT_LST[DTE/WTE]=$E22)*(LT_LST[Symbol]=$I22))),"-")</f>
        <v>6</v>
      </c>
    </row>
    <row r="23" spans="3:17" x14ac:dyDescent="0.25">
      <c r="C23" t="str">
        <f t="shared" ca="1" si="0"/>
        <v>SAT2484</v>
      </c>
      <c r="D23" t="str">
        <f ca="1"/>
        <v>DYNAMIC SL</v>
      </c>
      <c r="E23">
        <f ca="1"/>
        <v>0</v>
      </c>
      <c r="F23" t="str">
        <f ca="1"/>
        <v>Derivatives</v>
      </c>
      <c r="G23" t="str">
        <f ca="1"/>
        <v>SDT_ITM3_10:00</v>
      </c>
      <c r="H23" t="str">
        <f ca="1"/>
        <v>BSE</v>
      </c>
      <c r="I23" t="str">
        <f ca="1"/>
        <v>SENSEX</v>
      </c>
      <c r="J23" s="50">
        <f ca="1"/>
        <v>46128</v>
      </c>
      <c r="K23" s="75">
        <f ca="1"/>
        <v>0.41666666666666669</v>
      </c>
      <c r="L23" s="75">
        <f ca="1"/>
        <v>0.1423611111111111</v>
      </c>
      <c r="M23" t="str">
        <f ca="1"/>
        <v>ITM 3</v>
      </c>
      <c r="N23" t="str">
        <f ca="1"/>
        <v>CE&amp; PE Both</v>
      </c>
      <c r="O23" t="str">
        <f ca="1"/>
        <v>Sell</v>
      </c>
      <c r="P23" s="77">
        <f ca="1"/>
        <v>0.5</v>
      </c>
      <c r="Q23" cm="1">
        <f t="array" aca="1" ref="Q23" ca="1">IFERROR(IF($P23="","",_xlfn._xlws.FILTER(LT_LST[Lot],(LT_LST[Client Id.]=$C23)*(LT_LST[Strategy]=$D23)*(LT_LST[DTE/WTE]=$E23)*(LT_LST[Symbol]=$I23))),"-")</f>
        <v>6</v>
      </c>
    </row>
    <row r="24" spans="3:17" x14ac:dyDescent="0.25">
      <c r="C24" t="str">
        <f t="shared" ca="1" si="0"/>
        <v>SAT2484</v>
      </c>
      <c r="D24" t="str">
        <f ca="1"/>
        <v>DYNAMIC SL</v>
      </c>
      <c r="E24">
        <f ca="1"/>
        <v>0</v>
      </c>
      <c r="F24" t="str">
        <f ca="1"/>
        <v>Derivatives</v>
      </c>
      <c r="G24" t="str">
        <f ca="1"/>
        <v>SDT_ITM3_10:15</v>
      </c>
      <c r="H24" t="str">
        <f ca="1"/>
        <v>BSE</v>
      </c>
      <c r="I24" t="str">
        <f ca="1"/>
        <v>SENSEX</v>
      </c>
      <c r="J24" s="50">
        <f ca="1"/>
        <v>46128</v>
      </c>
      <c r="K24" s="75">
        <f ca="1"/>
        <v>0.42708333333333331</v>
      </c>
      <c r="L24" s="75">
        <f ca="1"/>
        <v>0.1423611111111111</v>
      </c>
      <c r="M24" t="str">
        <f ca="1"/>
        <v>ITM 3</v>
      </c>
      <c r="N24" t="str">
        <f ca="1"/>
        <v>CE&amp; PE Both</v>
      </c>
      <c r="O24" t="str">
        <f ca="1"/>
        <v>Sell</v>
      </c>
      <c r="P24" s="77">
        <f ca="1"/>
        <v>0.5</v>
      </c>
      <c r="Q24" cm="1">
        <f t="array" aca="1" ref="Q24" ca="1">IFERROR(IF($P24="","",_xlfn._xlws.FILTER(LT_LST[Lot],(LT_LST[Client Id.]=$C24)*(LT_LST[Strategy]=$D24)*(LT_LST[DTE/WTE]=$E24)*(LT_LST[Symbol]=$I24))),"-")</f>
        <v>6</v>
      </c>
    </row>
    <row r="25" spans="3:17" x14ac:dyDescent="0.25">
      <c r="C25" t="str">
        <f t="shared" si="0"/>
        <v/>
      </c>
      <c r="Q25" t="str" cm="1">
        <f t="array" ref="Q25">IFERROR(IF($P25="","",_xlfn._xlws.FILTER(LT_LST[Lot],(LT_LST[Client Id.]=$C25)*(LT_LST[Strategy]=$D25)*(LT_LST[DTE/WTE]=$E25)*(LT_LST[Symbol]=$I25))),"-")</f>
        <v/>
      </c>
    </row>
    <row r="26" spans="3:17" x14ac:dyDescent="0.25">
      <c r="C26" t="str">
        <f t="shared" si="0"/>
        <v/>
      </c>
      <c r="Q26" t="str" cm="1">
        <f t="array" ref="Q26">IFERROR(IF($P26="","",_xlfn._xlws.FILTER(LT_LST[Lot],(LT_LST[Client Id.]=$C26)*(LT_LST[Strategy]=$D26)*(LT_LST[DTE/WTE]=$E26)*(LT_LST[Symbol]=$I26))),"-")</f>
        <v/>
      </c>
    </row>
    <row r="27" spans="3:17" x14ac:dyDescent="0.25">
      <c r="C27" t="str">
        <f t="shared" si="0"/>
        <v/>
      </c>
      <c r="Q27" t="str" cm="1">
        <f t="array" ref="Q27">IFERROR(IF($P27="","",_xlfn._xlws.FILTER(LT_LST[Lot],(LT_LST[Client Id.]=$C27)*(LT_LST[Strategy]=$D27)*(LT_LST[DTE/WTE]=$E27)*(LT_LST[Symbol]=$I27))),"-")</f>
        <v/>
      </c>
    </row>
    <row r="28" spans="3:17" x14ac:dyDescent="0.25">
      <c r="C28" t="str">
        <f t="shared" si="0"/>
        <v/>
      </c>
      <c r="Q28" t="str" cm="1">
        <f t="array" ref="Q28">IFERROR(IF($P28="","",_xlfn._xlws.FILTER(LT_LST[Lot],(LT_LST[Client Id.]=$C28)*(LT_LST[Strategy]=$D28)*(LT_LST[DTE/WTE]=$E28)*(LT_LST[Symbol]=$I28))),"-")</f>
        <v/>
      </c>
    </row>
    <row r="29" spans="3:17" x14ac:dyDescent="0.25">
      <c r="C29" t="str">
        <f t="shared" si="0"/>
        <v/>
      </c>
      <c r="Q29" t="str" cm="1">
        <f t="array" ref="Q29">IFERROR(IF($P29="","",_xlfn._xlws.FILTER(LT_LST[Lot],(LT_LST[Client Id.]=$C29)*(LT_LST[Strategy]=$D29)*(LT_LST[DTE/WTE]=$E29)*(LT_LST[Symbol]=$I29))),"-")</f>
        <v/>
      </c>
    </row>
    <row r="30" spans="3:17" x14ac:dyDescent="0.25">
      <c r="C30" t="str">
        <f t="shared" si="0"/>
        <v/>
      </c>
      <c r="Q30" t="str" cm="1">
        <f t="array" ref="Q30">IFERROR(IF($P30="","",_xlfn._xlws.FILTER(LT_LST[Lot],(LT_LST[Client Id.]=$C30)*(LT_LST[Strategy]=$D30)*(LT_LST[DTE/WTE]=$E30)*(LT_LST[Symbol]=$I30))),"-")</f>
        <v/>
      </c>
    </row>
    <row r="31" spans="3:17" x14ac:dyDescent="0.25">
      <c r="C31" t="str">
        <f t="shared" si="0"/>
        <v/>
      </c>
      <c r="Q31" t="str" cm="1">
        <f t="array" ref="Q31">IFERROR(IF($P31="","",_xlfn._xlws.FILTER(LT_LST[Lot],(LT_LST[Client Id.]=$C31)*(LT_LST[Strategy]=$D31)*(LT_LST[DTE/WTE]=$E31)*(LT_LST[Symbol]=$I31))),"-")</f>
        <v/>
      </c>
    </row>
    <row r="32" spans="3:17" x14ac:dyDescent="0.25">
      <c r="C32" t="str">
        <f t="shared" si="0"/>
        <v/>
      </c>
      <c r="Q32" t="str" cm="1">
        <f t="array" ref="Q32">IFERROR(IF($P32="","",_xlfn._xlws.FILTER(LT_LST[Lot],(LT_LST[Client Id.]=$C32)*(LT_LST[Strategy]=$D32)*(LT_LST[DTE/WTE]=$E32)*(LT_LST[Symbol]=$I32))),"-")</f>
        <v/>
      </c>
    </row>
    <row r="33" spans="3:17" x14ac:dyDescent="0.25">
      <c r="C33" t="str">
        <f t="shared" si="0"/>
        <v/>
      </c>
      <c r="Q33" t="str" cm="1">
        <f t="array" ref="Q33">IFERROR(IF($P33="","",_xlfn._xlws.FILTER(LT_LST[Lot],(LT_LST[Client Id.]=$C33)*(LT_LST[Strategy]=$D33)*(LT_LST[DTE/WTE]=$E33)*(LT_LST[Symbol]=$I33))),"-")</f>
        <v/>
      </c>
    </row>
    <row r="34" spans="3:17" x14ac:dyDescent="0.25">
      <c r="C34" t="str">
        <f t="shared" si="0"/>
        <v/>
      </c>
      <c r="Q34" t="str" cm="1">
        <f t="array" ref="Q34">IFERROR(IF($P34="","",_xlfn._xlws.FILTER(LT_LST[Lot],(LT_LST[Client Id.]=$C34)*(LT_LST[Strategy]=$D34)*(LT_LST[DTE/WTE]=$E34)*(LT_LST[Symbol]=$I34))),"-")</f>
        <v/>
      </c>
    </row>
    <row r="35" spans="3:17" x14ac:dyDescent="0.25">
      <c r="C35" t="str">
        <f t="shared" si="0"/>
        <v/>
      </c>
      <c r="Q35" t="str" cm="1">
        <f t="array" ref="Q35">IFERROR(IF($P35="","",_xlfn._xlws.FILTER(LT_LST[Lot],(LT_LST[Client Id.]=$C35)*(LT_LST[Strategy]=$D35)*(LT_LST[DTE/WTE]=$E35)*(LT_LST[Symbol]=$I35))),"-")</f>
        <v/>
      </c>
    </row>
    <row r="36" spans="3:17" x14ac:dyDescent="0.25">
      <c r="C36" t="str">
        <f t="shared" si="0"/>
        <v/>
      </c>
      <c r="Q36" t="str" cm="1">
        <f t="array" ref="Q36">IFERROR(IF($P36="","",_xlfn._xlws.FILTER(LT_LST[Lot],(LT_LST[Client Id.]=$C36)*(LT_LST[Strategy]=$D36)*(LT_LST[DTE/WTE]=$E36)*(LT_LST[Symbol]=$I36))),"-")</f>
        <v/>
      </c>
    </row>
    <row r="37" spans="3:17" x14ac:dyDescent="0.25">
      <c r="C37" t="str">
        <f t="shared" si="0"/>
        <v/>
      </c>
      <c r="Q37" t="str" cm="1">
        <f t="array" ref="Q37">IFERROR(IF($P37="","",_xlfn._xlws.FILTER(LT_LST[Lot],(LT_LST[Client Id.]=$C37)*(LT_LST[Strategy]=$D37)*(LT_LST[DTE/WTE]=$E37)*(LT_LST[Symbol]=$I37))),"-")</f>
        <v/>
      </c>
    </row>
    <row r="38" spans="3:17" x14ac:dyDescent="0.25">
      <c r="C38" t="str">
        <f t="shared" si="0"/>
        <v/>
      </c>
      <c r="Q38" t="str" cm="1">
        <f t="array" ref="Q38">IFERROR(IF($P38="","",_xlfn._xlws.FILTER(LT_LST[Lot],(LT_LST[Client Id.]=$C38)*(LT_LST[Strategy]=$D38)*(LT_LST[DTE/WTE]=$E38)*(LT_LST[Symbol]=$I38))),"-")</f>
        <v/>
      </c>
    </row>
    <row r="39" spans="3:17" x14ac:dyDescent="0.25">
      <c r="C39" t="str">
        <f t="shared" si="0"/>
        <v/>
      </c>
      <c r="Q39" t="str" cm="1">
        <f t="array" ref="Q39">IFERROR(IF($P39="","",_xlfn._xlws.FILTER(LT_LST[Lot],(LT_LST[Client Id.]=$C39)*(LT_LST[Strategy]=$D39)*(LT_LST[DTE/WTE]=$E39)*(LT_LST[Symbol]=$I39))),"-")</f>
        <v/>
      </c>
    </row>
    <row r="40" spans="3:17" x14ac:dyDescent="0.25">
      <c r="C40" t="str">
        <f t="shared" si="0"/>
        <v/>
      </c>
      <c r="Q40" t="str" cm="1">
        <f t="array" ref="Q40">IFERROR(IF($P40="","",_xlfn._xlws.FILTER(LT_LST[Lot],(LT_LST[Client Id.]=$C40)*(LT_LST[Strategy]=$D40)*(LT_LST[DTE/WTE]=$E40)*(LT_LST[Symbol]=$I40))),"-")</f>
        <v/>
      </c>
    </row>
    <row r="41" spans="3:17" x14ac:dyDescent="0.25">
      <c r="C41" t="str">
        <f t="shared" si="0"/>
        <v/>
      </c>
      <c r="Q41" t="str" cm="1">
        <f t="array" ref="Q41">IFERROR(IF($P41="","",_xlfn._xlws.FILTER(LT_LST[Lot],(LT_LST[Client Id.]=$C41)*(LT_LST[Strategy]=$D41)*(LT_LST[DTE/WTE]=$E41)*(LT_LST[Symbol]=$I41))),"-")</f>
        <v/>
      </c>
    </row>
    <row r="42" spans="3:17" x14ac:dyDescent="0.25">
      <c r="C42" t="str">
        <f t="shared" si="0"/>
        <v/>
      </c>
      <c r="Q42" t="str" cm="1">
        <f t="array" ref="Q42">IFERROR(IF($P42="","",_xlfn._xlws.FILTER(LT_LST[Lot],(LT_LST[Client Id.]=$C42)*(LT_LST[Strategy]=$D42)*(LT_LST[DTE/WTE]=$E42)*(LT_LST[Symbol]=$I42))),"-")</f>
        <v/>
      </c>
    </row>
    <row r="43" spans="3:17" x14ac:dyDescent="0.25">
      <c r="C43" t="str">
        <f t="shared" si="0"/>
        <v/>
      </c>
      <c r="Q43" t="str" cm="1">
        <f t="array" ref="Q43">IFERROR(IF($P43="","",_xlfn._xlws.FILTER(LT_LST[Lot],(LT_LST[Client Id.]=$C43)*(LT_LST[Strategy]=$D43)*(LT_LST[DTE/WTE]=$E43)*(LT_LST[Symbol]=$I43))),"-")</f>
        <v/>
      </c>
    </row>
    <row r="44" spans="3:17" x14ac:dyDescent="0.25">
      <c r="C44" t="str">
        <f t="shared" si="0"/>
        <v/>
      </c>
      <c r="Q44" t="str" cm="1">
        <f t="array" ref="Q44">IFERROR(IF($P44="","",_xlfn._xlws.FILTER(LT_LST[Lot],(LT_LST[Client Id.]=$C44)*(LT_LST[Strategy]=$D44)*(LT_LST[DTE/WTE]=$E44)*(LT_LST[Symbol]=$I44))),"-")</f>
        <v/>
      </c>
    </row>
    <row r="45" spans="3:17" x14ac:dyDescent="0.25">
      <c r="C45" t="str">
        <f t="shared" si="0"/>
        <v/>
      </c>
      <c r="Q45" t="str" cm="1">
        <f t="array" ref="Q45">IFERROR(IF($P45="","",_xlfn._xlws.FILTER(LT_LST[Lot],(LT_LST[Client Id.]=$C45)*(LT_LST[Strategy]=$D45)*(LT_LST[DTE/WTE]=$E45)*(LT_LST[Symbol]=$I45))),"-")</f>
        <v/>
      </c>
    </row>
    <row r="46" spans="3:17" x14ac:dyDescent="0.25">
      <c r="C46" t="str">
        <f t="shared" si="0"/>
        <v/>
      </c>
      <c r="Q46" t="str" cm="1">
        <f t="array" ref="Q46">IFERROR(IF($P46="","",_xlfn._xlws.FILTER(LT_LST[Lot],(LT_LST[Client Id.]=$C46)*(LT_LST[Strategy]=$D46)*(LT_LST[DTE/WTE]=$E46)*(LT_LST[Symbol]=$I46))),"-")</f>
        <v/>
      </c>
    </row>
    <row r="47" spans="3:17" x14ac:dyDescent="0.25">
      <c r="C47" t="str">
        <f t="shared" si="0"/>
        <v/>
      </c>
      <c r="Q47" t="str" cm="1">
        <f t="array" ref="Q47">IFERROR(IF($P47="","",_xlfn._xlws.FILTER(LT_LST[Lot],(LT_LST[Client Id.]=$C47)*(LT_LST[Strategy]=$D47)*(LT_LST[DTE/WTE]=$E47)*(LT_LST[Symbol]=$I47))),"-")</f>
        <v/>
      </c>
    </row>
    <row r="48" spans="3:17" x14ac:dyDescent="0.25">
      <c r="C48" t="str">
        <f t="shared" si="0"/>
        <v/>
      </c>
      <c r="Q48" t="str" cm="1">
        <f t="array" ref="Q48">IFERROR(IF($P48="","",_xlfn._xlws.FILTER(LT_LST[Lot],(LT_LST[Client Id.]=$C48)*(LT_LST[Strategy]=$D48)*(LT_LST[DTE/WTE]=$E48)*(LT_LST[Symbol]=$I48))),"-")</f>
        <v/>
      </c>
    </row>
    <row r="49" spans="3:17" x14ac:dyDescent="0.25">
      <c r="C49" t="str">
        <f t="shared" si="0"/>
        <v/>
      </c>
      <c r="Q49" t="str" cm="1">
        <f t="array" ref="Q49">IFERROR(IF($P49="","",_xlfn._xlws.FILTER(LT_LST[Lot],(LT_LST[Client Id.]=$C49)*(LT_LST[Strategy]=$D49)*(LT_LST[DTE/WTE]=$E49)*(LT_LST[Symbol]=$I49))),"-")</f>
        <v/>
      </c>
    </row>
    <row r="50" spans="3:17" x14ac:dyDescent="0.25">
      <c r="C50" t="str">
        <f t="shared" si="0"/>
        <v/>
      </c>
      <c r="Q50" t="str" cm="1">
        <f t="array" ref="Q50">IFERROR(IF($P50="","",_xlfn._xlws.FILTER(LT_LST[Lot],(LT_LST[Client Id.]=$C50)*(LT_LST[Strategy]=$D50)*(LT_LST[DTE/WTE]=$E50)*(LT_LST[Symbol]=$I50))),"-")</f>
        <v/>
      </c>
    </row>
    <row r="51" spans="3:17" x14ac:dyDescent="0.25">
      <c r="C51" t="str">
        <f t="shared" si="0"/>
        <v/>
      </c>
      <c r="Q51" t="str" cm="1">
        <f t="array" ref="Q51">IFERROR(IF($P51="","",_xlfn._xlws.FILTER(LT_LST[Lot],(LT_LST[Client Id.]=$C51)*(LT_LST[Strategy]=$D51)*(LT_LST[DTE/WTE]=$E51)*(LT_LST[Symbol]=$I51))),"-")</f>
        <v/>
      </c>
    </row>
    <row r="52" spans="3:17" x14ac:dyDescent="0.25">
      <c r="C52" t="str">
        <f t="shared" si="0"/>
        <v/>
      </c>
      <c r="Q52" t="str" cm="1">
        <f t="array" ref="Q52">IFERROR(IF($P52="","",_xlfn._xlws.FILTER(LT_LST[Lot],(LT_LST[Client Id.]=$C52)*(LT_LST[Strategy]=$D52)*(LT_LST[DTE/WTE]=$E52)*(LT_LST[Symbol]=$I52))),"-")</f>
        <v/>
      </c>
    </row>
    <row r="53" spans="3:17" x14ac:dyDescent="0.25">
      <c r="C53" t="str">
        <f t="shared" si="0"/>
        <v/>
      </c>
      <c r="Q53" t="str" cm="1">
        <f t="array" ref="Q53">IFERROR(IF($P53="","",_xlfn._xlws.FILTER(LT_LST[Lot],(LT_LST[Client Id.]=$C53)*(LT_LST[Strategy]=$D53)*(LT_LST[DTE/WTE]=$E53)*(LT_LST[Symbol]=$I53))),"-")</f>
        <v/>
      </c>
    </row>
    <row r="54" spans="3:17" x14ac:dyDescent="0.25">
      <c r="C54" t="str">
        <f t="shared" si="0"/>
        <v/>
      </c>
      <c r="Q54" t="str" cm="1">
        <f t="array" ref="Q54">IFERROR(IF($P54="","",_xlfn._xlws.FILTER(LT_LST[Lot],(LT_LST[Client Id.]=$C54)*(LT_LST[Strategy]=$D54)*(LT_LST[DTE/WTE]=$E54)*(LT_LST[Symbol]=$I54))),"-")</f>
        <v/>
      </c>
    </row>
    <row r="55" spans="3:17" x14ac:dyDescent="0.25">
      <c r="C55" t="str">
        <f t="shared" si="0"/>
        <v/>
      </c>
      <c r="Q55" t="str" cm="1">
        <f t="array" ref="Q55">IFERROR(IF($P55="","",_xlfn._xlws.FILTER(LT_LST[Lot],(LT_LST[Client Id.]=$C55)*(LT_LST[Strategy]=$D55)*(LT_LST[DTE/WTE]=$E55)*(LT_LST[Symbol]=$I55))),"-")</f>
        <v/>
      </c>
    </row>
    <row r="56" spans="3:17" x14ac:dyDescent="0.25">
      <c r="C56" t="str">
        <f t="shared" si="0"/>
        <v/>
      </c>
      <c r="Q56" t="str" cm="1">
        <f t="array" ref="Q56">IFERROR(IF($P56="","",_xlfn._xlws.FILTER(LT_LST[Lot],(LT_LST[Client Id.]=$C56)*(LT_LST[Strategy]=$D56)*(LT_LST[DTE/WTE]=$E56)*(LT_LST[Symbol]=$I56))),"-")</f>
        <v/>
      </c>
    </row>
    <row r="57" spans="3:17" x14ac:dyDescent="0.25">
      <c r="C57" t="str">
        <f t="shared" si="0"/>
        <v/>
      </c>
      <c r="Q57" t="str" cm="1">
        <f t="array" ref="Q57">IFERROR(IF($P57="","",_xlfn._xlws.FILTER(LT_LST[Lot],(LT_LST[Client Id.]=$C57)*(LT_LST[Strategy]=$D57)*(LT_LST[DTE/WTE]=$E57)*(LT_LST[Symbol]=$I57))),"-")</f>
        <v/>
      </c>
    </row>
    <row r="58" spans="3:17" x14ac:dyDescent="0.25">
      <c r="C58" t="str">
        <f t="shared" si="0"/>
        <v/>
      </c>
      <c r="Q58" t="str" cm="1">
        <f t="array" ref="Q58">IFERROR(IF($P58="","",_xlfn._xlws.FILTER(LT_LST[Lot],(LT_LST[Client Id.]=$C58)*(LT_LST[Strategy]=$D58)*(LT_LST[DTE/WTE]=$E58)*(LT_LST[Symbol]=$I58))),"-")</f>
        <v/>
      </c>
    </row>
    <row r="59" spans="3:17" x14ac:dyDescent="0.25">
      <c r="C59" t="str">
        <f t="shared" si="0"/>
        <v/>
      </c>
      <c r="Q59" t="str" cm="1">
        <f t="array" ref="Q59">IFERROR(IF($P59="","",_xlfn._xlws.FILTER(LT_LST[Lot],(LT_LST[Client Id.]=$C59)*(LT_LST[Strategy]=$D59)*(LT_LST[DTE/WTE]=$E59)*(LT_LST[Symbol]=$I59))),"-")</f>
        <v/>
      </c>
    </row>
    <row r="60" spans="3:17" x14ac:dyDescent="0.25">
      <c r="C60" t="str">
        <f t="shared" si="0"/>
        <v/>
      </c>
      <c r="Q60" t="str" cm="1">
        <f t="array" ref="Q60">IFERROR(IF($P60="","",_xlfn._xlws.FILTER(LT_LST[Lot],(LT_LST[Client Id.]=$C60)*(LT_LST[Strategy]=$D60)*(LT_LST[DTE/WTE]=$E60)*(LT_LST[Symbol]=$I60))),"-")</f>
        <v/>
      </c>
    </row>
    <row r="61" spans="3:17" x14ac:dyDescent="0.25">
      <c r="C61" t="str">
        <f t="shared" si="0"/>
        <v/>
      </c>
      <c r="Q61" t="str" cm="1">
        <f t="array" ref="Q61">IFERROR(IF($P61="","",_xlfn._xlws.FILTER(LT_LST[Lot],(LT_LST[Client Id.]=$C61)*(LT_LST[Strategy]=$D61)*(LT_LST[DTE/WTE]=$E61)*(LT_LST[Symbol]=$I61))),"-")</f>
        <v/>
      </c>
    </row>
    <row r="62" spans="3:17" x14ac:dyDescent="0.25">
      <c r="C62" t="str">
        <f t="shared" si="0"/>
        <v/>
      </c>
      <c r="Q62" t="str" cm="1">
        <f t="array" ref="Q62">IFERROR(IF($P62="","",_xlfn._xlws.FILTER(LT_LST[Lot],(LT_LST[Client Id.]=$C62)*(LT_LST[Strategy]=$D62)*(LT_LST[DTE/WTE]=$E62)*(LT_LST[Symbol]=$I62))),"-")</f>
        <v/>
      </c>
    </row>
    <row r="63" spans="3:17" x14ac:dyDescent="0.25">
      <c r="C63" t="str">
        <f t="shared" si="0"/>
        <v/>
      </c>
      <c r="Q63" t="str" cm="1">
        <f t="array" ref="Q63">IFERROR(IF($P63="","",_xlfn._xlws.FILTER(LT_LST[Lot],(LT_LST[Client Id.]=$C63)*(LT_LST[Strategy]=$D63)*(LT_LST[DTE/WTE]=$E63)*(LT_LST[Symbol]=$I63))),"-")</f>
        <v/>
      </c>
    </row>
    <row r="64" spans="3:17" x14ac:dyDescent="0.25">
      <c r="C64" t="str">
        <f t="shared" si="0"/>
        <v/>
      </c>
      <c r="Q64" t="str" cm="1">
        <f t="array" ref="Q64">IFERROR(IF($P64="","",_xlfn._xlws.FILTER(LT_LST[Lot],(LT_LST[Client Id.]=$C64)*(LT_LST[Strategy]=$D64)*(LT_LST[DTE/WTE]=$E64)*(LT_LST[Symbol]=$I64))),"-")</f>
        <v/>
      </c>
    </row>
    <row r="65" spans="3:17" x14ac:dyDescent="0.25">
      <c r="C65" t="str">
        <f t="shared" si="0"/>
        <v/>
      </c>
      <c r="Q65" t="str" cm="1">
        <f t="array" ref="Q65">IFERROR(IF($P65="","",_xlfn._xlws.FILTER(LT_LST[Lot],(LT_LST[Client Id.]=$C65)*(LT_LST[Strategy]=$D65)*(LT_LST[DTE/WTE]=$E65)*(LT_LST[Symbol]=$I65))),"-")</f>
        <v/>
      </c>
    </row>
    <row r="66" spans="3:17" x14ac:dyDescent="0.25">
      <c r="C66" t="str">
        <f t="shared" si="0"/>
        <v/>
      </c>
      <c r="Q66" t="str" cm="1">
        <f t="array" ref="Q66">IFERROR(IF($P66="","",_xlfn._xlws.FILTER(LT_LST[Lot],(LT_LST[Client Id.]=$C66)*(LT_LST[Strategy]=$D66)*(LT_LST[DTE/WTE]=$E66)*(LT_LST[Symbol]=$I66))),"-")</f>
        <v/>
      </c>
    </row>
    <row r="67" spans="3:17" x14ac:dyDescent="0.25">
      <c r="C67" t="str">
        <f t="shared" si="0"/>
        <v/>
      </c>
      <c r="Q67" t="str" cm="1">
        <f t="array" ref="Q67">IFERROR(IF($P67="","",_xlfn._xlws.FILTER(LT_LST[Lot],(LT_LST[Client Id.]=$C67)*(LT_LST[Strategy]=$D67)*(LT_LST[DTE/WTE]=$E67)*(LT_LST[Symbol]=$I67))),"-")</f>
        <v/>
      </c>
    </row>
    <row r="68" spans="3:17" x14ac:dyDescent="0.25">
      <c r="C68" t="str">
        <f t="shared" ref="C68:C131" si="1">IF(D68="","",$A$1)</f>
        <v/>
      </c>
      <c r="Q68" t="str" cm="1">
        <f t="array" ref="Q68">IFERROR(IF($P68="","",_xlfn._xlws.FILTER(LT_LST[Lot],(LT_LST[Client Id.]=$C68)*(LT_LST[Strategy]=$D68)*(LT_LST[DTE/WTE]=$E68)*(LT_LST[Symbol]=$I68))),"-")</f>
        <v/>
      </c>
    </row>
    <row r="69" spans="3:17" x14ac:dyDescent="0.25">
      <c r="C69" t="str">
        <f t="shared" si="1"/>
        <v/>
      </c>
      <c r="Q69" t="str" cm="1">
        <f t="array" ref="Q69">IFERROR(IF($P69="","",_xlfn._xlws.FILTER(LT_LST[Lot],(LT_LST[Client Id.]=$C69)*(LT_LST[Strategy]=$D69)*(LT_LST[DTE/WTE]=$E69)*(LT_LST[Symbol]=$I69))),"-")</f>
        <v/>
      </c>
    </row>
    <row r="70" spans="3:17" x14ac:dyDescent="0.25">
      <c r="C70" t="str">
        <f t="shared" si="1"/>
        <v/>
      </c>
      <c r="Q70" t="str" cm="1">
        <f t="array" ref="Q70">IFERROR(IF($P70="","",_xlfn._xlws.FILTER(LT_LST[Lot],(LT_LST[Client Id.]=$C70)*(LT_LST[Strategy]=$D70)*(LT_LST[DTE/WTE]=$E70)*(LT_LST[Symbol]=$I70))),"-")</f>
        <v/>
      </c>
    </row>
    <row r="71" spans="3:17" x14ac:dyDescent="0.25">
      <c r="C71" t="str">
        <f t="shared" si="1"/>
        <v/>
      </c>
      <c r="Q71" t="str" cm="1">
        <f t="array" ref="Q71">IFERROR(IF($P71="","",_xlfn._xlws.FILTER(LT_LST[Lot],(LT_LST[Client Id.]=$C71)*(LT_LST[Strategy]=$D71)*(LT_LST[DTE/WTE]=$E71)*(LT_LST[Symbol]=$I71))),"-")</f>
        <v/>
      </c>
    </row>
    <row r="72" spans="3:17" x14ac:dyDescent="0.25">
      <c r="C72" t="str">
        <f t="shared" si="1"/>
        <v/>
      </c>
      <c r="Q72" t="str" cm="1">
        <f t="array" ref="Q72">IFERROR(IF($P72="","",_xlfn._xlws.FILTER(LT_LST[Lot],(LT_LST[Client Id.]=$C72)*(LT_LST[Strategy]=$D72)*(LT_LST[DTE/WTE]=$E72)*(LT_LST[Symbol]=$I72))),"-")</f>
        <v/>
      </c>
    </row>
    <row r="73" spans="3:17" x14ac:dyDescent="0.25">
      <c r="C73" t="str">
        <f t="shared" si="1"/>
        <v/>
      </c>
      <c r="Q73" t="str" cm="1">
        <f t="array" ref="Q73">IFERROR(IF($P73="","",_xlfn._xlws.FILTER(LT_LST[Lot],(LT_LST[Client Id.]=$C73)*(LT_LST[Strategy]=$D73)*(LT_LST[DTE/WTE]=$E73)*(LT_LST[Symbol]=$I73))),"-")</f>
        <v/>
      </c>
    </row>
    <row r="74" spans="3:17" x14ac:dyDescent="0.25">
      <c r="C74" t="str">
        <f t="shared" si="1"/>
        <v/>
      </c>
      <c r="Q74" t="str" cm="1">
        <f t="array" ref="Q74">IFERROR(IF($P74="","",_xlfn._xlws.FILTER(LT_LST[Lot],(LT_LST[Client Id.]=$C74)*(LT_LST[Strategy]=$D74)*(LT_LST[DTE/WTE]=$E74)*(LT_LST[Symbol]=$I74))),"-")</f>
        <v/>
      </c>
    </row>
    <row r="75" spans="3:17" x14ac:dyDescent="0.25">
      <c r="C75" t="str">
        <f t="shared" si="1"/>
        <v/>
      </c>
      <c r="Q75" t="str" cm="1">
        <f t="array" ref="Q75">IFERROR(IF($P75="","",_xlfn._xlws.FILTER(LT_LST[Lot],(LT_LST[Client Id.]=$C75)*(LT_LST[Strategy]=$D75)*(LT_LST[DTE/WTE]=$E75)*(LT_LST[Symbol]=$I75))),"-")</f>
        <v/>
      </c>
    </row>
    <row r="76" spans="3:17" x14ac:dyDescent="0.25">
      <c r="C76" t="str">
        <f t="shared" si="1"/>
        <v/>
      </c>
      <c r="Q76" t="str" cm="1">
        <f t="array" ref="Q76">IFERROR(IF($P76="","",_xlfn._xlws.FILTER(LT_LST[Lot],(LT_LST[Client Id.]=$C76)*(LT_LST[Strategy]=$D76)*(LT_LST[DTE/WTE]=$E76)*(LT_LST[Symbol]=$I76))),"-")</f>
        <v/>
      </c>
    </row>
    <row r="77" spans="3:17" x14ac:dyDescent="0.25">
      <c r="C77" t="str">
        <f t="shared" si="1"/>
        <v/>
      </c>
      <c r="Q77" t="str" cm="1">
        <f t="array" ref="Q77">IFERROR(IF($P77="","",_xlfn._xlws.FILTER(LT_LST[Lot],(LT_LST[Client Id.]=$C77)*(LT_LST[Strategy]=$D77)*(LT_LST[DTE/WTE]=$E77)*(LT_LST[Symbol]=$I77))),"-")</f>
        <v/>
      </c>
    </row>
    <row r="78" spans="3:17" x14ac:dyDescent="0.25">
      <c r="C78" t="str">
        <f t="shared" si="1"/>
        <v/>
      </c>
      <c r="Q78" t="str" cm="1">
        <f t="array" ref="Q78">IFERROR(IF($P78="","",_xlfn._xlws.FILTER(LT_LST[Lot],(LT_LST[Client Id.]=$C78)*(LT_LST[Strategy]=$D78)*(LT_LST[DTE/WTE]=$E78)*(LT_LST[Symbol]=$I78))),"-")</f>
        <v/>
      </c>
    </row>
    <row r="79" spans="3:17" x14ac:dyDescent="0.25">
      <c r="C79" t="str">
        <f t="shared" si="1"/>
        <v/>
      </c>
      <c r="Q79" t="str" cm="1">
        <f t="array" ref="Q79">IFERROR(IF($P79="","",_xlfn._xlws.FILTER(LT_LST[Lot],(LT_LST[Client Id.]=$C79)*(LT_LST[Strategy]=$D79)*(LT_LST[DTE/WTE]=$E79)*(LT_LST[Symbol]=$I79))),"-")</f>
        <v/>
      </c>
    </row>
    <row r="80" spans="3:17" x14ac:dyDescent="0.25">
      <c r="C80" t="str">
        <f t="shared" si="1"/>
        <v/>
      </c>
      <c r="Q80" t="str" cm="1">
        <f t="array" ref="Q80">IFERROR(IF($P80="","",_xlfn._xlws.FILTER(LT_LST[Lot],(LT_LST[Client Id.]=$C80)*(LT_LST[Strategy]=$D80)*(LT_LST[DTE/WTE]=$E80)*(LT_LST[Symbol]=$I80))),"-")</f>
        <v/>
      </c>
    </row>
    <row r="81" spans="3:17" x14ac:dyDescent="0.25">
      <c r="C81" t="str">
        <f t="shared" si="1"/>
        <v/>
      </c>
      <c r="Q81" t="str" cm="1">
        <f t="array" ref="Q81">IFERROR(IF($P81="","",_xlfn._xlws.FILTER(LT_LST[Lot],(LT_LST[Client Id.]=$C81)*(LT_LST[Strategy]=$D81)*(LT_LST[DTE/WTE]=$E81)*(LT_LST[Symbol]=$I81))),"-")</f>
        <v/>
      </c>
    </row>
    <row r="82" spans="3:17" x14ac:dyDescent="0.25">
      <c r="C82" t="str">
        <f t="shared" si="1"/>
        <v/>
      </c>
      <c r="Q82" t="str" cm="1">
        <f t="array" ref="Q82">IFERROR(IF($P82="","",_xlfn._xlws.FILTER(LT_LST[Lot],(LT_LST[Client Id.]=$C82)*(LT_LST[Strategy]=$D82)*(LT_LST[DTE/WTE]=$E82)*(LT_LST[Symbol]=$I82))),"-")</f>
        <v/>
      </c>
    </row>
    <row r="83" spans="3:17" x14ac:dyDescent="0.25">
      <c r="C83" t="str">
        <f t="shared" si="1"/>
        <v/>
      </c>
      <c r="Q83" t="str" cm="1">
        <f t="array" ref="Q83">IFERROR(IF($P83="","",_xlfn._xlws.FILTER(LT_LST[Lot],(LT_LST[Client Id.]=$C83)*(LT_LST[Strategy]=$D83)*(LT_LST[DTE/WTE]=$E83)*(LT_LST[Symbol]=$I83))),"-")</f>
        <v/>
      </c>
    </row>
    <row r="84" spans="3:17" x14ac:dyDescent="0.25">
      <c r="C84" t="str">
        <f t="shared" si="1"/>
        <v/>
      </c>
      <c r="Q84" t="str" cm="1">
        <f t="array" ref="Q84">IFERROR(IF($P84="","",_xlfn._xlws.FILTER(LT_LST[Lot],(LT_LST[Client Id.]=$C84)*(LT_LST[Strategy]=$D84)*(LT_LST[DTE/WTE]=$E84)*(LT_LST[Symbol]=$I84))),"-")</f>
        <v/>
      </c>
    </row>
    <row r="85" spans="3:17" x14ac:dyDescent="0.25">
      <c r="C85" t="str">
        <f t="shared" si="1"/>
        <v/>
      </c>
      <c r="Q85" t="str" cm="1">
        <f t="array" ref="Q85">IFERROR(IF($P85="","",_xlfn._xlws.FILTER(LT_LST[Lot],(LT_LST[Client Id.]=$C85)*(LT_LST[Strategy]=$D85)*(LT_LST[DTE/WTE]=$E85)*(LT_LST[Symbol]=$I85))),"-")</f>
        <v/>
      </c>
    </row>
    <row r="86" spans="3:17" x14ac:dyDescent="0.25">
      <c r="C86" t="str">
        <f t="shared" si="1"/>
        <v/>
      </c>
      <c r="Q86" t="str" cm="1">
        <f t="array" ref="Q86">IFERROR(IF($P86="","",_xlfn._xlws.FILTER(LT_LST[Lot],(LT_LST[Client Id.]=$C86)*(LT_LST[Strategy]=$D86)*(LT_LST[DTE/WTE]=$E86)*(LT_LST[Symbol]=$I86))),"-")</f>
        <v/>
      </c>
    </row>
    <row r="87" spans="3:17" x14ac:dyDescent="0.25">
      <c r="C87" t="str">
        <f t="shared" si="1"/>
        <v/>
      </c>
      <c r="Q87" t="str" cm="1">
        <f t="array" ref="Q87">IFERROR(IF($P87="","",_xlfn._xlws.FILTER(LT_LST[Lot],(LT_LST[Client Id.]=$C87)*(LT_LST[Strategy]=$D87)*(LT_LST[DTE/WTE]=$E87)*(LT_LST[Symbol]=$I87))),"-")</f>
        <v/>
      </c>
    </row>
    <row r="88" spans="3:17" x14ac:dyDescent="0.25">
      <c r="C88" t="str">
        <f t="shared" si="1"/>
        <v/>
      </c>
      <c r="Q88" t="str" cm="1">
        <f t="array" ref="Q88">IFERROR(IF($P88="","",_xlfn._xlws.FILTER(LT_LST[Lot],(LT_LST[Client Id.]=$C88)*(LT_LST[Strategy]=$D88)*(LT_LST[DTE/WTE]=$E88)*(LT_LST[Symbol]=$I88))),"-")</f>
        <v/>
      </c>
    </row>
    <row r="89" spans="3:17" x14ac:dyDescent="0.25">
      <c r="C89" t="str">
        <f t="shared" si="1"/>
        <v/>
      </c>
      <c r="Q89" t="str" cm="1">
        <f t="array" ref="Q89">IFERROR(IF($P89="","",_xlfn._xlws.FILTER(LT_LST[Lot],(LT_LST[Client Id.]=$C89)*(LT_LST[Strategy]=$D89)*(LT_LST[DTE/WTE]=$E89)*(LT_LST[Symbol]=$I89))),"-")</f>
        <v/>
      </c>
    </row>
    <row r="90" spans="3:17" x14ac:dyDescent="0.25">
      <c r="C90" t="str">
        <f t="shared" si="1"/>
        <v/>
      </c>
      <c r="Q90" t="str" cm="1">
        <f t="array" ref="Q90">IFERROR(IF($P90="","",_xlfn._xlws.FILTER(LT_LST[Lot],(LT_LST[Client Id.]=$C90)*(LT_LST[Strategy]=$D90)*(LT_LST[DTE/WTE]=$E90)*(LT_LST[Symbol]=$I90))),"-")</f>
        <v/>
      </c>
    </row>
    <row r="91" spans="3:17" x14ac:dyDescent="0.25">
      <c r="C91" t="str">
        <f t="shared" si="1"/>
        <v/>
      </c>
      <c r="Q91" t="str" cm="1">
        <f t="array" ref="Q91">IFERROR(IF($P91="","",_xlfn._xlws.FILTER(LT_LST[Lot],(LT_LST[Client Id.]=$C91)*(LT_LST[Strategy]=$D91)*(LT_LST[DTE/WTE]=$E91)*(LT_LST[Symbol]=$I91))),"-")</f>
        <v/>
      </c>
    </row>
    <row r="92" spans="3:17" x14ac:dyDescent="0.25">
      <c r="C92" t="str">
        <f t="shared" si="1"/>
        <v/>
      </c>
      <c r="Q92" t="str" cm="1">
        <f t="array" ref="Q92">IFERROR(IF($P92="","",_xlfn._xlws.FILTER(LT_LST[Lot],(LT_LST[Client Id.]=$C92)*(LT_LST[Strategy]=$D92)*(LT_LST[DTE/WTE]=$E92)*(LT_LST[Symbol]=$I92))),"-")</f>
        <v/>
      </c>
    </row>
    <row r="93" spans="3:17" x14ac:dyDescent="0.25">
      <c r="C93" t="str">
        <f t="shared" si="1"/>
        <v/>
      </c>
      <c r="Q93" t="str" cm="1">
        <f t="array" ref="Q93">IFERROR(IF($P93="","",_xlfn._xlws.FILTER(LT_LST[Lot],(LT_LST[Client Id.]=$C93)*(LT_LST[Strategy]=$D93)*(LT_LST[DTE/WTE]=$E93)*(LT_LST[Symbol]=$I93))),"-")</f>
        <v/>
      </c>
    </row>
    <row r="94" spans="3:17" x14ac:dyDescent="0.25">
      <c r="C94" t="str">
        <f t="shared" si="1"/>
        <v/>
      </c>
      <c r="Q94" t="str" cm="1">
        <f t="array" ref="Q94">IFERROR(IF($P94="","",_xlfn._xlws.FILTER(LT_LST[Lot],(LT_LST[Client Id.]=$C94)*(LT_LST[Strategy]=$D94)*(LT_LST[DTE/WTE]=$E94)*(LT_LST[Symbol]=$I94))),"-")</f>
        <v/>
      </c>
    </row>
    <row r="95" spans="3:17" x14ac:dyDescent="0.25">
      <c r="C95" t="str">
        <f t="shared" si="1"/>
        <v/>
      </c>
      <c r="Q95" t="str" cm="1">
        <f t="array" ref="Q95">IFERROR(IF($P95="","",_xlfn._xlws.FILTER(LT_LST[Lot],(LT_LST[Client Id.]=$C95)*(LT_LST[Strategy]=$D95)*(LT_LST[DTE/WTE]=$E95)*(LT_LST[Symbol]=$I95))),"-")</f>
        <v/>
      </c>
    </row>
    <row r="96" spans="3:17" x14ac:dyDescent="0.25">
      <c r="C96" t="str">
        <f t="shared" si="1"/>
        <v/>
      </c>
      <c r="Q96" t="str" cm="1">
        <f t="array" ref="Q96">IFERROR(IF($P96="","",_xlfn._xlws.FILTER(LT_LST[Lot],(LT_LST[Client Id.]=$C96)*(LT_LST[Strategy]=$D96)*(LT_LST[DTE/WTE]=$E96)*(LT_LST[Symbol]=$I96))),"-")</f>
        <v/>
      </c>
    </row>
    <row r="97" spans="3:17" x14ac:dyDescent="0.25">
      <c r="C97" t="str">
        <f t="shared" si="1"/>
        <v/>
      </c>
      <c r="Q97" t="str" cm="1">
        <f t="array" ref="Q97">IFERROR(IF($P97="","",_xlfn._xlws.FILTER(LT_LST[Lot],(LT_LST[Client Id.]=$C97)*(LT_LST[Strategy]=$D97)*(LT_LST[DTE/WTE]=$E97)*(LT_LST[Symbol]=$I97))),"-")</f>
        <v/>
      </c>
    </row>
    <row r="98" spans="3:17" x14ac:dyDescent="0.25">
      <c r="C98" t="str">
        <f t="shared" si="1"/>
        <v/>
      </c>
      <c r="Q98" t="str" cm="1">
        <f t="array" ref="Q98">IFERROR(IF($P98="","",_xlfn._xlws.FILTER(LT_LST[Lot],(LT_LST[Client Id.]=$C98)*(LT_LST[Strategy]=$D98)*(LT_LST[DTE/WTE]=$E98)*(LT_LST[Symbol]=$I98))),"-")</f>
        <v/>
      </c>
    </row>
    <row r="99" spans="3:17" x14ac:dyDescent="0.25">
      <c r="C99" t="str">
        <f t="shared" si="1"/>
        <v/>
      </c>
      <c r="Q99" t="str" cm="1">
        <f t="array" ref="Q99">IFERROR(IF($P99="","",_xlfn._xlws.FILTER(LT_LST[Lot],(LT_LST[Client Id.]=$C99)*(LT_LST[Strategy]=$D99)*(LT_LST[DTE/WTE]=$E99)*(LT_LST[Symbol]=$I99))),"-")</f>
        <v/>
      </c>
    </row>
    <row r="100" spans="3:17" x14ac:dyDescent="0.25">
      <c r="C100" t="str">
        <f t="shared" si="1"/>
        <v/>
      </c>
      <c r="Q100" t="str" cm="1">
        <f t="array" ref="Q100">IFERROR(IF($P100="","",_xlfn._xlws.FILTER(LT_LST[Lot],(LT_LST[Client Id.]=$C100)*(LT_LST[Strategy]=$D100)*(LT_LST[DTE/WTE]=$E100)*(LT_LST[Symbol]=$I100))),"-")</f>
        <v/>
      </c>
    </row>
    <row r="101" spans="3:17" x14ac:dyDescent="0.25">
      <c r="C101" t="str">
        <f t="shared" si="1"/>
        <v/>
      </c>
      <c r="Q101" t="str" cm="1">
        <f t="array" ref="Q101">IFERROR(IF($P101="","",_xlfn._xlws.FILTER(LT_LST[Lot],(LT_LST[Client Id.]=$C101)*(LT_LST[Strategy]=$D101)*(LT_LST[DTE/WTE]=$E101)*(LT_LST[Symbol]=$I101))),"-")</f>
        <v/>
      </c>
    </row>
    <row r="102" spans="3:17" x14ac:dyDescent="0.25">
      <c r="C102" t="str">
        <f t="shared" si="1"/>
        <v/>
      </c>
      <c r="Q102" t="str" cm="1">
        <f t="array" ref="Q102">IFERROR(IF($P102="","",_xlfn._xlws.FILTER(LT_LST[Lot],(LT_LST[Client Id.]=$C102)*(LT_LST[Strategy]=$D102)*(LT_LST[DTE/WTE]=$E102)*(LT_LST[Symbol]=$I102))),"-")</f>
        <v/>
      </c>
    </row>
    <row r="103" spans="3:17" x14ac:dyDescent="0.25">
      <c r="C103" t="str">
        <f t="shared" si="1"/>
        <v/>
      </c>
      <c r="Q103" t="str" cm="1">
        <f t="array" ref="Q103">IFERROR(IF($P103="","",_xlfn._xlws.FILTER(LT_LST[Lot],(LT_LST[Client Id.]=$C103)*(LT_LST[Strategy]=$D103)*(LT_LST[DTE/WTE]=$E103)*(LT_LST[Symbol]=$I103))),"-")</f>
        <v/>
      </c>
    </row>
    <row r="104" spans="3:17" x14ac:dyDescent="0.25">
      <c r="C104" t="str">
        <f t="shared" si="1"/>
        <v/>
      </c>
      <c r="Q104" t="str" cm="1">
        <f t="array" ref="Q104">IFERROR(IF($P104="","",_xlfn._xlws.FILTER(LT_LST[Lot],(LT_LST[Client Id.]=$C104)*(LT_LST[Strategy]=$D104)*(LT_LST[DTE/WTE]=$E104)*(LT_LST[Symbol]=$I104))),"-")</f>
        <v/>
      </c>
    </row>
    <row r="105" spans="3:17" x14ac:dyDescent="0.25">
      <c r="C105" t="str">
        <f t="shared" si="1"/>
        <v/>
      </c>
      <c r="Q105" t="str" cm="1">
        <f t="array" ref="Q105">IFERROR(IF($P105="","",_xlfn._xlws.FILTER(LT_LST[Lot],(LT_LST[Client Id.]=$C105)*(LT_LST[Strategy]=$D105)*(LT_LST[DTE/WTE]=$E105)*(LT_LST[Symbol]=$I105))),"-")</f>
        <v/>
      </c>
    </row>
    <row r="106" spans="3:17" x14ac:dyDescent="0.25">
      <c r="C106" t="str">
        <f t="shared" si="1"/>
        <v/>
      </c>
      <c r="Q106" t="str" cm="1">
        <f t="array" ref="Q106">IFERROR(IF($P106="","",_xlfn._xlws.FILTER(LT_LST[Lot],(LT_LST[Client Id.]=$C106)*(LT_LST[Strategy]=$D106)*(LT_LST[DTE/WTE]=$E106)*(LT_LST[Symbol]=$I106))),"-")</f>
        <v/>
      </c>
    </row>
    <row r="107" spans="3:17" x14ac:dyDescent="0.25">
      <c r="C107" t="str">
        <f t="shared" si="1"/>
        <v/>
      </c>
      <c r="Q107" t="str" cm="1">
        <f t="array" ref="Q107">IFERROR(IF($P107="","",_xlfn._xlws.FILTER(LT_LST[Lot],(LT_LST[Client Id.]=$C107)*(LT_LST[Strategy]=$D107)*(LT_LST[DTE/WTE]=$E107)*(LT_LST[Symbol]=$I107))),"-")</f>
        <v/>
      </c>
    </row>
    <row r="108" spans="3:17" x14ac:dyDescent="0.25">
      <c r="C108" t="str">
        <f t="shared" si="1"/>
        <v/>
      </c>
      <c r="Q108" t="str" cm="1">
        <f t="array" ref="Q108">IFERROR(IF($P108="","",_xlfn._xlws.FILTER(LT_LST[Lot],(LT_LST[Client Id.]=$C108)*(LT_LST[Strategy]=$D108)*(LT_LST[DTE/WTE]=$E108)*(LT_LST[Symbol]=$I108))),"-")</f>
        <v/>
      </c>
    </row>
    <row r="109" spans="3:17" x14ac:dyDescent="0.25">
      <c r="C109" t="str">
        <f t="shared" si="1"/>
        <v/>
      </c>
      <c r="Q109" t="str" cm="1">
        <f t="array" ref="Q109">IFERROR(IF($P109="","",_xlfn._xlws.FILTER(LT_LST[Lot],(LT_LST[Client Id.]=$C109)*(LT_LST[Strategy]=$D109)*(LT_LST[DTE/WTE]=$E109)*(LT_LST[Symbol]=$I109))),"-")</f>
        <v/>
      </c>
    </row>
    <row r="110" spans="3:17" x14ac:dyDescent="0.25">
      <c r="C110" t="str">
        <f t="shared" si="1"/>
        <v/>
      </c>
      <c r="Q110" t="str" cm="1">
        <f t="array" ref="Q110">IFERROR(IF($P110="","",_xlfn._xlws.FILTER(LT_LST[Lot],(LT_LST[Client Id.]=$C110)*(LT_LST[Strategy]=$D110)*(LT_LST[DTE/WTE]=$E110)*(LT_LST[Symbol]=$I110))),"-")</f>
        <v/>
      </c>
    </row>
    <row r="111" spans="3:17" x14ac:dyDescent="0.25">
      <c r="C111" t="str">
        <f t="shared" si="1"/>
        <v/>
      </c>
      <c r="Q111" t="str" cm="1">
        <f t="array" ref="Q111">IFERROR(IF($P111="","",_xlfn._xlws.FILTER(LT_LST[Lot],(LT_LST[Client Id.]=$C111)*(LT_LST[Strategy]=$D111)*(LT_LST[DTE/WTE]=$E111)*(LT_LST[Symbol]=$I111))),"-")</f>
        <v/>
      </c>
    </row>
    <row r="112" spans="3:17" x14ac:dyDescent="0.25">
      <c r="C112" t="str">
        <f t="shared" si="1"/>
        <v/>
      </c>
      <c r="Q112" t="str" cm="1">
        <f t="array" ref="Q112">IFERROR(IF($P112="","",_xlfn._xlws.FILTER(LT_LST[Lot],(LT_LST[Client Id.]=$C112)*(LT_LST[Strategy]=$D112)*(LT_LST[DTE/WTE]=$E112)*(LT_LST[Symbol]=$I112))),"-")</f>
        <v/>
      </c>
    </row>
    <row r="113" spans="3:17" x14ac:dyDescent="0.25">
      <c r="C113" t="str">
        <f t="shared" si="1"/>
        <v/>
      </c>
      <c r="Q113" t="str" cm="1">
        <f t="array" ref="Q113">IFERROR(IF($P113="","",_xlfn._xlws.FILTER(LT_LST[Lot],(LT_LST[Client Id.]=$C113)*(LT_LST[Strategy]=$D113)*(LT_LST[DTE/WTE]=$E113)*(LT_LST[Symbol]=$I113))),"-")</f>
        <v/>
      </c>
    </row>
    <row r="114" spans="3:17" x14ac:dyDescent="0.25">
      <c r="C114" t="str">
        <f t="shared" si="1"/>
        <v/>
      </c>
      <c r="Q114" t="str" cm="1">
        <f t="array" ref="Q114">IFERROR(IF($P114="","",_xlfn._xlws.FILTER(LT_LST[Lot],(LT_LST[Client Id.]=$C114)*(LT_LST[Strategy]=$D114)*(LT_LST[DTE/WTE]=$E114)*(LT_LST[Symbol]=$I114))),"-")</f>
        <v/>
      </c>
    </row>
    <row r="115" spans="3:17" x14ac:dyDescent="0.25">
      <c r="C115" t="str">
        <f t="shared" si="1"/>
        <v/>
      </c>
      <c r="Q115" t="str" cm="1">
        <f t="array" ref="Q115">IFERROR(IF($P115="","",_xlfn._xlws.FILTER(LT_LST[Lot],(LT_LST[Client Id.]=$C115)*(LT_LST[Strategy]=$D115)*(LT_LST[DTE/WTE]=$E115)*(LT_LST[Symbol]=$I115))),"-")</f>
        <v/>
      </c>
    </row>
    <row r="116" spans="3:17" x14ac:dyDescent="0.25">
      <c r="C116" t="str">
        <f t="shared" si="1"/>
        <v/>
      </c>
      <c r="Q116" t="str" cm="1">
        <f t="array" ref="Q116">IFERROR(IF($P116="","",_xlfn._xlws.FILTER(LT_LST[Lot],(LT_LST[Client Id.]=$C116)*(LT_LST[Strategy]=$D116)*(LT_LST[DTE/WTE]=$E116)*(LT_LST[Symbol]=$I116))),"-")</f>
        <v/>
      </c>
    </row>
    <row r="117" spans="3:17" x14ac:dyDescent="0.25">
      <c r="C117" t="str">
        <f t="shared" si="1"/>
        <v/>
      </c>
      <c r="Q117" t="str" cm="1">
        <f t="array" ref="Q117">IFERROR(IF($P117="","",_xlfn._xlws.FILTER(LT_LST[Lot],(LT_LST[Client Id.]=$C117)*(LT_LST[Strategy]=$D117)*(LT_LST[DTE/WTE]=$E117)*(LT_LST[Symbol]=$I117))),"-")</f>
        <v/>
      </c>
    </row>
    <row r="118" spans="3:17" x14ac:dyDescent="0.25">
      <c r="C118" t="str">
        <f t="shared" si="1"/>
        <v/>
      </c>
      <c r="Q118" t="str" cm="1">
        <f t="array" ref="Q118">IFERROR(IF($P118="","",_xlfn._xlws.FILTER(LT_LST[Lot],(LT_LST[Client Id.]=$C118)*(LT_LST[Strategy]=$D118)*(LT_LST[DTE/WTE]=$E118)*(LT_LST[Symbol]=$I118))),"-")</f>
        <v/>
      </c>
    </row>
    <row r="119" spans="3:17" x14ac:dyDescent="0.25">
      <c r="C119" t="str">
        <f t="shared" si="1"/>
        <v/>
      </c>
      <c r="Q119" t="str" cm="1">
        <f t="array" ref="Q119">IFERROR(IF($P119="","",_xlfn._xlws.FILTER(LT_LST[Lot],(LT_LST[Client Id.]=$C119)*(LT_LST[Strategy]=$D119)*(LT_LST[DTE/WTE]=$E119)*(LT_LST[Symbol]=$I119))),"-")</f>
        <v/>
      </c>
    </row>
    <row r="120" spans="3:17" x14ac:dyDescent="0.25">
      <c r="C120" t="str">
        <f t="shared" si="1"/>
        <v/>
      </c>
      <c r="Q120" t="str" cm="1">
        <f t="array" ref="Q120">IFERROR(IF($P120="","",_xlfn._xlws.FILTER(LT_LST[Lot],(LT_LST[Client Id.]=$C120)*(LT_LST[Strategy]=$D120)*(LT_LST[DTE/WTE]=$E120)*(LT_LST[Symbol]=$I120))),"-")</f>
        <v/>
      </c>
    </row>
    <row r="121" spans="3:17" x14ac:dyDescent="0.25">
      <c r="C121" t="str">
        <f t="shared" si="1"/>
        <v/>
      </c>
      <c r="Q121" t="str" cm="1">
        <f t="array" ref="Q121">IFERROR(IF($P121="","",_xlfn._xlws.FILTER(LT_LST[Lot],(LT_LST[Client Id.]=$C121)*(LT_LST[Strategy]=$D121)*(LT_LST[DTE/WTE]=$E121)*(LT_LST[Symbol]=$I121))),"-")</f>
        <v/>
      </c>
    </row>
    <row r="122" spans="3:17" x14ac:dyDescent="0.25">
      <c r="C122" t="str">
        <f t="shared" si="1"/>
        <v/>
      </c>
      <c r="Q122" t="str" cm="1">
        <f t="array" ref="Q122">IFERROR(IF($P122="","",_xlfn._xlws.FILTER(LT_LST[Lot],(LT_LST[Client Id.]=$C122)*(LT_LST[Strategy]=$D122)*(LT_LST[DTE/WTE]=$E122)*(LT_LST[Symbol]=$I122))),"-")</f>
        <v/>
      </c>
    </row>
    <row r="123" spans="3:17" x14ac:dyDescent="0.25">
      <c r="C123" t="str">
        <f t="shared" si="1"/>
        <v/>
      </c>
      <c r="Q123" t="str" cm="1">
        <f t="array" ref="Q123">IFERROR(IF($P123="","",_xlfn._xlws.FILTER(LT_LST[Lot],(LT_LST[Client Id.]=$C123)*(LT_LST[Strategy]=$D123)*(LT_LST[DTE/WTE]=$E123)*(LT_LST[Symbol]=$I123))),"-")</f>
        <v/>
      </c>
    </row>
    <row r="124" spans="3:17" x14ac:dyDescent="0.25">
      <c r="C124" t="str">
        <f t="shared" si="1"/>
        <v/>
      </c>
      <c r="Q124" t="str" cm="1">
        <f t="array" ref="Q124">IFERROR(IF($P124="","",_xlfn._xlws.FILTER(LT_LST[Lot],(LT_LST[Client Id.]=$C124)*(LT_LST[Strategy]=$D124)*(LT_LST[DTE/WTE]=$E124)*(LT_LST[Symbol]=$I124))),"-")</f>
        <v/>
      </c>
    </row>
    <row r="125" spans="3:17" x14ac:dyDescent="0.25">
      <c r="C125" t="str">
        <f t="shared" si="1"/>
        <v/>
      </c>
      <c r="Q125" t="str" cm="1">
        <f t="array" ref="Q125">IFERROR(IF($P125="","",_xlfn._xlws.FILTER(LT_LST[Lot],(LT_LST[Client Id.]=$C125)*(LT_LST[Strategy]=$D125)*(LT_LST[DTE/WTE]=$E125)*(LT_LST[Symbol]=$I125))),"-")</f>
        <v/>
      </c>
    </row>
    <row r="126" spans="3:17" x14ac:dyDescent="0.25">
      <c r="C126" t="str">
        <f t="shared" si="1"/>
        <v/>
      </c>
      <c r="Q126" t="str" cm="1">
        <f t="array" ref="Q126">IFERROR(IF($P126="","",_xlfn._xlws.FILTER(LT_LST[Lot],(LT_LST[Client Id.]=$C126)*(LT_LST[Strategy]=$D126)*(LT_LST[DTE/WTE]=$E126)*(LT_LST[Symbol]=$I126))),"-")</f>
        <v/>
      </c>
    </row>
    <row r="127" spans="3:17" x14ac:dyDescent="0.25">
      <c r="C127" t="str">
        <f t="shared" si="1"/>
        <v/>
      </c>
      <c r="Q127" t="str" cm="1">
        <f t="array" ref="Q127">IFERROR(IF($P127="","",_xlfn._xlws.FILTER(LT_LST[Lot],(LT_LST[Client Id.]=$C127)*(LT_LST[Strategy]=$D127)*(LT_LST[DTE/WTE]=$E127)*(LT_LST[Symbol]=$I127))),"-")</f>
        <v/>
      </c>
    </row>
    <row r="128" spans="3:17" x14ac:dyDescent="0.25">
      <c r="C128" t="str">
        <f t="shared" si="1"/>
        <v/>
      </c>
      <c r="Q128" t="str" cm="1">
        <f t="array" ref="Q128">IFERROR(IF($P128="","",_xlfn._xlws.FILTER(LT_LST[Lot],(LT_LST[Client Id.]=$C128)*(LT_LST[Strategy]=$D128)*(LT_LST[DTE/WTE]=$E128)*(LT_LST[Symbol]=$I128))),"-")</f>
        <v/>
      </c>
    </row>
    <row r="129" spans="3:17" x14ac:dyDescent="0.25">
      <c r="C129" t="str">
        <f t="shared" si="1"/>
        <v/>
      </c>
      <c r="Q129" t="str" cm="1">
        <f t="array" ref="Q129">IFERROR(IF($P129="","",_xlfn._xlws.FILTER(LT_LST[Lot],(LT_LST[Client Id.]=$C129)*(LT_LST[Strategy]=$D129)*(LT_LST[DTE/WTE]=$E129)*(LT_LST[Symbol]=$I129))),"-")</f>
        <v/>
      </c>
    </row>
    <row r="130" spans="3:17" x14ac:dyDescent="0.25">
      <c r="C130" t="str">
        <f t="shared" si="1"/>
        <v/>
      </c>
      <c r="Q130" t="str" cm="1">
        <f t="array" ref="Q130">IFERROR(IF($P130="","",_xlfn._xlws.FILTER(LT_LST[Lot],(LT_LST[Client Id.]=$C130)*(LT_LST[Strategy]=$D130)*(LT_LST[DTE/WTE]=$E130)*(LT_LST[Symbol]=$I130))),"-")</f>
        <v/>
      </c>
    </row>
    <row r="131" spans="3:17" x14ac:dyDescent="0.25">
      <c r="C131" t="str">
        <f t="shared" si="1"/>
        <v/>
      </c>
      <c r="Q131" t="str" cm="1">
        <f t="array" ref="Q131">IFERROR(IF($P131="","",_xlfn._xlws.FILTER(LT_LST[Lot],(LT_LST[Client Id.]=$C131)*(LT_LST[Strategy]=$D131)*(LT_LST[DTE/WTE]=$E131)*(LT_LST[Symbol]=$I131))),"-")</f>
        <v/>
      </c>
    </row>
    <row r="132" spans="3:17" x14ac:dyDescent="0.25">
      <c r="C132" t="str">
        <f t="shared" ref="C132:C195" si="2">IF(D132="","",$A$1)</f>
        <v/>
      </c>
      <c r="Q132" t="str" cm="1">
        <f t="array" ref="Q132">IFERROR(IF($P132="","",_xlfn._xlws.FILTER(LT_LST[Lot],(LT_LST[Client Id.]=$C132)*(LT_LST[Strategy]=$D132)*(LT_LST[DTE/WTE]=$E132)*(LT_LST[Symbol]=$I132))),"-")</f>
        <v/>
      </c>
    </row>
    <row r="133" spans="3:17" x14ac:dyDescent="0.25">
      <c r="C133" t="str">
        <f t="shared" si="2"/>
        <v/>
      </c>
      <c r="Q133" t="str" cm="1">
        <f t="array" ref="Q133">IFERROR(IF($P133="","",_xlfn._xlws.FILTER(LT_LST[Lot],(LT_LST[Client Id.]=$C133)*(LT_LST[Strategy]=$D133)*(LT_LST[DTE/WTE]=$E133)*(LT_LST[Symbol]=$I133))),"-")</f>
        <v/>
      </c>
    </row>
    <row r="134" spans="3:17" x14ac:dyDescent="0.25">
      <c r="C134" t="str">
        <f t="shared" si="2"/>
        <v/>
      </c>
      <c r="Q134" t="str" cm="1">
        <f t="array" ref="Q134">IFERROR(IF($P134="","",_xlfn._xlws.FILTER(LT_LST[Lot],(LT_LST[Client Id.]=$C134)*(LT_LST[Strategy]=$D134)*(LT_LST[DTE/WTE]=$E134)*(LT_LST[Symbol]=$I134))),"-")</f>
        <v/>
      </c>
    </row>
    <row r="135" spans="3:17" x14ac:dyDescent="0.25">
      <c r="C135" t="str">
        <f t="shared" si="2"/>
        <v/>
      </c>
      <c r="Q135" t="str" cm="1">
        <f t="array" ref="Q135">IFERROR(IF($P135="","",_xlfn._xlws.FILTER(LT_LST[Lot],(LT_LST[Client Id.]=$C135)*(LT_LST[Strategy]=$D135)*(LT_LST[DTE/WTE]=$E135)*(LT_LST[Symbol]=$I135))),"-")</f>
        <v/>
      </c>
    </row>
    <row r="136" spans="3:17" x14ac:dyDescent="0.25">
      <c r="C136" t="str">
        <f t="shared" si="2"/>
        <v/>
      </c>
      <c r="Q136" t="str" cm="1">
        <f t="array" ref="Q136">IFERROR(IF($P136="","",_xlfn._xlws.FILTER(LT_LST[Lot],(LT_LST[Client Id.]=$C136)*(LT_LST[Strategy]=$D136)*(LT_LST[DTE/WTE]=$E136)*(LT_LST[Symbol]=$I136))),"-")</f>
        <v/>
      </c>
    </row>
    <row r="137" spans="3:17" x14ac:dyDescent="0.25">
      <c r="C137" t="str">
        <f t="shared" si="2"/>
        <v/>
      </c>
      <c r="Q137" t="str" cm="1">
        <f t="array" ref="Q137">IFERROR(IF($P137="","",_xlfn._xlws.FILTER(LT_LST[Lot],(LT_LST[Client Id.]=$C137)*(LT_LST[Strategy]=$D137)*(LT_LST[DTE/WTE]=$E137)*(LT_LST[Symbol]=$I137))),"-")</f>
        <v/>
      </c>
    </row>
    <row r="138" spans="3:17" x14ac:dyDescent="0.25">
      <c r="C138" t="str">
        <f t="shared" si="2"/>
        <v/>
      </c>
      <c r="Q138" t="str" cm="1">
        <f t="array" ref="Q138">IFERROR(IF($P138="","",_xlfn._xlws.FILTER(LT_LST[Lot],(LT_LST[Client Id.]=$C138)*(LT_LST[Strategy]=$D138)*(LT_LST[DTE/WTE]=$E138)*(LT_LST[Symbol]=$I138))),"-")</f>
        <v/>
      </c>
    </row>
    <row r="139" spans="3:17" x14ac:dyDescent="0.25">
      <c r="C139" t="str">
        <f t="shared" si="2"/>
        <v/>
      </c>
      <c r="Q139" t="str" cm="1">
        <f t="array" ref="Q139">IFERROR(IF($P139="","",_xlfn._xlws.FILTER(LT_LST[Lot],(LT_LST[Client Id.]=$C139)*(LT_LST[Strategy]=$D139)*(LT_LST[DTE/WTE]=$E139)*(LT_LST[Symbol]=$I139))),"-")</f>
        <v/>
      </c>
    </row>
    <row r="140" spans="3:17" x14ac:dyDescent="0.25">
      <c r="C140" t="str">
        <f t="shared" si="2"/>
        <v/>
      </c>
      <c r="Q140" t="str" cm="1">
        <f t="array" ref="Q140">IFERROR(IF($P140="","",_xlfn._xlws.FILTER(LT_LST[Lot],(LT_LST[Client Id.]=$C140)*(LT_LST[Strategy]=$D140)*(LT_LST[DTE/WTE]=$E140)*(LT_LST[Symbol]=$I140))),"-")</f>
        <v/>
      </c>
    </row>
    <row r="141" spans="3:17" x14ac:dyDescent="0.25">
      <c r="C141" t="str">
        <f t="shared" si="2"/>
        <v/>
      </c>
      <c r="Q141" t="str" cm="1">
        <f t="array" ref="Q141">IFERROR(IF($P141="","",_xlfn._xlws.FILTER(LT_LST[Lot],(LT_LST[Client Id.]=$C141)*(LT_LST[Strategy]=$D141)*(LT_LST[DTE/WTE]=$E141)*(LT_LST[Symbol]=$I141))),"-")</f>
        <v/>
      </c>
    </row>
    <row r="142" spans="3:17" x14ac:dyDescent="0.25">
      <c r="C142" t="str">
        <f t="shared" si="2"/>
        <v/>
      </c>
      <c r="Q142" t="str" cm="1">
        <f t="array" ref="Q142">IFERROR(IF($P142="","",_xlfn._xlws.FILTER(LT_LST[Lot],(LT_LST[Client Id.]=$C142)*(LT_LST[Strategy]=$D142)*(LT_LST[DTE/WTE]=$E142)*(LT_LST[Symbol]=$I142))),"-")</f>
        <v/>
      </c>
    </row>
    <row r="143" spans="3:17" x14ac:dyDescent="0.25">
      <c r="C143" t="str">
        <f t="shared" si="2"/>
        <v/>
      </c>
      <c r="Q143" t="str" cm="1">
        <f t="array" ref="Q143">IFERROR(IF($P143="","",_xlfn._xlws.FILTER(LT_LST[Lot],(LT_LST[Client Id.]=$C143)*(LT_LST[Strategy]=$D143)*(LT_LST[DTE/WTE]=$E143)*(LT_LST[Symbol]=$I143))),"-")</f>
        <v/>
      </c>
    </row>
    <row r="144" spans="3:17" x14ac:dyDescent="0.25">
      <c r="C144" t="str">
        <f t="shared" si="2"/>
        <v/>
      </c>
      <c r="Q144" t="str" cm="1">
        <f t="array" ref="Q144">IFERROR(IF($P144="","",_xlfn._xlws.FILTER(LT_LST[Lot],(LT_LST[Client Id.]=$C144)*(LT_LST[Strategy]=$D144)*(LT_LST[DTE/WTE]=$E144)*(LT_LST[Symbol]=$I144))),"-")</f>
        <v/>
      </c>
    </row>
    <row r="145" spans="3:17" x14ac:dyDescent="0.25">
      <c r="C145" t="str">
        <f t="shared" si="2"/>
        <v/>
      </c>
      <c r="Q145" t="str" cm="1">
        <f t="array" ref="Q145">IFERROR(IF($P145="","",_xlfn._xlws.FILTER(LT_LST[Lot],(LT_LST[Client Id.]=$C145)*(LT_LST[Strategy]=$D145)*(LT_LST[DTE/WTE]=$E145)*(LT_LST[Symbol]=$I145))),"-")</f>
        <v/>
      </c>
    </row>
    <row r="146" spans="3:17" x14ac:dyDescent="0.25">
      <c r="C146" t="str">
        <f t="shared" si="2"/>
        <v/>
      </c>
      <c r="Q146" t="str" cm="1">
        <f t="array" ref="Q146">IFERROR(IF($P146="","",_xlfn._xlws.FILTER(LT_LST[Lot],(LT_LST[Client Id.]=$C146)*(LT_LST[Strategy]=$D146)*(LT_LST[DTE/WTE]=$E146)*(LT_LST[Symbol]=$I146))),"-")</f>
        <v/>
      </c>
    </row>
    <row r="147" spans="3:17" x14ac:dyDescent="0.25">
      <c r="C147" t="str">
        <f t="shared" si="2"/>
        <v/>
      </c>
      <c r="Q147" t="str" cm="1">
        <f t="array" ref="Q147">IFERROR(IF($P147="","",_xlfn._xlws.FILTER(LT_LST[Lot],(LT_LST[Client Id.]=$C147)*(LT_LST[Strategy]=$D147)*(LT_LST[DTE/WTE]=$E147)*(LT_LST[Symbol]=$I147))),"-")</f>
        <v/>
      </c>
    </row>
    <row r="148" spans="3:17" x14ac:dyDescent="0.25">
      <c r="C148" t="str">
        <f t="shared" si="2"/>
        <v/>
      </c>
      <c r="Q148" t="str" cm="1">
        <f t="array" ref="Q148">IFERROR(IF($P148="","",_xlfn._xlws.FILTER(LT_LST[Lot],(LT_LST[Client Id.]=$C148)*(LT_LST[Strategy]=$D148)*(LT_LST[DTE/WTE]=$E148)*(LT_LST[Symbol]=$I148))),"-")</f>
        <v/>
      </c>
    </row>
    <row r="149" spans="3:17" x14ac:dyDescent="0.25">
      <c r="C149" t="str">
        <f t="shared" si="2"/>
        <v/>
      </c>
      <c r="Q149" t="str" cm="1">
        <f t="array" ref="Q149">IFERROR(IF($P149="","",_xlfn._xlws.FILTER(LT_LST[Lot],(LT_LST[Client Id.]=$C149)*(LT_LST[Strategy]=$D149)*(LT_LST[DTE/WTE]=$E149)*(LT_LST[Symbol]=$I149))),"-")</f>
        <v/>
      </c>
    </row>
    <row r="150" spans="3:17" x14ac:dyDescent="0.25">
      <c r="C150" t="str">
        <f t="shared" si="2"/>
        <v/>
      </c>
      <c r="Q150" t="str" cm="1">
        <f t="array" ref="Q150">IFERROR(IF($P150="","",_xlfn._xlws.FILTER(LT_LST[Lot],(LT_LST[Client Id.]=$C150)*(LT_LST[Strategy]=$D150)*(LT_LST[DTE/WTE]=$E150)*(LT_LST[Symbol]=$I150))),"-")</f>
        <v/>
      </c>
    </row>
    <row r="151" spans="3:17" x14ac:dyDescent="0.25">
      <c r="C151" t="str">
        <f t="shared" si="2"/>
        <v/>
      </c>
      <c r="Q151" t="str" cm="1">
        <f t="array" ref="Q151">IFERROR(IF($P151="","",_xlfn._xlws.FILTER(LT_LST[Lot],(LT_LST[Client Id.]=$C151)*(LT_LST[Strategy]=$D151)*(LT_LST[DTE/WTE]=$E151)*(LT_LST[Symbol]=$I151))),"-")</f>
        <v/>
      </c>
    </row>
    <row r="152" spans="3:17" x14ac:dyDescent="0.25">
      <c r="C152" t="str">
        <f t="shared" si="2"/>
        <v/>
      </c>
      <c r="Q152" t="str" cm="1">
        <f t="array" ref="Q152">IFERROR(IF($P152="","",_xlfn._xlws.FILTER(LT_LST[Lot],(LT_LST[Client Id.]=$C152)*(LT_LST[Strategy]=$D152)*(LT_LST[DTE/WTE]=$E152)*(LT_LST[Symbol]=$I152))),"-")</f>
        <v/>
      </c>
    </row>
    <row r="153" spans="3:17" x14ac:dyDescent="0.25">
      <c r="C153" t="str">
        <f t="shared" si="2"/>
        <v/>
      </c>
      <c r="Q153" t="str" cm="1">
        <f t="array" ref="Q153">IFERROR(IF($P153="","",_xlfn._xlws.FILTER(LT_LST[Lot],(LT_LST[Client Id.]=$C153)*(LT_LST[Strategy]=$D153)*(LT_LST[DTE/WTE]=$E153)*(LT_LST[Symbol]=$I153))),"-")</f>
        <v/>
      </c>
    </row>
    <row r="154" spans="3:17" x14ac:dyDescent="0.25">
      <c r="C154" t="str">
        <f t="shared" si="2"/>
        <v/>
      </c>
      <c r="Q154" t="str" cm="1">
        <f t="array" ref="Q154">IFERROR(IF($P154="","",_xlfn._xlws.FILTER(LT_LST[Lot],(LT_LST[Client Id.]=$C154)*(LT_LST[Strategy]=$D154)*(LT_LST[DTE/WTE]=$E154)*(LT_LST[Symbol]=$I154))),"-")</f>
        <v/>
      </c>
    </row>
    <row r="155" spans="3:17" x14ac:dyDescent="0.25">
      <c r="C155" t="str">
        <f t="shared" si="2"/>
        <v/>
      </c>
      <c r="Q155" t="str" cm="1">
        <f t="array" ref="Q155">IFERROR(IF($P155="","",_xlfn._xlws.FILTER(LT_LST[Lot],(LT_LST[Client Id.]=$C155)*(LT_LST[Strategy]=$D155)*(LT_LST[DTE/WTE]=$E155)*(LT_LST[Symbol]=$I155))),"-")</f>
        <v/>
      </c>
    </row>
    <row r="156" spans="3:17" x14ac:dyDescent="0.25">
      <c r="C156" t="str">
        <f t="shared" si="2"/>
        <v/>
      </c>
      <c r="Q156" t="str" cm="1">
        <f t="array" ref="Q156">IFERROR(IF($P156="","",_xlfn._xlws.FILTER(LT_LST[Lot],(LT_LST[Client Id.]=$C156)*(LT_LST[Strategy]=$D156)*(LT_LST[DTE/WTE]=$E156)*(LT_LST[Symbol]=$I156))),"-")</f>
        <v/>
      </c>
    </row>
    <row r="157" spans="3:17" x14ac:dyDescent="0.25">
      <c r="C157" t="str">
        <f t="shared" si="2"/>
        <v/>
      </c>
      <c r="Q157" t="str" cm="1">
        <f t="array" ref="Q157">IFERROR(IF($P157="","",_xlfn._xlws.FILTER(LT_LST[Lot],(LT_LST[Client Id.]=$C157)*(LT_LST[Strategy]=$D157)*(LT_LST[DTE/WTE]=$E157)*(LT_LST[Symbol]=$I157))),"-")</f>
        <v/>
      </c>
    </row>
    <row r="158" spans="3:17" x14ac:dyDescent="0.25">
      <c r="C158" t="str">
        <f t="shared" si="2"/>
        <v/>
      </c>
      <c r="Q158" t="str" cm="1">
        <f t="array" ref="Q158">IFERROR(IF($P158="","",_xlfn._xlws.FILTER(LT_LST[Lot],(LT_LST[Client Id.]=$C158)*(LT_LST[Strategy]=$D158)*(LT_LST[DTE/WTE]=$E158)*(LT_LST[Symbol]=$I158))),"-")</f>
        <v/>
      </c>
    </row>
    <row r="159" spans="3:17" x14ac:dyDescent="0.25">
      <c r="C159" t="str">
        <f t="shared" si="2"/>
        <v/>
      </c>
      <c r="Q159" t="str" cm="1">
        <f t="array" ref="Q159">IFERROR(IF($P159="","",_xlfn._xlws.FILTER(LT_LST[Lot],(LT_LST[Client Id.]=$C159)*(LT_LST[Strategy]=$D159)*(LT_LST[DTE/WTE]=$E159)*(LT_LST[Symbol]=$I159))),"-")</f>
        <v/>
      </c>
    </row>
    <row r="160" spans="3:17" x14ac:dyDescent="0.25">
      <c r="C160" t="str">
        <f t="shared" si="2"/>
        <v/>
      </c>
      <c r="Q160" t="str" cm="1">
        <f t="array" ref="Q160">IFERROR(IF($P160="","",_xlfn._xlws.FILTER(LT_LST[Lot],(LT_LST[Client Id.]=$C160)*(LT_LST[Strategy]=$D160)*(LT_LST[DTE/WTE]=$E160)*(LT_LST[Symbol]=$I160))),"-")</f>
        <v/>
      </c>
    </row>
    <row r="161" spans="3:17" x14ac:dyDescent="0.25">
      <c r="C161" t="str">
        <f t="shared" si="2"/>
        <v/>
      </c>
      <c r="Q161" t="str" cm="1">
        <f t="array" ref="Q161">IFERROR(IF($P161="","",_xlfn._xlws.FILTER(LT_LST[Lot],(LT_LST[Client Id.]=$C161)*(LT_LST[Strategy]=$D161)*(LT_LST[DTE/WTE]=$E161)*(LT_LST[Symbol]=$I161))),"-")</f>
        <v/>
      </c>
    </row>
    <row r="162" spans="3:17" x14ac:dyDescent="0.25">
      <c r="C162" t="str">
        <f t="shared" si="2"/>
        <v/>
      </c>
      <c r="Q162" t="str" cm="1">
        <f t="array" ref="Q162">IFERROR(IF($P162="","",_xlfn._xlws.FILTER(LT_LST[Lot],(LT_LST[Client Id.]=$C162)*(LT_LST[Strategy]=$D162)*(LT_LST[DTE/WTE]=$E162)*(LT_LST[Symbol]=$I162))),"-")</f>
        <v/>
      </c>
    </row>
    <row r="163" spans="3:17" x14ac:dyDescent="0.25">
      <c r="C163" t="str">
        <f t="shared" si="2"/>
        <v/>
      </c>
      <c r="Q163" t="str" cm="1">
        <f t="array" ref="Q163">IFERROR(IF($P163="","",_xlfn._xlws.FILTER(LT_LST[Lot],(LT_LST[Client Id.]=$C163)*(LT_LST[Strategy]=$D163)*(LT_LST[DTE/WTE]=$E163)*(LT_LST[Symbol]=$I163))),"-")</f>
        <v/>
      </c>
    </row>
    <row r="164" spans="3:17" x14ac:dyDescent="0.25">
      <c r="C164" t="str">
        <f t="shared" si="2"/>
        <v/>
      </c>
      <c r="Q164" t="str" cm="1">
        <f t="array" ref="Q164">IFERROR(IF($P164="","",_xlfn._xlws.FILTER(LT_LST[Lot],(LT_LST[Client Id.]=$C164)*(LT_LST[Strategy]=$D164)*(LT_LST[DTE/WTE]=$E164)*(LT_LST[Symbol]=$I164))),"-")</f>
        <v/>
      </c>
    </row>
    <row r="165" spans="3:17" x14ac:dyDescent="0.25">
      <c r="C165" t="str">
        <f t="shared" si="2"/>
        <v/>
      </c>
      <c r="Q165" t="str" cm="1">
        <f t="array" ref="Q165">IFERROR(IF($P165="","",_xlfn._xlws.FILTER(LT_LST[Lot],(LT_LST[Client Id.]=$C165)*(LT_LST[Strategy]=$D165)*(LT_LST[DTE/WTE]=$E165)*(LT_LST[Symbol]=$I165))),"-")</f>
        <v/>
      </c>
    </row>
    <row r="166" spans="3:17" x14ac:dyDescent="0.25">
      <c r="C166" t="str">
        <f t="shared" si="2"/>
        <v/>
      </c>
      <c r="Q166" t="str" cm="1">
        <f t="array" ref="Q166">IFERROR(IF($P166="","",_xlfn._xlws.FILTER(LT_LST[Lot],(LT_LST[Client Id.]=$C166)*(LT_LST[Strategy]=$D166)*(LT_LST[DTE/WTE]=$E166)*(LT_LST[Symbol]=$I166))),"-")</f>
        <v/>
      </c>
    </row>
    <row r="167" spans="3:17" x14ac:dyDescent="0.25">
      <c r="C167" t="str">
        <f t="shared" si="2"/>
        <v/>
      </c>
      <c r="Q167" t="str" cm="1">
        <f t="array" ref="Q167">IFERROR(IF($P167="","",_xlfn._xlws.FILTER(LT_LST[Lot],(LT_LST[Client Id.]=$C167)*(LT_LST[Strategy]=$D167)*(LT_LST[DTE/WTE]=$E167)*(LT_LST[Symbol]=$I167))),"-")</f>
        <v/>
      </c>
    </row>
    <row r="168" spans="3:17" x14ac:dyDescent="0.25">
      <c r="C168" t="str">
        <f t="shared" si="2"/>
        <v/>
      </c>
      <c r="Q168" t="str" cm="1">
        <f t="array" ref="Q168">IFERROR(IF($P168="","",_xlfn._xlws.FILTER(LT_LST[Lot],(LT_LST[Client Id.]=$C168)*(LT_LST[Strategy]=$D168)*(LT_LST[DTE/WTE]=$E168)*(LT_LST[Symbol]=$I168))),"-")</f>
        <v/>
      </c>
    </row>
    <row r="169" spans="3:17" x14ac:dyDescent="0.25">
      <c r="C169" t="str">
        <f t="shared" si="2"/>
        <v/>
      </c>
      <c r="Q169" t="str" cm="1">
        <f t="array" ref="Q169">IFERROR(IF($P169="","",_xlfn._xlws.FILTER(LT_LST[Lot],(LT_LST[Client Id.]=$C169)*(LT_LST[Strategy]=$D169)*(LT_LST[DTE/WTE]=$E169)*(LT_LST[Symbol]=$I169))),"-")</f>
        <v/>
      </c>
    </row>
    <row r="170" spans="3:17" x14ac:dyDescent="0.25">
      <c r="C170" t="str">
        <f t="shared" si="2"/>
        <v/>
      </c>
      <c r="Q170" t="str" cm="1">
        <f t="array" ref="Q170">IFERROR(IF($P170="","",_xlfn._xlws.FILTER(LT_LST[Lot],(LT_LST[Client Id.]=$C170)*(LT_LST[Strategy]=$D170)*(LT_LST[DTE/WTE]=$E170)*(LT_LST[Symbol]=$I170))),"-")</f>
        <v/>
      </c>
    </row>
    <row r="171" spans="3:17" x14ac:dyDescent="0.25">
      <c r="C171" t="str">
        <f t="shared" si="2"/>
        <v/>
      </c>
      <c r="Q171" t="str" cm="1">
        <f t="array" ref="Q171">IFERROR(IF($P171="","",_xlfn._xlws.FILTER(LT_LST[Lot],(LT_LST[Client Id.]=$C171)*(LT_LST[Strategy]=$D171)*(LT_LST[DTE/WTE]=$E171)*(LT_LST[Symbol]=$I171))),"-")</f>
        <v/>
      </c>
    </row>
    <row r="172" spans="3:17" x14ac:dyDescent="0.25">
      <c r="C172" t="str">
        <f t="shared" si="2"/>
        <v/>
      </c>
      <c r="Q172" t="str" cm="1">
        <f t="array" ref="Q172">IFERROR(IF($P172="","",_xlfn._xlws.FILTER(LT_LST[Lot],(LT_LST[Client Id.]=$C172)*(LT_LST[Strategy]=$D172)*(LT_LST[DTE/WTE]=$E172)*(LT_LST[Symbol]=$I172))),"-")</f>
        <v/>
      </c>
    </row>
    <row r="173" spans="3:17" x14ac:dyDescent="0.25">
      <c r="C173" t="str">
        <f t="shared" si="2"/>
        <v/>
      </c>
      <c r="Q173" t="str" cm="1">
        <f t="array" ref="Q173">IFERROR(IF($P173="","",_xlfn._xlws.FILTER(LT_LST[Lot],(LT_LST[Client Id.]=$C173)*(LT_LST[Strategy]=$D173)*(LT_LST[DTE/WTE]=$E173)*(LT_LST[Symbol]=$I173))),"-")</f>
        <v/>
      </c>
    </row>
    <row r="174" spans="3:17" x14ac:dyDescent="0.25">
      <c r="C174" t="str">
        <f t="shared" si="2"/>
        <v/>
      </c>
      <c r="Q174" t="str" cm="1">
        <f t="array" ref="Q174">IFERROR(IF($P174="","",_xlfn._xlws.FILTER(LT_LST[Lot],(LT_LST[Client Id.]=$C174)*(LT_LST[Strategy]=$D174)*(LT_LST[DTE/WTE]=$E174)*(LT_LST[Symbol]=$I174))),"-")</f>
        <v/>
      </c>
    </row>
    <row r="175" spans="3:17" x14ac:dyDescent="0.25">
      <c r="C175" t="str">
        <f t="shared" si="2"/>
        <v/>
      </c>
      <c r="Q175" t="str" cm="1">
        <f t="array" ref="Q175">IFERROR(IF($P175="","",_xlfn._xlws.FILTER(LT_LST[Lot],(LT_LST[Client Id.]=$C175)*(LT_LST[Strategy]=$D175)*(LT_LST[DTE/WTE]=$E175)*(LT_LST[Symbol]=$I175))),"-")</f>
        <v/>
      </c>
    </row>
    <row r="176" spans="3:17" x14ac:dyDescent="0.25">
      <c r="C176" t="str">
        <f t="shared" si="2"/>
        <v/>
      </c>
      <c r="Q176" t="str" cm="1">
        <f t="array" ref="Q176">IFERROR(IF($P176="","",_xlfn._xlws.FILTER(LT_LST[Lot],(LT_LST[Client Id.]=$C176)*(LT_LST[Strategy]=$D176)*(LT_LST[DTE/WTE]=$E176)*(LT_LST[Symbol]=$I176))),"-")</f>
        <v/>
      </c>
    </row>
    <row r="177" spans="3:17" x14ac:dyDescent="0.25">
      <c r="C177" t="str">
        <f t="shared" si="2"/>
        <v/>
      </c>
      <c r="Q177" t="str" cm="1">
        <f t="array" ref="Q177">IFERROR(IF($P177="","",_xlfn._xlws.FILTER(LT_LST[Lot],(LT_LST[Client Id.]=$C177)*(LT_LST[Strategy]=$D177)*(LT_LST[DTE/WTE]=$E177)*(LT_LST[Symbol]=$I177))),"-")</f>
        <v/>
      </c>
    </row>
    <row r="178" spans="3:17" x14ac:dyDescent="0.25">
      <c r="C178" t="str">
        <f t="shared" si="2"/>
        <v/>
      </c>
      <c r="Q178" t="str" cm="1">
        <f t="array" ref="Q178">IFERROR(IF($P178="","",_xlfn._xlws.FILTER(LT_LST[Lot],(LT_LST[Client Id.]=$C178)*(LT_LST[Strategy]=$D178)*(LT_LST[DTE/WTE]=$E178)*(LT_LST[Symbol]=$I178))),"-")</f>
        <v/>
      </c>
    </row>
    <row r="179" spans="3:17" x14ac:dyDescent="0.25">
      <c r="C179" t="str">
        <f t="shared" si="2"/>
        <v/>
      </c>
      <c r="Q179" t="str" cm="1">
        <f t="array" ref="Q179">IFERROR(IF($P179="","",_xlfn._xlws.FILTER(LT_LST[Lot],(LT_LST[Client Id.]=$C179)*(LT_LST[Strategy]=$D179)*(LT_LST[DTE/WTE]=$E179)*(LT_LST[Symbol]=$I179))),"-")</f>
        <v/>
      </c>
    </row>
    <row r="180" spans="3:17" x14ac:dyDescent="0.25">
      <c r="C180" t="str">
        <f t="shared" si="2"/>
        <v/>
      </c>
      <c r="Q180" t="str" cm="1">
        <f t="array" ref="Q180">IFERROR(IF($P180="","",_xlfn._xlws.FILTER(LT_LST[Lot],(LT_LST[Client Id.]=$C180)*(LT_LST[Strategy]=$D180)*(LT_LST[DTE/WTE]=$E180)*(LT_LST[Symbol]=$I180))),"-")</f>
        <v/>
      </c>
    </row>
    <row r="181" spans="3:17" x14ac:dyDescent="0.25">
      <c r="C181" t="str">
        <f t="shared" si="2"/>
        <v/>
      </c>
      <c r="Q181" t="str" cm="1">
        <f t="array" ref="Q181">IFERROR(IF($P181="","",_xlfn._xlws.FILTER(LT_LST[Lot],(LT_LST[Client Id.]=$C181)*(LT_LST[Strategy]=$D181)*(LT_LST[DTE/WTE]=$E181)*(LT_LST[Symbol]=$I181))),"-")</f>
        <v/>
      </c>
    </row>
    <row r="182" spans="3:17" x14ac:dyDescent="0.25">
      <c r="C182" t="str">
        <f t="shared" si="2"/>
        <v/>
      </c>
      <c r="Q182" t="str" cm="1">
        <f t="array" ref="Q182">IFERROR(IF($P182="","",_xlfn._xlws.FILTER(LT_LST[Lot],(LT_LST[Client Id.]=$C182)*(LT_LST[Strategy]=$D182)*(LT_LST[DTE/WTE]=$E182)*(LT_LST[Symbol]=$I182))),"-")</f>
        <v/>
      </c>
    </row>
    <row r="183" spans="3:17" x14ac:dyDescent="0.25">
      <c r="C183" t="str">
        <f t="shared" si="2"/>
        <v/>
      </c>
      <c r="Q183" t="str" cm="1">
        <f t="array" ref="Q183">IFERROR(IF($P183="","",_xlfn._xlws.FILTER(LT_LST[Lot],(LT_LST[Client Id.]=$C183)*(LT_LST[Strategy]=$D183)*(LT_LST[DTE/WTE]=$E183)*(LT_LST[Symbol]=$I183))),"-")</f>
        <v/>
      </c>
    </row>
    <row r="184" spans="3:17" x14ac:dyDescent="0.25">
      <c r="C184" t="str">
        <f t="shared" si="2"/>
        <v/>
      </c>
      <c r="Q184" t="str" cm="1">
        <f t="array" ref="Q184">IFERROR(IF($P184="","",_xlfn._xlws.FILTER(LT_LST[Lot],(LT_LST[Client Id.]=$C184)*(LT_LST[Strategy]=$D184)*(LT_LST[DTE/WTE]=$E184)*(LT_LST[Symbol]=$I184))),"-")</f>
        <v/>
      </c>
    </row>
    <row r="185" spans="3:17" x14ac:dyDescent="0.25">
      <c r="C185" t="str">
        <f t="shared" si="2"/>
        <v/>
      </c>
      <c r="Q185" t="str" cm="1">
        <f t="array" ref="Q185">IFERROR(IF($P185="","",_xlfn._xlws.FILTER(LT_LST[Lot],(LT_LST[Client Id.]=$C185)*(LT_LST[Strategy]=$D185)*(LT_LST[DTE/WTE]=$E185)*(LT_LST[Symbol]=$I185))),"-")</f>
        <v/>
      </c>
    </row>
    <row r="186" spans="3:17" x14ac:dyDescent="0.25">
      <c r="C186" t="str">
        <f t="shared" si="2"/>
        <v/>
      </c>
      <c r="Q186" t="str" cm="1">
        <f t="array" ref="Q186">IFERROR(IF($P186="","",_xlfn._xlws.FILTER(LT_LST[Lot],(LT_LST[Client Id.]=$C186)*(LT_LST[Strategy]=$D186)*(LT_LST[DTE/WTE]=$E186)*(LT_LST[Symbol]=$I186))),"-")</f>
        <v/>
      </c>
    </row>
    <row r="187" spans="3:17" x14ac:dyDescent="0.25">
      <c r="C187" t="str">
        <f t="shared" si="2"/>
        <v/>
      </c>
      <c r="Q187" t="str" cm="1">
        <f t="array" ref="Q187">IFERROR(IF($P187="","",_xlfn._xlws.FILTER(LT_LST[Lot],(LT_LST[Client Id.]=$C187)*(LT_LST[Strategy]=$D187)*(LT_LST[DTE/WTE]=$E187)*(LT_LST[Symbol]=$I187))),"-")</f>
        <v/>
      </c>
    </row>
    <row r="188" spans="3:17" x14ac:dyDescent="0.25">
      <c r="C188" t="str">
        <f t="shared" si="2"/>
        <v/>
      </c>
      <c r="Q188" t="str" cm="1">
        <f t="array" ref="Q188">IFERROR(IF($P188="","",_xlfn._xlws.FILTER(LT_LST[Lot],(LT_LST[Client Id.]=$C188)*(LT_LST[Strategy]=$D188)*(LT_LST[DTE/WTE]=$E188)*(LT_LST[Symbol]=$I188))),"-")</f>
        <v/>
      </c>
    </row>
    <row r="189" spans="3:17" x14ac:dyDescent="0.25">
      <c r="C189" t="str">
        <f t="shared" si="2"/>
        <v/>
      </c>
      <c r="Q189" t="str" cm="1">
        <f t="array" ref="Q189">IFERROR(IF($P189="","",_xlfn._xlws.FILTER(LT_LST[Lot],(LT_LST[Client Id.]=$C189)*(LT_LST[Strategy]=$D189)*(LT_LST[DTE/WTE]=$E189)*(LT_LST[Symbol]=$I189))),"-")</f>
        <v/>
      </c>
    </row>
    <row r="190" spans="3:17" x14ac:dyDescent="0.25">
      <c r="C190" t="str">
        <f t="shared" si="2"/>
        <v/>
      </c>
      <c r="Q190" t="str" cm="1">
        <f t="array" ref="Q190">IFERROR(IF($P190="","",_xlfn._xlws.FILTER(LT_LST[Lot],(LT_LST[Client Id.]=$C190)*(LT_LST[Strategy]=$D190)*(LT_LST[DTE/WTE]=$E190)*(LT_LST[Symbol]=$I190))),"-")</f>
        <v/>
      </c>
    </row>
    <row r="191" spans="3:17" x14ac:dyDescent="0.25">
      <c r="C191" t="str">
        <f t="shared" si="2"/>
        <v/>
      </c>
      <c r="Q191" t="str" cm="1">
        <f t="array" ref="Q191">IFERROR(IF($P191="","",_xlfn._xlws.FILTER(LT_LST[Lot],(LT_LST[Client Id.]=$C191)*(LT_LST[Strategy]=$D191)*(LT_LST[DTE/WTE]=$E191)*(LT_LST[Symbol]=$I191))),"-")</f>
        <v/>
      </c>
    </row>
    <row r="192" spans="3:17" x14ac:dyDescent="0.25">
      <c r="C192" t="str">
        <f t="shared" si="2"/>
        <v/>
      </c>
      <c r="Q192" t="str" cm="1">
        <f t="array" ref="Q192">IFERROR(IF($P192="","",_xlfn._xlws.FILTER(LT_LST[Lot],(LT_LST[Client Id.]=$C192)*(LT_LST[Strategy]=$D192)*(LT_LST[DTE/WTE]=$E192)*(LT_LST[Symbol]=$I192))),"-")</f>
        <v/>
      </c>
    </row>
    <row r="193" spans="3:17" x14ac:dyDescent="0.25">
      <c r="C193" t="str">
        <f t="shared" si="2"/>
        <v/>
      </c>
      <c r="Q193" t="str" cm="1">
        <f t="array" ref="Q193">IFERROR(IF($P193="","",_xlfn._xlws.FILTER(LT_LST[Lot],(LT_LST[Client Id.]=$C193)*(LT_LST[Strategy]=$D193)*(LT_LST[DTE/WTE]=$E193)*(LT_LST[Symbol]=$I193))),"-")</f>
        <v/>
      </c>
    </row>
    <row r="194" spans="3:17" x14ac:dyDescent="0.25">
      <c r="C194" t="str">
        <f t="shared" si="2"/>
        <v/>
      </c>
      <c r="Q194" t="str" cm="1">
        <f t="array" ref="Q194">IFERROR(IF($P194="","",_xlfn._xlws.FILTER(LT_LST[Lot],(LT_LST[Client Id.]=$C194)*(LT_LST[Strategy]=$D194)*(LT_LST[DTE/WTE]=$E194)*(LT_LST[Symbol]=$I194))),"-")</f>
        <v/>
      </c>
    </row>
    <row r="195" spans="3:17" x14ac:dyDescent="0.25">
      <c r="C195" t="str">
        <f t="shared" si="2"/>
        <v/>
      </c>
      <c r="Q195" t="str" cm="1">
        <f t="array" ref="Q195">IFERROR(IF($P195="","",_xlfn._xlws.FILTER(LT_LST[Lot],(LT_LST[Client Id.]=$C195)*(LT_LST[Strategy]=$D195)*(LT_LST[DTE/WTE]=$E195)*(LT_LST[Symbol]=$I195))),"-")</f>
        <v/>
      </c>
    </row>
    <row r="196" spans="3:17" x14ac:dyDescent="0.25">
      <c r="C196" t="str">
        <f t="shared" ref="C196:C259" si="3">IF(D196="","",$A$1)</f>
        <v/>
      </c>
      <c r="Q196" t="str" cm="1">
        <f t="array" ref="Q196">IFERROR(IF($P196="","",_xlfn._xlws.FILTER(LT_LST[Lot],(LT_LST[Client Id.]=$C196)*(LT_LST[Strategy]=$D196)*(LT_LST[DTE/WTE]=$E196)*(LT_LST[Symbol]=$I196))),"-")</f>
        <v/>
      </c>
    </row>
    <row r="197" spans="3:17" x14ac:dyDescent="0.25">
      <c r="C197" t="str">
        <f t="shared" si="3"/>
        <v/>
      </c>
      <c r="Q197" t="str" cm="1">
        <f t="array" ref="Q197">IFERROR(IF($P197="","",_xlfn._xlws.FILTER(LT_LST[Lot],(LT_LST[Client Id.]=$C197)*(LT_LST[Strategy]=$D197)*(LT_LST[DTE/WTE]=$E197)*(LT_LST[Symbol]=$I197))),"-")</f>
        <v/>
      </c>
    </row>
    <row r="198" spans="3:17" x14ac:dyDescent="0.25">
      <c r="C198" t="str">
        <f t="shared" si="3"/>
        <v/>
      </c>
      <c r="Q198" t="str" cm="1">
        <f t="array" ref="Q198">IFERROR(IF($P198="","",_xlfn._xlws.FILTER(LT_LST[Lot],(LT_LST[Client Id.]=$C198)*(LT_LST[Strategy]=$D198)*(LT_LST[DTE/WTE]=$E198)*(LT_LST[Symbol]=$I198))),"-")</f>
        <v/>
      </c>
    </row>
    <row r="199" spans="3:17" x14ac:dyDescent="0.25">
      <c r="C199" t="str">
        <f t="shared" si="3"/>
        <v/>
      </c>
      <c r="Q199" t="str" cm="1">
        <f t="array" ref="Q199">IFERROR(IF($P199="","",_xlfn._xlws.FILTER(LT_LST[Lot],(LT_LST[Client Id.]=$C199)*(LT_LST[Strategy]=$D199)*(LT_LST[DTE/WTE]=$E199)*(LT_LST[Symbol]=$I199))),"-")</f>
        <v/>
      </c>
    </row>
    <row r="200" spans="3:17" x14ac:dyDescent="0.25">
      <c r="C200" t="str">
        <f t="shared" si="3"/>
        <v/>
      </c>
      <c r="Q200" t="str" cm="1">
        <f t="array" ref="Q200">IFERROR(IF($P200="","",_xlfn._xlws.FILTER(LT_LST[Lot],(LT_LST[Client Id.]=$C200)*(LT_LST[Strategy]=$D200)*(LT_LST[DTE/WTE]=$E200)*(LT_LST[Symbol]=$I200))),"-")</f>
        <v/>
      </c>
    </row>
    <row r="201" spans="3:17" x14ac:dyDescent="0.25">
      <c r="C201" t="str">
        <f t="shared" si="3"/>
        <v/>
      </c>
      <c r="Q201" t="str" cm="1">
        <f t="array" ref="Q201">IFERROR(IF($P201="","",_xlfn._xlws.FILTER(LT_LST[Lot],(LT_LST[Client Id.]=$C201)*(LT_LST[Strategy]=$D201)*(LT_LST[DTE/WTE]=$E201)*(LT_LST[Symbol]=$I201))),"-")</f>
        <v/>
      </c>
    </row>
    <row r="202" spans="3:17" x14ac:dyDescent="0.25">
      <c r="C202" t="str">
        <f t="shared" si="3"/>
        <v/>
      </c>
      <c r="Q202" t="str" cm="1">
        <f t="array" ref="Q202">IFERROR(IF($P202="","",_xlfn._xlws.FILTER(LT_LST[Lot],(LT_LST[Client Id.]=$C202)*(LT_LST[Strategy]=$D202)*(LT_LST[DTE/WTE]=$E202)*(LT_LST[Symbol]=$I202))),"-")</f>
        <v/>
      </c>
    </row>
    <row r="203" spans="3:17" x14ac:dyDescent="0.25">
      <c r="C203" t="str">
        <f t="shared" si="3"/>
        <v/>
      </c>
      <c r="Q203" t="str" cm="1">
        <f t="array" ref="Q203">IFERROR(IF($P203="","",_xlfn._xlws.FILTER(LT_LST[Lot],(LT_LST[Client Id.]=$C203)*(LT_LST[Strategy]=$D203)*(LT_LST[DTE/WTE]=$E203)*(LT_LST[Symbol]=$I203))),"-")</f>
        <v/>
      </c>
    </row>
    <row r="204" spans="3:17" x14ac:dyDescent="0.25">
      <c r="C204" t="str">
        <f t="shared" si="3"/>
        <v/>
      </c>
      <c r="Q204" t="str" cm="1">
        <f t="array" ref="Q204">IFERROR(IF($P204="","",_xlfn._xlws.FILTER(LT_LST[Lot],(LT_LST[Client Id.]=$C204)*(LT_LST[Strategy]=$D204)*(LT_LST[DTE/WTE]=$E204)*(LT_LST[Symbol]=$I204))),"-")</f>
        <v/>
      </c>
    </row>
    <row r="205" spans="3:17" x14ac:dyDescent="0.25">
      <c r="C205" t="str">
        <f t="shared" si="3"/>
        <v/>
      </c>
      <c r="Q205" t="str" cm="1">
        <f t="array" ref="Q205">IFERROR(IF($P205="","",_xlfn._xlws.FILTER(LT_LST[Lot],(LT_LST[Client Id.]=$C205)*(LT_LST[Strategy]=$D205)*(LT_LST[DTE/WTE]=$E205)*(LT_LST[Symbol]=$I205))),"-")</f>
        <v/>
      </c>
    </row>
    <row r="206" spans="3:17" x14ac:dyDescent="0.25">
      <c r="C206" t="str">
        <f t="shared" si="3"/>
        <v/>
      </c>
      <c r="Q206" t="str" cm="1">
        <f t="array" ref="Q206">IFERROR(IF($P206="","",_xlfn._xlws.FILTER(LT_LST[Lot],(LT_LST[Client Id.]=$C206)*(LT_LST[Strategy]=$D206)*(LT_LST[DTE/WTE]=$E206)*(LT_LST[Symbol]=$I206))),"-")</f>
        <v/>
      </c>
    </row>
    <row r="207" spans="3:17" x14ac:dyDescent="0.25">
      <c r="C207" t="str">
        <f t="shared" si="3"/>
        <v/>
      </c>
      <c r="Q207" t="str" cm="1">
        <f t="array" ref="Q207">IFERROR(IF($P207="","",_xlfn._xlws.FILTER(LT_LST[Lot],(LT_LST[Client Id.]=$C207)*(LT_LST[Strategy]=$D207)*(LT_LST[DTE/WTE]=$E207)*(LT_LST[Symbol]=$I207))),"-")</f>
        <v/>
      </c>
    </row>
    <row r="208" spans="3:17" x14ac:dyDescent="0.25">
      <c r="C208" t="str">
        <f t="shared" si="3"/>
        <v/>
      </c>
      <c r="Q208" t="str" cm="1">
        <f t="array" ref="Q208">IFERROR(IF($P208="","",_xlfn._xlws.FILTER(LT_LST[Lot],(LT_LST[Client Id.]=$C208)*(LT_LST[Strategy]=$D208)*(LT_LST[DTE/WTE]=$E208)*(LT_LST[Symbol]=$I208))),"-")</f>
        <v/>
      </c>
    </row>
    <row r="209" spans="3:17" x14ac:dyDescent="0.25">
      <c r="C209" t="str">
        <f t="shared" si="3"/>
        <v/>
      </c>
      <c r="Q209" t="str" cm="1">
        <f t="array" ref="Q209">IFERROR(IF($P209="","",_xlfn._xlws.FILTER(LT_LST[Lot],(LT_LST[Client Id.]=$C209)*(LT_LST[Strategy]=$D209)*(LT_LST[DTE/WTE]=$E209)*(LT_LST[Symbol]=$I209))),"-")</f>
        <v/>
      </c>
    </row>
    <row r="210" spans="3:17" x14ac:dyDescent="0.25">
      <c r="C210" t="str">
        <f t="shared" si="3"/>
        <v/>
      </c>
      <c r="Q210" t="str" cm="1">
        <f t="array" ref="Q210">IFERROR(IF($P210="","",_xlfn._xlws.FILTER(LT_LST[Lot],(LT_LST[Client Id.]=$C210)*(LT_LST[Strategy]=$D210)*(LT_LST[DTE/WTE]=$E210)*(LT_LST[Symbol]=$I210))),"-")</f>
        <v/>
      </c>
    </row>
    <row r="211" spans="3:17" x14ac:dyDescent="0.25">
      <c r="C211" t="str">
        <f t="shared" si="3"/>
        <v/>
      </c>
      <c r="Q211" t="str" cm="1">
        <f t="array" ref="Q211">IFERROR(IF($P211="","",_xlfn._xlws.FILTER(LT_LST[Lot],(LT_LST[Client Id.]=$C211)*(LT_LST[Strategy]=$D211)*(LT_LST[DTE/WTE]=$E211)*(LT_LST[Symbol]=$I211))),"-")</f>
        <v/>
      </c>
    </row>
    <row r="212" spans="3:17" x14ac:dyDescent="0.25">
      <c r="C212" t="str">
        <f t="shared" si="3"/>
        <v/>
      </c>
      <c r="Q212" t="str" cm="1">
        <f t="array" ref="Q212">IFERROR(IF($P212="","",_xlfn._xlws.FILTER(LT_LST[Lot],(LT_LST[Client Id.]=$C212)*(LT_LST[Strategy]=$D212)*(LT_LST[DTE/WTE]=$E212)*(LT_LST[Symbol]=$I212))),"-")</f>
        <v/>
      </c>
    </row>
    <row r="213" spans="3:17" x14ac:dyDescent="0.25">
      <c r="C213" t="str">
        <f t="shared" si="3"/>
        <v/>
      </c>
      <c r="Q213" t="str" cm="1">
        <f t="array" ref="Q213">IFERROR(IF($P213="","",_xlfn._xlws.FILTER(LT_LST[Lot],(LT_LST[Client Id.]=$C213)*(LT_LST[Strategy]=$D213)*(LT_LST[DTE/WTE]=$E213)*(LT_LST[Symbol]=$I213))),"-")</f>
        <v/>
      </c>
    </row>
    <row r="214" spans="3:17" x14ac:dyDescent="0.25">
      <c r="C214" t="str">
        <f t="shared" si="3"/>
        <v/>
      </c>
      <c r="Q214" t="str" cm="1">
        <f t="array" ref="Q214">IFERROR(IF($P214="","",_xlfn._xlws.FILTER(LT_LST[Lot],(LT_LST[Client Id.]=$C214)*(LT_LST[Strategy]=$D214)*(LT_LST[DTE/WTE]=$E214)*(LT_LST[Symbol]=$I214))),"-")</f>
        <v/>
      </c>
    </row>
    <row r="215" spans="3:17" x14ac:dyDescent="0.25">
      <c r="C215" t="str">
        <f t="shared" si="3"/>
        <v/>
      </c>
      <c r="Q215" t="str" cm="1">
        <f t="array" ref="Q215">IFERROR(IF($P215="","",_xlfn._xlws.FILTER(LT_LST[Lot],(LT_LST[Client Id.]=$C215)*(LT_LST[Strategy]=$D215)*(LT_LST[DTE/WTE]=$E215)*(LT_LST[Symbol]=$I215))),"-")</f>
        <v/>
      </c>
    </row>
    <row r="216" spans="3:17" x14ac:dyDescent="0.25">
      <c r="C216" t="str">
        <f t="shared" si="3"/>
        <v/>
      </c>
      <c r="Q216" t="str" cm="1">
        <f t="array" ref="Q216">IFERROR(IF($P216="","",_xlfn._xlws.FILTER(LT_LST[Lot],(LT_LST[Client Id.]=$C216)*(LT_LST[Strategy]=$D216)*(LT_LST[DTE/WTE]=$E216)*(LT_LST[Symbol]=$I216))),"-")</f>
        <v/>
      </c>
    </row>
    <row r="217" spans="3:17" x14ac:dyDescent="0.25">
      <c r="C217" t="str">
        <f t="shared" si="3"/>
        <v/>
      </c>
      <c r="Q217" t="str" cm="1">
        <f t="array" ref="Q217">IFERROR(IF($P217="","",_xlfn._xlws.FILTER(LT_LST[Lot],(LT_LST[Client Id.]=$C217)*(LT_LST[Strategy]=$D217)*(LT_LST[DTE/WTE]=$E217)*(LT_LST[Symbol]=$I217))),"-")</f>
        <v/>
      </c>
    </row>
    <row r="218" spans="3:17" x14ac:dyDescent="0.25">
      <c r="C218" t="str">
        <f t="shared" si="3"/>
        <v/>
      </c>
      <c r="Q218" t="str" cm="1">
        <f t="array" ref="Q218">IFERROR(IF($P218="","",_xlfn._xlws.FILTER(LT_LST[Lot],(LT_LST[Client Id.]=$C218)*(LT_LST[Strategy]=$D218)*(LT_LST[DTE/WTE]=$E218)*(LT_LST[Symbol]=$I218))),"-")</f>
        <v/>
      </c>
    </row>
    <row r="219" spans="3:17" x14ac:dyDescent="0.25">
      <c r="C219" t="str">
        <f t="shared" si="3"/>
        <v/>
      </c>
      <c r="Q219" t="str" cm="1">
        <f t="array" ref="Q219">IFERROR(IF($P219="","",_xlfn._xlws.FILTER(LT_LST[Lot],(LT_LST[Client Id.]=$C219)*(LT_LST[Strategy]=$D219)*(LT_LST[DTE/WTE]=$E219)*(LT_LST[Symbol]=$I219))),"-")</f>
        <v/>
      </c>
    </row>
    <row r="220" spans="3:17" x14ac:dyDescent="0.25">
      <c r="C220" t="str">
        <f t="shared" si="3"/>
        <v/>
      </c>
      <c r="Q220" t="str" cm="1">
        <f t="array" ref="Q220">IFERROR(IF($P220="","",_xlfn._xlws.FILTER(LT_LST[Lot],(LT_LST[Client Id.]=$C220)*(LT_LST[Strategy]=$D220)*(LT_LST[DTE/WTE]=$E220)*(LT_LST[Symbol]=$I220))),"-")</f>
        <v/>
      </c>
    </row>
    <row r="221" spans="3:17" x14ac:dyDescent="0.25">
      <c r="C221" t="str">
        <f t="shared" si="3"/>
        <v/>
      </c>
      <c r="Q221" t="str" cm="1">
        <f t="array" ref="Q221">IFERROR(IF($P221="","",_xlfn._xlws.FILTER(LT_LST[Lot],(LT_LST[Client Id.]=$C221)*(LT_LST[Strategy]=$D221)*(LT_LST[DTE/WTE]=$E221)*(LT_LST[Symbol]=$I221))),"-")</f>
        <v/>
      </c>
    </row>
    <row r="222" spans="3:17" x14ac:dyDescent="0.25">
      <c r="C222" t="str">
        <f t="shared" si="3"/>
        <v/>
      </c>
      <c r="Q222" t="str" cm="1">
        <f t="array" ref="Q222">IFERROR(IF($P222="","",_xlfn._xlws.FILTER(LT_LST[Lot],(LT_LST[Client Id.]=$C222)*(LT_LST[Strategy]=$D222)*(LT_LST[DTE/WTE]=$E222)*(LT_LST[Symbol]=$I222))),"-")</f>
        <v/>
      </c>
    </row>
    <row r="223" spans="3:17" x14ac:dyDescent="0.25">
      <c r="C223" t="str">
        <f t="shared" si="3"/>
        <v/>
      </c>
      <c r="Q223" t="str" cm="1">
        <f t="array" ref="Q223">IFERROR(IF($P223="","",_xlfn._xlws.FILTER(LT_LST[Lot],(LT_LST[Client Id.]=$C223)*(LT_LST[Strategy]=$D223)*(LT_LST[DTE/WTE]=$E223)*(LT_LST[Symbol]=$I223))),"-")</f>
        <v/>
      </c>
    </row>
    <row r="224" spans="3:17" x14ac:dyDescent="0.25">
      <c r="C224" t="str">
        <f t="shared" si="3"/>
        <v/>
      </c>
      <c r="Q224" t="str" cm="1">
        <f t="array" ref="Q224">IFERROR(IF($P224="","",_xlfn._xlws.FILTER(LT_LST[Lot],(LT_LST[Client Id.]=$C224)*(LT_LST[Strategy]=$D224)*(LT_LST[DTE/WTE]=$E224)*(LT_LST[Symbol]=$I224))),"-")</f>
        <v/>
      </c>
    </row>
    <row r="225" spans="3:17" x14ac:dyDescent="0.25">
      <c r="C225" t="str">
        <f t="shared" si="3"/>
        <v/>
      </c>
      <c r="Q225" t="str" cm="1">
        <f t="array" ref="Q225">IFERROR(IF($P225="","",_xlfn._xlws.FILTER(LT_LST[Lot],(LT_LST[Client Id.]=$C225)*(LT_LST[Strategy]=$D225)*(LT_LST[DTE/WTE]=$E225)*(LT_LST[Symbol]=$I225))),"-")</f>
        <v/>
      </c>
    </row>
    <row r="226" spans="3:17" x14ac:dyDescent="0.25">
      <c r="C226" t="str">
        <f t="shared" si="3"/>
        <v/>
      </c>
      <c r="Q226" t="str" cm="1">
        <f t="array" ref="Q226">IFERROR(IF($P226="","",_xlfn._xlws.FILTER(LT_LST[Lot],(LT_LST[Client Id.]=$C226)*(LT_LST[Strategy]=$D226)*(LT_LST[DTE/WTE]=$E226)*(LT_LST[Symbol]=$I226))),"-")</f>
        <v/>
      </c>
    </row>
    <row r="227" spans="3:17" x14ac:dyDescent="0.25">
      <c r="C227" t="str">
        <f t="shared" si="3"/>
        <v/>
      </c>
      <c r="Q227" t="str" cm="1">
        <f t="array" ref="Q227">IFERROR(IF($P227="","",_xlfn._xlws.FILTER(LT_LST[Lot],(LT_LST[Client Id.]=$C227)*(LT_LST[Strategy]=$D227)*(LT_LST[DTE/WTE]=$E227)*(LT_LST[Symbol]=$I227))),"-")</f>
        <v/>
      </c>
    </row>
    <row r="228" spans="3:17" x14ac:dyDescent="0.25">
      <c r="C228" t="str">
        <f t="shared" si="3"/>
        <v/>
      </c>
      <c r="Q228" t="str" cm="1">
        <f t="array" ref="Q228">IFERROR(IF($P228="","",_xlfn._xlws.FILTER(LT_LST[Lot],(LT_LST[Client Id.]=$C228)*(LT_LST[Strategy]=$D228)*(LT_LST[DTE/WTE]=$E228)*(LT_LST[Symbol]=$I228))),"-")</f>
        <v/>
      </c>
    </row>
    <row r="229" spans="3:17" x14ac:dyDescent="0.25">
      <c r="C229" t="str">
        <f t="shared" si="3"/>
        <v/>
      </c>
      <c r="Q229" t="str" cm="1">
        <f t="array" ref="Q229">IFERROR(IF($P229="","",_xlfn._xlws.FILTER(LT_LST[Lot],(LT_LST[Client Id.]=$C229)*(LT_LST[Strategy]=$D229)*(LT_LST[DTE/WTE]=$E229)*(LT_LST[Symbol]=$I229))),"-")</f>
        <v/>
      </c>
    </row>
    <row r="230" spans="3:17" x14ac:dyDescent="0.25">
      <c r="C230" t="str">
        <f t="shared" si="3"/>
        <v/>
      </c>
      <c r="Q230" t="str" cm="1">
        <f t="array" ref="Q230">IFERROR(IF($P230="","",_xlfn._xlws.FILTER(LT_LST[Lot],(LT_LST[Client Id.]=$C230)*(LT_LST[Strategy]=$D230)*(LT_LST[DTE/WTE]=$E230)*(LT_LST[Symbol]=$I230))),"-")</f>
        <v/>
      </c>
    </row>
    <row r="231" spans="3:17" x14ac:dyDescent="0.25">
      <c r="C231" t="str">
        <f t="shared" si="3"/>
        <v/>
      </c>
      <c r="Q231" t="str" cm="1">
        <f t="array" ref="Q231">IFERROR(IF($P231="","",_xlfn._xlws.FILTER(LT_LST[Lot],(LT_LST[Client Id.]=$C231)*(LT_LST[Strategy]=$D231)*(LT_LST[DTE/WTE]=$E231)*(LT_LST[Symbol]=$I231))),"-")</f>
        <v/>
      </c>
    </row>
    <row r="232" spans="3:17" x14ac:dyDescent="0.25">
      <c r="C232" t="str">
        <f t="shared" si="3"/>
        <v/>
      </c>
      <c r="Q232" t="str" cm="1">
        <f t="array" ref="Q232">IFERROR(IF($P232="","",_xlfn._xlws.FILTER(LT_LST[Lot],(LT_LST[Client Id.]=$C232)*(LT_LST[Strategy]=$D232)*(LT_LST[DTE/WTE]=$E232)*(LT_LST[Symbol]=$I232))),"-")</f>
        <v/>
      </c>
    </row>
    <row r="233" spans="3:17" x14ac:dyDescent="0.25">
      <c r="C233" t="str">
        <f t="shared" si="3"/>
        <v/>
      </c>
      <c r="Q233" t="str" cm="1">
        <f t="array" ref="Q233">IFERROR(IF($P233="","",_xlfn._xlws.FILTER(LT_LST[Lot],(LT_LST[Client Id.]=$C233)*(LT_LST[Strategy]=$D233)*(LT_LST[DTE/WTE]=$E233)*(LT_LST[Symbol]=$I233))),"-")</f>
        <v/>
      </c>
    </row>
    <row r="234" spans="3:17" x14ac:dyDescent="0.25">
      <c r="C234" t="str">
        <f t="shared" si="3"/>
        <v/>
      </c>
      <c r="Q234" t="str" cm="1">
        <f t="array" ref="Q234">IFERROR(IF($P234="","",_xlfn._xlws.FILTER(LT_LST[Lot],(LT_LST[Client Id.]=$C234)*(LT_LST[Strategy]=$D234)*(LT_LST[DTE/WTE]=$E234)*(LT_LST[Symbol]=$I234))),"-")</f>
        <v/>
      </c>
    </row>
    <row r="235" spans="3:17" x14ac:dyDescent="0.25">
      <c r="C235" t="str">
        <f t="shared" si="3"/>
        <v/>
      </c>
      <c r="Q235" t="str" cm="1">
        <f t="array" ref="Q235">IFERROR(IF($P235="","",_xlfn._xlws.FILTER(LT_LST[Lot],(LT_LST[Client Id.]=$C235)*(LT_LST[Strategy]=$D235)*(LT_LST[DTE/WTE]=$E235)*(LT_LST[Symbol]=$I235))),"-")</f>
        <v/>
      </c>
    </row>
    <row r="236" spans="3:17" x14ac:dyDescent="0.25">
      <c r="C236" t="str">
        <f t="shared" si="3"/>
        <v/>
      </c>
      <c r="Q236" t="str" cm="1">
        <f t="array" ref="Q236">IFERROR(IF($P236="","",_xlfn._xlws.FILTER(LT_LST[Lot],(LT_LST[Client Id.]=$C236)*(LT_LST[Strategy]=$D236)*(LT_LST[DTE/WTE]=$E236)*(LT_LST[Symbol]=$I236))),"-")</f>
        <v/>
      </c>
    </row>
    <row r="237" spans="3:17" x14ac:dyDescent="0.25">
      <c r="C237" t="str">
        <f t="shared" si="3"/>
        <v/>
      </c>
      <c r="Q237" t="str" cm="1">
        <f t="array" ref="Q237">IFERROR(IF($P237="","",_xlfn._xlws.FILTER(LT_LST[Lot],(LT_LST[Client Id.]=$C237)*(LT_LST[Strategy]=$D237)*(LT_LST[DTE/WTE]=$E237)*(LT_LST[Symbol]=$I237))),"-")</f>
        <v/>
      </c>
    </row>
    <row r="238" spans="3:17" x14ac:dyDescent="0.25">
      <c r="C238" t="str">
        <f t="shared" si="3"/>
        <v/>
      </c>
      <c r="Q238" t="str" cm="1">
        <f t="array" ref="Q238">IFERROR(IF($P238="","",_xlfn._xlws.FILTER(LT_LST[Lot],(LT_LST[Client Id.]=$C238)*(LT_LST[Strategy]=$D238)*(LT_LST[DTE/WTE]=$E238)*(LT_LST[Symbol]=$I238))),"-")</f>
        <v/>
      </c>
    </row>
    <row r="239" spans="3:17" x14ac:dyDescent="0.25">
      <c r="C239" t="str">
        <f t="shared" si="3"/>
        <v/>
      </c>
      <c r="Q239" t="str" cm="1">
        <f t="array" ref="Q239">IFERROR(IF($P239="","",_xlfn._xlws.FILTER(LT_LST[Lot],(LT_LST[Client Id.]=$C239)*(LT_LST[Strategy]=$D239)*(LT_LST[DTE/WTE]=$E239)*(LT_LST[Symbol]=$I239))),"-")</f>
        <v/>
      </c>
    </row>
    <row r="240" spans="3:17" x14ac:dyDescent="0.25">
      <c r="C240" t="str">
        <f t="shared" si="3"/>
        <v/>
      </c>
      <c r="Q240" t="str" cm="1">
        <f t="array" ref="Q240">IFERROR(IF($P240="","",_xlfn._xlws.FILTER(LT_LST[Lot],(LT_LST[Client Id.]=$C240)*(LT_LST[Strategy]=$D240)*(LT_LST[DTE/WTE]=$E240)*(LT_LST[Symbol]=$I240))),"-")</f>
        <v/>
      </c>
    </row>
    <row r="241" spans="3:17" x14ac:dyDescent="0.25">
      <c r="C241" t="str">
        <f t="shared" si="3"/>
        <v/>
      </c>
      <c r="Q241" t="str" cm="1">
        <f t="array" ref="Q241">IFERROR(IF($P241="","",_xlfn._xlws.FILTER(LT_LST[Lot],(LT_LST[Client Id.]=$C241)*(LT_LST[Strategy]=$D241)*(LT_LST[DTE/WTE]=$E241)*(LT_LST[Symbol]=$I241))),"-")</f>
        <v/>
      </c>
    </row>
    <row r="242" spans="3:17" x14ac:dyDescent="0.25">
      <c r="C242" t="str">
        <f t="shared" si="3"/>
        <v/>
      </c>
      <c r="Q242" t="str" cm="1">
        <f t="array" ref="Q242">IFERROR(IF($P242="","",_xlfn._xlws.FILTER(LT_LST[Lot],(LT_LST[Client Id.]=$C242)*(LT_LST[Strategy]=$D242)*(LT_LST[DTE/WTE]=$E242)*(LT_LST[Symbol]=$I242))),"-")</f>
        <v/>
      </c>
    </row>
    <row r="243" spans="3:17" x14ac:dyDescent="0.25">
      <c r="C243" t="str">
        <f t="shared" si="3"/>
        <v/>
      </c>
      <c r="Q243" t="str" cm="1">
        <f t="array" ref="Q243">IFERROR(IF($P243="","",_xlfn._xlws.FILTER(LT_LST[Lot],(LT_LST[Client Id.]=$C243)*(LT_LST[Strategy]=$D243)*(LT_LST[DTE/WTE]=$E243)*(LT_LST[Symbol]=$I243))),"-")</f>
        <v/>
      </c>
    </row>
    <row r="244" spans="3:17" x14ac:dyDescent="0.25">
      <c r="C244" t="str">
        <f t="shared" si="3"/>
        <v/>
      </c>
      <c r="Q244" t="str" cm="1">
        <f t="array" ref="Q244">IFERROR(IF($P244="","",_xlfn._xlws.FILTER(LT_LST[Lot],(LT_LST[Client Id.]=$C244)*(LT_LST[Strategy]=$D244)*(LT_LST[DTE/WTE]=$E244)*(LT_LST[Symbol]=$I244))),"-")</f>
        <v/>
      </c>
    </row>
    <row r="245" spans="3:17" x14ac:dyDescent="0.25">
      <c r="C245" t="str">
        <f t="shared" si="3"/>
        <v/>
      </c>
      <c r="Q245" t="str" cm="1">
        <f t="array" ref="Q245">IFERROR(IF($P245="","",_xlfn._xlws.FILTER(LT_LST[Lot],(LT_LST[Client Id.]=$C245)*(LT_LST[Strategy]=$D245)*(LT_LST[DTE/WTE]=$E245)*(LT_LST[Symbol]=$I245))),"-")</f>
        <v/>
      </c>
    </row>
    <row r="246" spans="3:17" x14ac:dyDescent="0.25">
      <c r="C246" t="str">
        <f t="shared" si="3"/>
        <v/>
      </c>
      <c r="Q246" t="str" cm="1">
        <f t="array" ref="Q246">IFERROR(IF($P246="","",_xlfn._xlws.FILTER(LT_LST[Lot],(LT_LST[Client Id.]=$C246)*(LT_LST[Strategy]=$D246)*(LT_LST[DTE/WTE]=$E246)*(LT_LST[Symbol]=$I246))),"-")</f>
        <v/>
      </c>
    </row>
    <row r="247" spans="3:17" x14ac:dyDescent="0.25">
      <c r="C247" t="str">
        <f t="shared" si="3"/>
        <v/>
      </c>
      <c r="Q247" t="str" cm="1">
        <f t="array" ref="Q247">IFERROR(IF($P247="","",_xlfn._xlws.FILTER(LT_LST[Lot],(LT_LST[Client Id.]=$C247)*(LT_LST[Strategy]=$D247)*(LT_LST[DTE/WTE]=$E247)*(LT_LST[Symbol]=$I247))),"-")</f>
        <v/>
      </c>
    </row>
    <row r="248" spans="3:17" x14ac:dyDescent="0.25">
      <c r="C248" t="str">
        <f t="shared" si="3"/>
        <v/>
      </c>
      <c r="Q248" t="str" cm="1">
        <f t="array" ref="Q248">IFERROR(IF($P248="","",_xlfn._xlws.FILTER(LT_LST[Lot],(LT_LST[Client Id.]=$C248)*(LT_LST[Strategy]=$D248)*(LT_LST[DTE/WTE]=$E248)*(LT_LST[Symbol]=$I248))),"-")</f>
        <v/>
      </c>
    </row>
    <row r="249" spans="3:17" x14ac:dyDescent="0.25">
      <c r="C249" t="str">
        <f t="shared" si="3"/>
        <v/>
      </c>
      <c r="Q249" t="str" cm="1">
        <f t="array" ref="Q249">IFERROR(IF($P249="","",_xlfn._xlws.FILTER(LT_LST[Lot],(LT_LST[Client Id.]=$C249)*(LT_LST[Strategy]=$D249)*(LT_LST[DTE/WTE]=$E249)*(LT_LST[Symbol]=$I249))),"-")</f>
        <v/>
      </c>
    </row>
    <row r="250" spans="3:17" x14ac:dyDescent="0.25">
      <c r="C250" t="str">
        <f t="shared" si="3"/>
        <v/>
      </c>
      <c r="Q250" t="str" cm="1">
        <f t="array" ref="Q250">IFERROR(IF($P250="","",_xlfn._xlws.FILTER(LT_LST[Lot],(LT_LST[Client Id.]=$C250)*(LT_LST[Strategy]=$D250)*(LT_LST[DTE/WTE]=$E250)*(LT_LST[Symbol]=$I250))),"-")</f>
        <v/>
      </c>
    </row>
    <row r="251" spans="3:17" x14ac:dyDescent="0.25">
      <c r="C251" t="str">
        <f t="shared" si="3"/>
        <v/>
      </c>
      <c r="Q251" t="str" cm="1">
        <f t="array" ref="Q251">IFERROR(IF($P251="","",_xlfn._xlws.FILTER(LT_LST[Lot],(LT_LST[Client Id.]=$C251)*(LT_LST[Strategy]=$D251)*(LT_LST[DTE/WTE]=$E251)*(LT_LST[Symbol]=$I251))),"-")</f>
        <v/>
      </c>
    </row>
    <row r="252" spans="3:17" x14ac:dyDescent="0.25">
      <c r="C252" t="str">
        <f t="shared" si="3"/>
        <v/>
      </c>
      <c r="Q252" t="str" cm="1">
        <f t="array" ref="Q252">IFERROR(IF($P252="","",_xlfn._xlws.FILTER(LT_LST[Lot],(LT_LST[Client Id.]=$C252)*(LT_LST[Strategy]=$D252)*(LT_LST[DTE/WTE]=$E252)*(LT_LST[Symbol]=$I252))),"-")</f>
        <v/>
      </c>
    </row>
    <row r="253" spans="3:17" x14ac:dyDescent="0.25">
      <c r="C253" t="str">
        <f t="shared" si="3"/>
        <v/>
      </c>
      <c r="Q253" t="str" cm="1">
        <f t="array" ref="Q253">IFERROR(IF($P253="","",_xlfn._xlws.FILTER(LT_LST[Lot],(LT_LST[Client Id.]=$C253)*(LT_LST[Strategy]=$D253)*(LT_LST[DTE/WTE]=$E253)*(LT_LST[Symbol]=$I253))),"-")</f>
        <v/>
      </c>
    </row>
    <row r="254" spans="3:17" x14ac:dyDescent="0.25">
      <c r="C254" t="str">
        <f t="shared" si="3"/>
        <v/>
      </c>
      <c r="Q254" t="str" cm="1">
        <f t="array" ref="Q254">IFERROR(IF($P254="","",_xlfn._xlws.FILTER(LT_LST[Lot],(LT_LST[Client Id.]=$C254)*(LT_LST[Strategy]=$D254)*(LT_LST[DTE/WTE]=$E254)*(LT_LST[Symbol]=$I254))),"-")</f>
        <v/>
      </c>
    </row>
    <row r="255" spans="3:17" x14ac:dyDescent="0.25">
      <c r="C255" t="str">
        <f t="shared" si="3"/>
        <v/>
      </c>
      <c r="Q255" t="str" cm="1">
        <f t="array" ref="Q255">IFERROR(IF($P255="","",_xlfn._xlws.FILTER(LT_LST[Lot],(LT_LST[Client Id.]=$C255)*(LT_LST[Strategy]=$D255)*(LT_LST[DTE/WTE]=$E255)*(LT_LST[Symbol]=$I255))),"-")</f>
        <v/>
      </c>
    </row>
    <row r="256" spans="3:17" x14ac:dyDescent="0.25">
      <c r="C256" t="str">
        <f t="shared" si="3"/>
        <v/>
      </c>
      <c r="Q256" t="str" cm="1">
        <f t="array" ref="Q256">IFERROR(IF($P256="","",_xlfn._xlws.FILTER(LT_LST[Lot],(LT_LST[Client Id.]=$C256)*(LT_LST[Strategy]=$D256)*(LT_LST[DTE/WTE]=$E256)*(LT_LST[Symbol]=$I256))),"-")</f>
        <v/>
      </c>
    </row>
    <row r="257" spans="3:17" x14ac:dyDescent="0.25">
      <c r="C257" t="str">
        <f t="shared" si="3"/>
        <v/>
      </c>
      <c r="Q257" t="str" cm="1">
        <f t="array" ref="Q257">IFERROR(IF($P257="","",_xlfn._xlws.FILTER(LT_LST[Lot],(LT_LST[Client Id.]=$C257)*(LT_LST[Strategy]=$D257)*(LT_LST[DTE/WTE]=$E257)*(LT_LST[Symbol]=$I257))),"-")</f>
        <v/>
      </c>
    </row>
    <row r="258" spans="3:17" x14ac:dyDescent="0.25">
      <c r="C258" t="str">
        <f t="shared" si="3"/>
        <v/>
      </c>
      <c r="Q258" t="str" cm="1">
        <f t="array" ref="Q258">IFERROR(IF($P258="","",_xlfn._xlws.FILTER(LT_LST[Lot],(LT_LST[Client Id.]=$C258)*(LT_LST[Strategy]=$D258)*(LT_LST[DTE/WTE]=$E258)*(LT_LST[Symbol]=$I258))),"-")</f>
        <v/>
      </c>
    </row>
    <row r="259" spans="3:17" x14ac:dyDescent="0.25">
      <c r="C259" t="str">
        <f t="shared" si="3"/>
        <v/>
      </c>
      <c r="Q259" t="str" cm="1">
        <f t="array" ref="Q259">IFERROR(IF($P259="","",_xlfn._xlws.FILTER(LT_LST[Lot],(LT_LST[Client Id.]=$C259)*(LT_LST[Strategy]=$D259)*(LT_LST[DTE/WTE]=$E259)*(LT_LST[Symbol]=$I259))),"-")</f>
        <v/>
      </c>
    </row>
    <row r="260" spans="3:17" x14ac:dyDescent="0.25">
      <c r="C260" t="str">
        <f t="shared" ref="C260:C277" si="4">IF(D260="","",$A$1)</f>
        <v/>
      </c>
      <c r="Q260" t="str" cm="1">
        <f t="array" ref="Q260">IFERROR(IF($P260="","",_xlfn._xlws.FILTER(LT_LST[Lot],(LT_LST[Client Id.]=$C260)*(LT_LST[Strategy]=$D260)*(LT_LST[DTE/WTE]=$E260)*(LT_LST[Symbol]=$I260))),"-")</f>
        <v/>
      </c>
    </row>
    <row r="261" spans="3:17" x14ac:dyDescent="0.25">
      <c r="C261" t="str">
        <f t="shared" si="4"/>
        <v/>
      </c>
      <c r="Q261" t="str" cm="1">
        <f t="array" ref="Q261">IFERROR(IF($P261="","",_xlfn._xlws.FILTER(LT_LST[Lot],(LT_LST[Client Id.]=$C261)*(LT_LST[Strategy]=$D261)*(LT_LST[DTE/WTE]=$E261)*(LT_LST[Symbol]=$I261))),"-")</f>
        <v/>
      </c>
    </row>
    <row r="262" spans="3:17" x14ac:dyDescent="0.25">
      <c r="C262" t="str">
        <f t="shared" si="4"/>
        <v/>
      </c>
      <c r="Q262" t="str" cm="1">
        <f t="array" ref="Q262">IFERROR(IF($P262="","",_xlfn._xlws.FILTER(LT_LST[Lot],(LT_LST[Client Id.]=$C262)*(LT_LST[Strategy]=$D262)*(LT_LST[DTE/WTE]=$E262)*(LT_LST[Symbol]=$I262))),"-")</f>
        <v/>
      </c>
    </row>
    <row r="263" spans="3:17" x14ac:dyDescent="0.25">
      <c r="C263" t="str">
        <f t="shared" si="4"/>
        <v/>
      </c>
      <c r="Q263" t="str" cm="1">
        <f t="array" ref="Q263">IFERROR(IF($P263="","",_xlfn._xlws.FILTER(LT_LST[Lot],(LT_LST[Client Id.]=$C263)*(LT_LST[Strategy]=$D263)*(LT_LST[DTE/WTE]=$E263)*(LT_LST[Symbol]=$I263))),"-")</f>
        <v/>
      </c>
    </row>
    <row r="264" spans="3:17" x14ac:dyDescent="0.25">
      <c r="C264" t="str">
        <f t="shared" si="4"/>
        <v/>
      </c>
      <c r="Q264" t="str" cm="1">
        <f t="array" ref="Q264">IFERROR(IF($P264="","",_xlfn._xlws.FILTER(LT_LST[Lot],(LT_LST[Client Id.]=$C264)*(LT_LST[Strategy]=$D264)*(LT_LST[DTE/WTE]=$E264)*(LT_LST[Symbol]=$I264))),"-")</f>
        <v/>
      </c>
    </row>
    <row r="265" spans="3:17" x14ac:dyDescent="0.25">
      <c r="C265" t="str">
        <f t="shared" si="4"/>
        <v/>
      </c>
      <c r="Q265" t="str" cm="1">
        <f t="array" ref="Q265">IFERROR(IF($P265="","",_xlfn._xlws.FILTER(LT_LST[Lot],(LT_LST[Client Id.]=$C265)*(LT_LST[Strategy]=$D265)*(LT_LST[DTE/WTE]=$E265)*(LT_LST[Symbol]=$I265))),"-")</f>
        <v/>
      </c>
    </row>
    <row r="266" spans="3:17" x14ac:dyDescent="0.25">
      <c r="C266" t="str">
        <f t="shared" si="4"/>
        <v/>
      </c>
      <c r="Q266" t="str" cm="1">
        <f t="array" ref="Q266">IFERROR(IF($P266="","",_xlfn._xlws.FILTER(LT_LST[Lot],(LT_LST[Client Id.]=$C266)*(LT_LST[Strategy]=$D266)*(LT_LST[DTE/WTE]=$E266)*(LT_LST[Symbol]=$I266))),"-")</f>
        <v/>
      </c>
    </row>
    <row r="267" spans="3:17" x14ac:dyDescent="0.25">
      <c r="C267" t="str">
        <f t="shared" si="4"/>
        <v/>
      </c>
      <c r="Q267" t="str" cm="1">
        <f t="array" ref="Q267">IFERROR(IF($P267="","",_xlfn._xlws.FILTER(LT_LST[Lot],(LT_LST[Client Id.]=$C267)*(LT_LST[Strategy]=$D267)*(LT_LST[DTE/WTE]=$E267)*(LT_LST[Symbol]=$I267))),"-")</f>
        <v/>
      </c>
    </row>
    <row r="268" spans="3:17" x14ac:dyDescent="0.25">
      <c r="C268" t="str">
        <f t="shared" si="4"/>
        <v/>
      </c>
      <c r="Q268" t="str" cm="1">
        <f t="array" ref="Q268">IFERROR(IF($P268="","",_xlfn._xlws.FILTER(LT_LST[Lot],(LT_LST[Client Id.]=$C268)*(LT_LST[Strategy]=$D268)*(LT_LST[DTE/WTE]=$E268)*(LT_LST[Symbol]=$I268))),"-")</f>
        <v/>
      </c>
    </row>
    <row r="269" spans="3:17" x14ac:dyDescent="0.25">
      <c r="C269" t="str">
        <f t="shared" si="4"/>
        <v/>
      </c>
      <c r="Q269" t="str" cm="1">
        <f t="array" ref="Q269">IFERROR(IF($P269="","",_xlfn._xlws.FILTER(LT_LST[Lot],(LT_LST[Client Id.]=$C269)*(LT_LST[Strategy]=$D269)*(LT_LST[DTE/WTE]=$E269)*(LT_LST[Symbol]=$I269))),"-")</f>
        <v/>
      </c>
    </row>
    <row r="270" spans="3:17" x14ac:dyDescent="0.25">
      <c r="C270" t="str">
        <f t="shared" si="4"/>
        <v/>
      </c>
      <c r="Q270" t="str" cm="1">
        <f t="array" ref="Q270">IFERROR(IF($P270="","",_xlfn._xlws.FILTER(LT_LST[Lot],(LT_LST[Client Id.]=$C270)*(LT_LST[Strategy]=$D270)*(LT_LST[DTE/WTE]=$E270)*(LT_LST[Symbol]=$I270))),"-")</f>
        <v/>
      </c>
    </row>
    <row r="271" spans="3:17" x14ac:dyDescent="0.25">
      <c r="C271" t="str">
        <f t="shared" si="4"/>
        <v/>
      </c>
      <c r="Q271" t="str" cm="1">
        <f t="array" ref="Q271">IFERROR(IF($P271="","",_xlfn._xlws.FILTER(LT_LST[Lot],(LT_LST[Client Id.]=$C271)*(LT_LST[Strategy]=$D271)*(LT_LST[DTE/WTE]=$E271)*(LT_LST[Symbol]=$I271))),"-")</f>
        <v/>
      </c>
    </row>
    <row r="272" spans="3:17" x14ac:dyDescent="0.25">
      <c r="C272" t="str">
        <f t="shared" si="4"/>
        <v/>
      </c>
      <c r="Q272" t="str" cm="1">
        <f t="array" ref="Q272">IFERROR(IF($P272="","",_xlfn._xlws.FILTER(LT_LST[Lot],(LT_LST[Client Id.]=$C272)*(LT_LST[Strategy]=$D272)*(LT_LST[DTE/WTE]=$E272)*(LT_LST[Symbol]=$I272))),"-")</f>
        <v/>
      </c>
    </row>
    <row r="273" spans="3:17" x14ac:dyDescent="0.25">
      <c r="C273" t="str">
        <f t="shared" si="4"/>
        <v/>
      </c>
      <c r="Q273" t="str" cm="1">
        <f t="array" ref="Q273">IFERROR(IF($P273="","",_xlfn._xlws.FILTER(LT_LST[Lot],(LT_LST[Client Id.]=$C273)*(LT_LST[Strategy]=$D273)*(LT_LST[DTE/WTE]=$E273)*(LT_LST[Symbol]=$I273))),"-")</f>
        <v/>
      </c>
    </row>
    <row r="274" spans="3:17" x14ac:dyDescent="0.25">
      <c r="C274" t="str">
        <f t="shared" si="4"/>
        <v/>
      </c>
      <c r="Q274" t="str" cm="1">
        <f t="array" ref="Q274">IFERROR(IF($P274="","",_xlfn._xlws.FILTER(LT_LST[Lot],(LT_LST[Client Id.]=$C274)*(LT_LST[Strategy]=$D274)*(LT_LST[DTE/WTE]=$E274)*(LT_LST[Symbol]=$I274))),"-")</f>
        <v/>
      </c>
    </row>
    <row r="275" spans="3:17" x14ac:dyDescent="0.25">
      <c r="C275" t="str">
        <f t="shared" si="4"/>
        <v/>
      </c>
      <c r="Q275" t="str" cm="1">
        <f t="array" ref="Q275">IFERROR(IF($P275="","",_xlfn._xlws.FILTER(LT_LST[Lot],(LT_LST[Client Id.]=$C275)*(LT_LST[Strategy]=$D275)*(LT_LST[DTE/WTE]=$E275)*(LT_LST[Symbol]=$I275))),"-")</f>
        <v/>
      </c>
    </row>
    <row r="276" spans="3:17" x14ac:dyDescent="0.25">
      <c r="C276" t="str">
        <f t="shared" si="4"/>
        <v/>
      </c>
      <c r="Q276" t="str" cm="1">
        <f t="array" ref="Q276">IFERROR(IF($P276="","",_xlfn._xlws.FILTER(LT_LST[Lot],(LT_LST[Client Id.]=$C276)*(LT_LST[Strategy]=$D276)*(LT_LST[DTE/WTE]=$E276)*(LT_LST[Symbol]=$I276))),"-")</f>
        <v/>
      </c>
    </row>
    <row r="277" spans="3:17" x14ac:dyDescent="0.25">
      <c r="C277" t="str">
        <f t="shared" si="4"/>
        <v/>
      </c>
      <c r="Q277" t="str" cm="1">
        <f t="array" ref="Q277">IFERROR(IF($P277="","",_xlfn._xlws.FILTER(LT_LST[Lot],(LT_LST[Client Id.]=$C277)*(LT_LST[Strategy]=$D277)*(LT_LST[DTE/WTE]=$E277)*(LT_LST[Symbol]=$I277))),"-")</f>
        <v/>
      </c>
    </row>
  </sheetData>
  <conditionalFormatting sqref="C2:I2 Q2">
    <cfRule type="notContainsBlanks" dxfId="36" priority="6">
      <formula>LEN(TRIM(C2))&gt;0</formula>
    </cfRule>
  </conditionalFormatting>
  <conditionalFormatting sqref="D3">
    <cfRule type="notContainsBlanks" dxfId="35" priority="5">
      <formula>LEN(TRIM(D3))&gt;0</formula>
    </cfRule>
  </conditionalFormatting>
  <conditionalFormatting sqref="C3:C277">
    <cfRule type="notContainsBlanks" dxfId="34" priority="4">
      <formula>LEN(TRIM(C3))&gt;0</formula>
    </cfRule>
  </conditionalFormatting>
  <conditionalFormatting sqref="Q3:Q277">
    <cfRule type="notContainsBlanks" dxfId="33" priority="3">
      <formula>LEN(TRIM(Q3))&gt;0</formula>
    </cfRule>
  </conditionalFormatting>
  <conditionalFormatting sqref="J2:P2">
    <cfRule type="notContainsBlanks" dxfId="32" priority="1">
      <formula>LEN(TRIM(J2))&gt;0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E57F9-07DD-4D5E-A3DA-DFE078299B8F}">
  <sheetPr codeName="Sheet12"/>
  <dimension ref="A1:Q444"/>
  <sheetViews>
    <sheetView workbookViewId="0">
      <selection activeCell="A2" sqref="A2"/>
    </sheetView>
  </sheetViews>
  <sheetFormatPr defaultRowHeight="15" x14ac:dyDescent="0.25"/>
  <cols>
    <col min="3" max="3" width="11.5703125" bestFit="1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247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MOSTI22960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2</v>
      </c>
    </row>
    <row r="4" spans="1:17" x14ac:dyDescent="0.25">
      <c r="C4" t="str">
        <f t="shared" ref="C4:C67" ca="1" si="0">IF(D4="","",$A$1)</f>
        <v>MOSTI22960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2</v>
      </c>
    </row>
    <row r="5" spans="1:17" x14ac:dyDescent="0.25">
      <c r="C5" t="str">
        <f t="shared" ca="1" si="0"/>
        <v>MOSTI22960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2</v>
      </c>
    </row>
    <row r="6" spans="1:17" x14ac:dyDescent="0.25">
      <c r="C6" t="str">
        <f t="shared" ca="1" si="0"/>
        <v>MOSTI22960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2</v>
      </c>
    </row>
    <row r="7" spans="1:17" x14ac:dyDescent="0.25">
      <c r="C7" t="str">
        <f t="shared" ca="1" si="0"/>
        <v>MOSTI22960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2</v>
      </c>
    </row>
    <row r="8" spans="1:17" x14ac:dyDescent="0.25">
      <c r="C8" t="str">
        <f t="shared" ca="1" si="0"/>
        <v>MOSTI22960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2</v>
      </c>
    </row>
    <row r="9" spans="1:17" x14ac:dyDescent="0.25">
      <c r="C9" t="str">
        <f t="shared" ca="1" si="0"/>
        <v>MOSTI22960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2</v>
      </c>
    </row>
    <row r="10" spans="1:17" x14ac:dyDescent="0.25">
      <c r="C10" t="str">
        <f t="shared" ca="1" si="0"/>
        <v>MOSTI22960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2</v>
      </c>
    </row>
    <row r="11" spans="1:17" x14ac:dyDescent="0.25">
      <c r="C11" t="str">
        <f t="shared" ca="1" si="0"/>
        <v>MOSTI22960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2</v>
      </c>
    </row>
    <row r="12" spans="1:17" x14ac:dyDescent="0.25">
      <c r="C12" t="str">
        <f t="shared" ca="1" si="0"/>
        <v>MOSTI22960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2</v>
      </c>
    </row>
    <row r="13" spans="1:17" x14ac:dyDescent="0.25">
      <c r="C13" t="str">
        <f t="shared" ca="1" si="0"/>
        <v>MOSTI22960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2</v>
      </c>
    </row>
    <row r="14" spans="1:17" x14ac:dyDescent="0.25">
      <c r="C14" t="str">
        <f t="shared" ca="1" si="0"/>
        <v>MOSTI22960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2</v>
      </c>
    </row>
    <row r="15" spans="1:17" x14ac:dyDescent="0.25">
      <c r="C15" t="str">
        <f t="shared" ca="1" si="0"/>
        <v>MOSTI22960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2</v>
      </c>
    </row>
    <row r="16" spans="1:17" x14ac:dyDescent="0.25">
      <c r="C16" t="str">
        <f t="shared" ca="1" si="0"/>
        <v>MOSTI22960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2</v>
      </c>
    </row>
    <row r="17" spans="3:17" x14ac:dyDescent="0.25">
      <c r="C17" t="str">
        <f t="shared" ca="1" si="0"/>
        <v>MOSTI22960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2</v>
      </c>
    </row>
    <row r="18" spans="3:17" x14ac:dyDescent="0.25">
      <c r="C18" t="str">
        <f t="shared" ca="1" si="0"/>
        <v>MOSTI22960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2</v>
      </c>
    </row>
    <row r="19" spans="3:17" x14ac:dyDescent="0.25">
      <c r="C19" t="str">
        <f t="shared" ca="1" si="0"/>
        <v>MOSTI22960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6</v>
      </c>
    </row>
    <row r="20" spans="3:17" x14ac:dyDescent="0.25">
      <c r="C20" t="str">
        <f t="shared" ca="1" si="0"/>
        <v>MOSTI22960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6</v>
      </c>
    </row>
    <row r="21" spans="3:17" x14ac:dyDescent="0.25">
      <c r="C21" t="str">
        <f t="shared" ca="1" si="0"/>
        <v>MOSTI22960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6</v>
      </c>
    </row>
    <row r="22" spans="3:17" x14ac:dyDescent="0.25">
      <c r="C22" t="str">
        <f t="shared" ca="1" si="0"/>
        <v>MOSTI22960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6</v>
      </c>
    </row>
    <row r="23" spans="3:17" x14ac:dyDescent="0.25">
      <c r="C23" t="str">
        <f t="shared" ca="1" si="0"/>
        <v>MOSTI22960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6</v>
      </c>
    </row>
    <row r="24" spans="3:17" x14ac:dyDescent="0.25">
      <c r="C24" t="str">
        <f t="shared" ca="1" si="0"/>
        <v>MOSTI22960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6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31" priority="1">
      <formula>LEN(TRIM(C1))&gt;0</formula>
    </cfRule>
  </conditionalFormatting>
  <conditionalFormatting sqref="R2">
    <cfRule type="notContainsBlanks" dxfId="30" priority="3">
      <formula>LEN(TRIM(R2))&gt;0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4CC9C-5C98-4018-A9A0-BEBFDD42E2B4}">
  <sheetPr codeName="Sheet13"/>
  <dimension ref="A1:Q444"/>
  <sheetViews>
    <sheetView workbookViewId="0">
      <selection activeCell="A2" sqref="A2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20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OWN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5</v>
      </c>
    </row>
    <row r="4" spans="1:17" x14ac:dyDescent="0.25">
      <c r="C4" t="str">
        <f t="shared" ref="C4:C67" ca="1" si="0">IF(D4="","",$A$1)</f>
        <v>OWN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5</v>
      </c>
    </row>
    <row r="5" spans="1:17" x14ac:dyDescent="0.25">
      <c r="C5" t="str">
        <f t="shared" ca="1" si="0"/>
        <v>OWN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5</v>
      </c>
    </row>
    <row r="6" spans="1:17" x14ac:dyDescent="0.25">
      <c r="C6" t="str">
        <f t="shared" ca="1" si="0"/>
        <v>OWN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5</v>
      </c>
    </row>
    <row r="7" spans="1:17" x14ac:dyDescent="0.25">
      <c r="C7" t="str">
        <f t="shared" ca="1" si="0"/>
        <v>OWN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5</v>
      </c>
    </row>
    <row r="8" spans="1:17" x14ac:dyDescent="0.25">
      <c r="C8" t="str">
        <f t="shared" ca="1" si="0"/>
        <v>OWN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5</v>
      </c>
    </row>
    <row r="9" spans="1:17" x14ac:dyDescent="0.25">
      <c r="C9" t="str">
        <f t="shared" ca="1" si="0"/>
        <v>OWN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5</v>
      </c>
    </row>
    <row r="10" spans="1:17" x14ac:dyDescent="0.25">
      <c r="C10" t="str">
        <f t="shared" ca="1" si="0"/>
        <v>OWN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5</v>
      </c>
    </row>
    <row r="11" spans="1:17" x14ac:dyDescent="0.25">
      <c r="C11" t="str">
        <f t="shared" ca="1" si="0"/>
        <v>OWN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5</v>
      </c>
    </row>
    <row r="12" spans="1:17" x14ac:dyDescent="0.25">
      <c r="C12" t="str">
        <f t="shared" ca="1" si="0"/>
        <v>OWN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5</v>
      </c>
    </row>
    <row r="13" spans="1:17" x14ac:dyDescent="0.25">
      <c r="C13" t="str">
        <f t="shared" ca="1" si="0"/>
        <v>OWN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4</v>
      </c>
    </row>
    <row r="14" spans="1:17" x14ac:dyDescent="0.25">
      <c r="C14" t="str">
        <f t="shared" ca="1" si="0"/>
        <v>OWN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4</v>
      </c>
    </row>
    <row r="15" spans="1:17" x14ac:dyDescent="0.25">
      <c r="C15" t="str">
        <f t="shared" ca="1" si="0"/>
        <v>OWN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4</v>
      </c>
    </row>
    <row r="16" spans="1:17" x14ac:dyDescent="0.25">
      <c r="C16" t="str">
        <f t="shared" ca="1" si="0"/>
        <v>OWN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4</v>
      </c>
    </row>
    <row r="17" spans="3:17" x14ac:dyDescent="0.25">
      <c r="C17" t="str">
        <f t="shared" ca="1" si="0"/>
        <v>OWN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4</v>
      </c>
    </row>
    <row r="18" spans="3:17" x14ac:dyDescent="0.25">
      <c r="C18" t="str">
        <f t="shared" ca="1" si="0"/>
        <v>OWN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4</v>
      </c>
    </row>
    <row r="19" spans="3:17" x14ac:dyDescent="0.25">
      <c r="C19" t="str">
        <f t="shared" ca="1" si="0"/>
        <v>OWN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11</v>
      </c>
    </row>
    <row r="20" spans="3:17" x14ac:dyDescent="0.25">
      <c r="C20" t="str">
        <f t="shared" ca="1" si="0"/>
        <v>OWN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11</v>
      </c>
    </row>
    <row r="21" spans="3:17" x14ac:dyDescent="0.25">
      <c r="C21" t="str">
        <f t="shared" ca="1" si="0"/>
        <v>OWN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11</v>
      </c>
    </row>
    <row r="22" spans="3:17" x14ac:dyDescent="0.25">
      <c r="C22" t="str">
        <f t="shared" ca="1" si="0"/>
        <v>OWN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11</v>
      </c>
    </row>
    <row r="23" spans="3:17" x14ac:dyDescent="0.25">
      <c r="C23" t="str">
        <f t="shared" ca="1" si="0"/>
        <v>OWN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11</v>
      </c>
    </row>
    <row r="24" spans="3:17" x14ac:dyDescent="0.25">
      <c r="C24" t="str">
        <f t="shared" ca="1" si="0"/>
        <v>OWN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11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29" priority="1">
      <formula>LEN(TRIM(C1))&gt;0</formula>
    </cfRule>
  </conditionalFormatting>
  <conditionalFormatting sqref="R2">
    <cfRule type="notContainsBlanks" dxfId="28" priority="2">
      <formula>LEN(TRIM(R2))&gt;0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53ED1-4B56-4287-AFBC-E3B9EB835574}">
  <sheetPr codeName="Sheet14"/>
  <dimension ref="A1:Q444"/>
  <sheetViews>
    <sheetView workbookViewId="0">
      <selection activeCell="I9" sqref="I9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226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ITC2332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1</v>
      </c>
    </row>
    <row r="4" spans="1:17" x14ac:dyDescent="0.25">
      <c r="C4" t="str">
        <f t="shared" ref="C4:C67" ca="1" si="0">IF(D4="","",$A$1)</f>
        <v>ITC2332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1</v>
      </c>
    </row>
    <row r="5" spans="1:17" x14ac:dyDescent="0.25">
      <c r="C5" t="str">
        <f t="shared" ca="1" si="0"/>
        <v>ITC2332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1</v>
      </c>
    </row>
    <row r="6" spans="1:17" x14ac:dyDescent="0.25">
      <c r="C6" t="str">
        <f t="shared" ca="1" si="0"/>
        <v>ITC2332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1</v>
      </c>
    </row>
    <row r="7" spans="1:17" x14ac:dyDescent="0.25">
      <c r="C7" t="str">
        <f t="shared" ca="1" si="0"/>
        <v>ITC2332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1</v>
      </c>
    </row>
    <row r="8" spans="1:17" x14ac:dyDescent="0.25">
      <c r="C8" t="str">
        <f t="shared" ca="1" si="0"/>
        <v>ITC2332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1</v>
      </c>
    </row>
    <row r="9" spans="1:17" x14ac:dyDescent="0.25">
      <c r="C9" t="str">
        <f t="shared" ca="1" si="0"/>
        <v>ITC2332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1</v>
      </c>
    </row>
    <row r="10" spans="1:17" x14ac:dyDescent="0.25">
      <c r="C10" t="str">
        <f t="shared" ca="1" si="0"/>
        <v>ITC2332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1</v>
      </c>
    </row>
    <row r="11" spans="1:17" x14ac:dyDescent="0.25">
      <c r="C11" t="str">
        <f t="shared" ca="1" si="0"/>
        <v>ITC2332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1</v>
      </c>
    </row>
    <row r="12" spans="1:17" x14ac:dyDescent="0.25">
      <c r="C12" t="str">
        <f t="shared" ca="1" si="0"/>
        <v>ITC2332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1</v>
      </c>
    </row>
    <row r="13" spans="1:17" x14ac:dyDescent="0.25">
      <c r="C13" t="str">
        <f t="shared" ca="1" si="0"/>
        <v>ITC2332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1</v>
      </c>
    </row>
    <row r="14" spans="1:17" x14ac:dyDescent="0.25">
      <c r="C14" t="str">
        <f t="shared" ca="1" si="0"/>
        <v>ITC2332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1</v>
      </c>
    </row>
    <row r="15" spans="1:17" x14ac:dyDescent="0.25">
      <c r="C15" t="str">
        <f t="shared" ca="1" si="0"/>
        <v>ITC2332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1</v>
      </c>
    </row>
    <row r="16" spans="1:17" x14ac:dyDescent="0.25">
      <c r="C16" t="str">
        <f t="shared" ca="1" si="0"/>
        <v>ITC2332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1</v>
      </c>
    </row>
    <row r="17" spans="3:17" x14ac:dyDescent="0.25">
      <c r="C17" t="str">
        <f t="shared" ca="1" si="0"/>
        <v>ITC2332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1</v>
      </c>
    </row>
    <row r="18" spans="3:17" x14ac:dyDescent="0.25">
      <c r="C18" t="str">
        <f t="shared" ca="1" si="0"/>
        <v>ITC2332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1</v>
      </c>
    </row>
    <row r="19" spans="3:17" x14ac:dyDescent="0.25">
      <c r="C19" t="str">
        <f t="shared" ca="1" si="0"/>
        <v>ITC2332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2</v>
      </c>
    </row>
    <row r="20" spans="3:17" x14ac:dyDescent="0.25">
      <c r="C20" t="str">
        <f t="shared" ca="1" si="0"/>
        <v>ITC2332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2</v>
      </c>
    </row>
    <row r="21" spans="3:17" x14ac:dyDescent="0.25">
      <c r="C21" t="str">
        <f t="shared" ca="1" si="0"/>
        <v>ITC2332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2</v>
      </c>
    </row>
    <row r="22" spans="3:17" x14ac:dyDescent="0.25">
      <c r="C22" t="str">
        <f t="shared" ca="1" si="0"/>
        <v>ITC2332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2</v>
      </c>
    </row>
    <row r="23" spans="3:17" x14ac:dyDescent="0.25">
      <c r="C23" t="str">
        <f t="shared" ca="1" si="0"/>
        <v>ITC2332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2</v>
      </c>
    </row>
    <row r="24" spans="3:17" x14ac:dyDescent="0.25">
      <c r="C24" t="str">
        <f t="shared" ca="1" si="0"/>
        <v>ITC2332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2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27" priority="1">
      <formula>LEN(TRIM(C1))&gt;0</formula>
    </cfRule>
  </conditionalFormatting>
  <conditionalFormatting sqref="R2">
    <cfRule type="notContainsBlanks" dxfId="26" priority="2">
      <formula>LEN(TRIM(R2))&gt;0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F246B-24C2-4F18-A38E-0F9731ED704D}">
  <sheetPr codeName="Sheet15"/>
  <dimension ref="A1:Q444"/>
  <sheetViews>
    <sheetView workbookViewId="0">
      <selection activeCell="A2" sqref="A2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248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MOSTI23482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4</v>
      </c>
    </row>
    <row r="4" spans="1:17" x14ac:dyDescent="0.25">
      <c r="C4" t="str">
        <f t="shared" ref="C4:C67" ca="1" si="0">IF(D4="","",$A$1)</f>
        <v>MOSTI23482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4</v>
      </c>
    </row>
    <row r="5" spans="1:17" x14ac:dyDescent="0.25">
      <c r="C5" t="str">
        <f t="shared" ca="1" si="0"/>
        <v>MOSTI23482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4</v>
      </c>
    </row>
    <row r="6" spans="1:17" x14ac:dyDescent="0.25">
      <c r="C6" t="str">
        <f t="shared" ca="1" si="0"/>
        <v>MOSTI23482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4</v>
      </c>
    </row>
    <row r="7" spans="1:17" x14ac:dyDescent="0.25">
      <c r="C7" t="str">
        <f t="shared" ca="1" si="0"/>
        <v>MOSTI23482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4</v>
      </c>
    </row>
    <row r="8" spans="1:17" x14ac:dyDescent="0.25">
      <c r="C8" t="str">
        <f t="shared" ca="1" si="0"/>
        <v>MOSTI23482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4</v>
      </c>
    </row>
    <row r="9" spans="1:17" x14ac:dyDescent="0.25">
      <c r="C9" t="str">
        <f t="shared" ca="1" si="0"/>
        <v>MOSTI23482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4</v>
      </c>
    </row>
    <row r="10" spans="1:17" x14ac:dyDescent="0.25">
      <c r="C10" t="str">
        <f t="shared" ca="1" si="0"/>
        <v>MOSTI23482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4</v>
      </c>
    </row>
    <row r="11" spans="1:17" x14ac:dyDescent="0.25">
      <c r="C11" t="str">
        <f t="shared" ca="1" si="0"/>
        <v>MOSTI23482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4</v>
      </c>
    </row>
    <row r="12" spans="1:17" x14ac:dyDescent="0.25">
      <c r="C12" t="str">
        <f t="shared" ca="1" si="0"/>
        <v>MOSTI23482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4</v>
      </c>
    </row>
    <row r="13" spans="1:17" x14ac:dyDescent="0.25">
      <c r="C13" t="str">
        <f t="shared" ca="1" si="0"/>
        <v>MOSTI23482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3</v>
      </c>
    </row>
    <row r="14" spans="1:17" x14ac:dyDescent="0.25">
      <c r="C14" t="str">
        <f t="shared" ca="1" si="0"/>
        <v>MOSTI23482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3</v>
      </c>
    </row>
    <row r="15" spans="1:17" x14ac:dyDescent="0.25">
      <c r="C15" t="str">
        <f t="shared" ca="1" si="0"/>
        <v>MOSTI23482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3</v>
      </c>
    </row>
    <row r="16" spans="1:17" x14ac:dyDescent="0.25">
      <c r="C16" t="str">
        <f t="shared" ca="1" si="0"/>
        <v>MOSTI23482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3</v>
      </c>
    </row>
    <row r="17" spans="3:17" x14ac:dyDescent="0.25">
      <c r="C17" t="str">
        <f t="shared" ca="1" si="0"/>
        <v>MOSTI23482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3</v>
      </c>
    </row>
    <row r="18" spans="3:17" x14ac:dyDescent="0.25">
      <c r="C18" t="str">
        <f t="shared" ca="1" si="0"/>
        <v>MOSTI23482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3</v>
      </c>
    </row>
    <row r="19" spans="3:17" x14ac:dyDescent="0.25">
      <c r="C19" t="str">
        <f t="shared" ca="1" si="0"/>
        <v>MOSTI23482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9</v>
      </c>
    </row>
    <row r="20" spans="3:17" x14ac:dyDescent="0.25">
      <c r="C20" t="str">
        <f t="shared" ca="1" si="0"/>
        <v>MOSTI23482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9</v>
      </c>
    </row>
    <row r="21" spans="3:17" x14ac:dyDescent="0.25">
      <c r="C21" t="str">
        <f t="shared" ca="1" si="0"/>
        <v>MOSTI23482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9</v>
      </c>
    </row>
    <row r="22" spans="3:17" x14ac:dyDescent="0.25">
      <c r="C22" t="str">
        <f t="shared" ca="1" si="0"/>
        <v>MOSTI23482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9</v>
      </c>
    </row>
    <row r="23" spans="3:17" x14ac:dyDescent="0.25">
      <c r="C23" t="str">
        <f t="shared" ca="1" si="0"/>
        <v>MOSTI23482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9</v>
      </c>
    </row>
    <row r="24" spans="3:17" x14ac:dyDescent="0.25">
      <c r="C24" t="str">
        <f t="shared" ca="1" si="0"/>
        <v>MOSTI23482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9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25" priority="1">
      <formula>LEN(TRIM(C1))&gt;0</formula>
    </cfRule>
  </conditionalFormatting>
  <conditionalFormatting sqref="R2">
    <cfRule type="notContainsBlanks" dxfId="24" priority="2">
      <formula>LEN(TRIM(R2))&gt;0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AB778-CDA6-40F4-84E6-FF10E70F6493}">
  <sheetPr codeName="Sheet16"/>
  <dimension ref="A1:Q444"/>
  <sheetViews>
    <sheetView workbookViewId="0">
      <selection activeCell="C2" sqref="C2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111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MOSTI23035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5</v>
      </c>
    </row>
    <row r="4" spans="1:17" x14ac:dyDescent="0.25">
      <c r="C4" t="str">
        <f t="shared" ref="C4:C67" ca="1" si="0">IF(D4="","",$A$1)</f>
        <v>MOSTI23035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5</v>
      </c>
    </row>
    <row r="5" spans="1:17" x14ac:dyDescent="0.25">
      <c r="C5" t="str">
        <f t="shared" ca="1" si="0"/>
        <v>MOSTI23035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5</v>
      </c>
    </row>
    <row r="6" spans="1:17" x14ac:dyDescent="0.25">
      <c r="C6" t="str">
        <f t="shared" ca="1" si="0"/>
        <v>MOSTI23035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5</v>
      </c>
    </row>
    <row r="7" spans="1:17" x14ac:dyDescent="0.25">
      <c r="C7" t="str">
        <f t="shared" ca="1" si="0"/>
        <v>MOSTI23035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5</v>
      </c>
    </row>
    <row r="8" spans="1:17" x14ac:dyDescent="0.25">
      <c r="C8" t="str">
        <f t="shared" ca="1" si="0"/>
        <v>MOSTI23035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5</v>
      </c>
    </row>
    <row r="9" spans="1:17" x14ac:dyDescent="0.25">
      <c r="C9" t="str">
        <f t="shared" ca="1" si="0"/>
        <v>MOSTI23035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5</v>
      </c>
    </row>
    <row r="10" spans="1:17" x14ac:dyDescent="0.25">
      <c r="C10" t="str">
        <f t="shared" ca="1" si="0"/>
        <v>MOSTI23035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5</v>
      </c>
    </row>
    <row r="11" spans="1:17" x14ac:dyDescent="0.25">
      <c r="C11" t="str">
        <f t="shared" ca="1" si="0"/>
        <v>MOSTI23035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5</v>
      </c>
    </row>
    <row r="12" spans="1:17" x14ac:dyDescent="0.25">
      <c r="C12" t="str">
        <f t="shared" ca="1" si="0"/>
        <v>MOSTI23035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5</v>
      </c>
    </row>
    <row r="13" spans="1:17" x14ac:dyDescent="0.25">
      <c r="C13" t="str">
        <f t="shared" ca="1" si="0"/>
        <v>MOSTI23035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4</v>
      </c>
    </row>
    <row r="14" spans="1:17" x14ac:dyDescent="0.25">
      <c r="C14" t="str">
        <f t="shared" ca="1" si="0"/>
        <v>MOSTI23035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4</v>
      </c>
    </row>
    <row r="15" spans="1:17" x14ac:dyDescent="0.25">
      <c r="C15" t="str">
        <f t="shared" ca="1" si="0"/>
        <v>MOSTI23035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4</v>
      </c>
    </row>
    <row r="16" spans="1:17" x14ac:dyDescent="0.25">
      <c r="C16" t="str">
        <f t="shared" ca="1" si="0"/>
        <v>MOSTI23035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4</v>
      </c>
    </row>
    <row r="17" spans="3:17" x14ac:dyDescent="0.25">
      <c r="C17" t="str">
        <f t="shared" ca="1" si="0"/>
        <v>MOSTI23035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4</v>
      </c>
    </row>
    <row r="18" spans="3:17" x14ac:dyDescent="0.25">
      <c r="C18" t="str">
        <f t="shared" ca="1" si="0"/>
        <v>MOSTI23035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4</v>
      </c>
    </row>
    <row r="19" spans="3:17" x14ac:dyDescent="0.25">
      <c r="C19" t="str">
        <f t="shared" ca="1" si="0"/>
        <v>MOSTI23035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11</v>
      </c>
    </row>
    <row r="20" spans="3:17" x14ac:dyDescent="0.25">
      <c r="C20" t="str">
        <f t="shared" ca="1" si="0"/>
        <v>MOSTI23035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11</v>
      </c>
    </row>
    <row r="21" spans="3:17" x14ac:dyDescent="0.25">
      <c r="C21" t="str">
        <f t="shared" ca="1" si="0"/>
        <v>MOSTI23035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11</v>
      </c>
    </row>
    <row r="22" spans="3:17" x14ac:dyDescent="0.25">
      <c r="C22" t="str">
        <f t="shared" ca="1" si="0"/>
        <v>MOSTI23035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11</v>
      </c>
    </row>
    <row r="23" spans="3:17" x14ac:dyDescent="0.25">
      <c r="C23" t="str">
        <f t="shared" ca="1" si="0"/>
        <v>MOSTI23035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11</v>
      </c>
    </row>
    <row r="24" spans="3:17" x14ac:dyDescent="0.25">
      <c r="C24" t="str">
        <f t="shared" ca="1" si="0"/>
        <v>MOSTI23035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11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23" priority="1">
      <formula>LEN(TRIM(C1))&gt;0</formula>
    </cfRule>
  </conditionalFormatting>
  <conditionalFormatting sqref="R2">
    <cfRule type="notContainsBlanks" dxfId="22" priority="2">
      <formula>LEN(TRIM(R2))&gt;0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70983-05DE-4834-8727-60699EE23B16}">
  <sheetPr codeName="Sheet17"/>
  <dimension ref="A1:Q444"/>
  <sheetViews>
    <sheetView workbookViewId="0">
      <selection activeCell="A2" sqref="A2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34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ITC2142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3</v>
      </c>
    </row>
    <row r="4" spans="1:17" x14ac:dyDescent="0.25">
      <c r="C4" t="str">
        <f t="shared" ref="C4:C67" ca="1" si="0">IF(D4="","",$A$1)</f>
        <v>ITC2142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3</v>
      </c>
    </row>
    <row r="5" spans="1:17" x14ac:dyDescent="0.25">
      <c r="C5" t="str">
        <f t="shared" ca="1" si="0"/>
        <v>ITC2142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3</v>
      </c>
    </row>
    <row r="6" spans="1:17" x14ac:dyDescent="0.25">
      <c r="C6" t="str">
        <f t="shared" ca="1" si="0"/>
        <v>ITC2142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3</v>
      </c>
    </row>
    <row r="7" spans="1:17" x14ac:dyDescent="0.25">
      <c r="C7" t="str">
        <f t="shared" ca="1" si="0"/>
        <v>ITC2142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3</v>
      </c>
    </row>
    <row r="8" spans="1:17" x14ac:dyDescent="0.25">
      <c r="C8" t="str">
        <f t="shared" ca="1" si="0"/>
        <v>ITC2142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3</v>
      </c>
    </row>
    <row r="9" spans="1:17" x14ac:dyDescent="0.25">
      <c r="C9" t="str">
        <f t="shared" ca="1" si="0"/>
        <v>ITC2142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3</v>
      </c>
    </row>
    <row r="10" spans="1:17" x14ac:dyDescent="0.25">
      <c r="C10" t="str">
        <f t="shared" ca="1" si="0"/>
        <v>ITC2142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3</v>
      </c>
    </row>
    <row r="11" spans="1:17" x14ac:dyDescent="0.25">
      <c r="C11" t="str">
        <f t="shared" ca="1" si="0"/>
        <v>ITC2142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3</v>
      </c>
    </row>
    <row r="12" spans="1:17" x14ac:dyDescent="0.25">
      <c r="C12" t="str">
        <f t="shared" ca="1" si="0"/>
        <v>ITC2142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3</v>
      </c>
    </row>
    <row r="13" spans="1:17" x14ac:dyDescent="0.25">
      <c r="C13" t="str">
        <f t="shared" ca="1" si="0"/>
        <v>ITC2142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3</v>
      </c>
    </row>
    <row r="14" spans="1:17" x14ac:dyDescent="0.25">
      <c r="C14" t="str">
        <f t="shared" ca="1" si="0"/>
        <v>ITC2142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3</v>
      </c>
    </row>
    <row r="15" spans="1:17" x14ac:dyDescent="0.25">
      <c r="C15" t="str">
        <f t="shared" ca="1" si="0"/>
        <v>ITC2142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3</v>
      </c>
    </row>
    <row r="16" spans="1:17" x14ac:dyDescent="0.25">
      <c r="C16" t="str">
        <f t="shared" ca="1" si="0"/>
        <v>ITC2142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3</v>
      </c>
    </row>
    <row r="17" spans="3:17" x14ac:dyDescent="0.25">
      <c r="C17" t="str">
        <f t="shared" ca="1" si="0"/>
        <v>ITC2142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3</v>
      </c>
    </row>
    <row r="18" spans="3:17" x14ac:dyDescent="0.25">
      <c r="C18" t="str">
        <f t="shared" ca="1" si="0"/>
        <v>ITC2142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3</v>
      </c>
    </row>
    <row r="19" spans="3:17" x14ac:dyDescent="0.25">
      <c r="C19" t="str">
        <f t="shared" ca="1" si="0"/>
        <v>ITC2142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8</v>
      </c>
    </row>
    <row r="20" spans="3:17" x14ac:dyDescent="0.25">
      <c r="C20" t="str">
        <f t="shared" ca="1" si="0"/>
        <v>ITC2142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8</v>
      </c>
    </row>
    <row r="21" spans="3:17" x14ac:dyDescent="0.25">
      <c r="C21" t="str">
        <f t="shared" ca="1" si="0"/>
        <v>ITC2142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8</v>
      </c>
    </row>
    <row r="22" spans="3:17" x14ac:dyDescent="0.25">
      <c r="C22" t="str">
        <f t="shared" ca="1" si="0"/>
        <v>ITC2142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8</v>
      </c>
    </row>
    <row r="23" spans="3:17" x14ac:dyDescent="0.25">
      <c r="C23" t="str">
        <f t="shared" ca="1" si="0"/>
        <v>ITC2142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8</v>
      </c>
    </row>
    <row r="24" spans="3:17" x14ac:dyDescent="0.25">
      <c r="C24" t="str">
        <f t="shared" ca="1" si="0"/>
        <v>ITC2142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8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21" priority="1">
      <formula>LEN(TRIM(C1))&gt;0</formula>
    </cfRule>
  </conditionalFormatting>
  <conditionalFormatting sqref="R2">
    <cfRule type="notContainsBlanks" dxfId="20" priority="2">
      <formula>LEN(TRIM(R2))&gt;0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802B3-A510-445B-8633-268F26F419F1}">
  <sheetPr codeName="Sheet18"/>
  <dimension ref="A1:Q444"/>
  <sheetViews>
    <sheetView workbookViewId="0">
      <selection activeCell="A2" sqref="A2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28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ITC2095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2</v>
      </c>
    </row>
    <row r="4" spans="1:17" x14ac:dyDescent="0.25">
      <c r="C4" t="str">
        <f t="shared" ref="C4:C67" ca="1" si="0">IF(D4="","",$A$1)</f>
        <v>ITC2095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2</v>
      </c>
    </row>
    <row r="5" spans="1:17" x14ac:dyDescent="0.25">
      <c r="C5" t="str">
        <f t="shared" ca="1" si="0"/>
        <v>ITC2095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2</v>
      </c>
    </row>
    <row r="6" spans="1:17" x14ac:dyDescent="0.25">
      <c r="C6" t="str">
        <f t="shared" ca="1" si="0"/>
        <v>ITC2095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2</v>
      </c>
    </row>
    <row r="7" spans="1:17" x14ac:dyDescent="0.25">
      <c r="C7" t="str">
        <f t="shared" ca="1" si="0"/>
        <v>ITC2095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2</v>
      </c>
    </row>
    <row r="8" spans="1:17" x14ac:dyDescent="0.25">
      <c r="C8" t="str">
        <f t="shared" ca="1" si="0"/>
        <v>ITC2095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2</v>
      </c>
    </row>
    <row r="9" spans="1:17" x14ac:dyDescent="0.25">
      <c r="C9" t="str">
        <f t="shared" ca="1" si="0"/>
        <v>ITC2095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2</v>
      </c>
    </row>
    <row r="10" spans="1:17" x14ac:dyDescent="0.25">
      <c r="C10" t="str">
        <f t="shared" ca="1" si="0"/>
        <v>ITC2095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2</v>
      </c>
    </row>
    <row r="11" spans="1:17" x14ac:dyDescent="0.25">
      <c r="C11" t="str">
        <f t="shared" ca="1" si="0"/>
        <v>ITC2095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2</v>
      </c>
    </row>
    <row r="12" spans="1:17" x14ac:dyDescent="0.25">
      <c r="C12" t="str">
        <f t="shared" ca="1" si="0"/>
        <v>ITC2095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2</v>
      </c>
    </row>
    <row r="13" spans="1:17" x14ac:dyDescent="0.25">
      <c r="C13" t="str">
        <f t="shared" ca="1" si="0"/>
        <v>ITC2095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1</v>
      </c>
    </row>
    <row r="14" spans="1:17" x14ac:dyDescent="0.25">
      <c r="C14" t="str">
        <f t="shared" ca="1" si="0"/>
        <v>ITC2095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1</v>
      </c>
    </row>
    <row r="15" spans="1:17" x14ac:dyDescent="0.25">
      <c r="C15" t="str">
        <f t="shared" ca="1" si="0"/>
        <v>ITC2095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1</v>
      </c>
    </row>
    <row r="16" spans="1:17" x14ac:dyDescent="0.25">
      <c r="C16" t="str">
        <f t="shared" ca="1" si="0"/>
        <v>ITC2095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1</v>
      </c>
    </row>
    <row r="17" spans="3:17" x14ac:dyDescent="0.25">
      <c r="C17" t="str">
        <f t="shared" ca="1" si="0"/>
        <v>ITC2095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1</v>
      </c>
    </row>
    <row r="18" spans="3:17" x14ac:dyDescent="0.25">
      <c r="C18" t="str">
        <f t="shared" ca="1" si="0"/>
        <v>ITC2095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1</v>
      </c>
    </row>
    <row r="19" spans="3:17" x14ac:dyDescent="0.25">
      <c r="C19" t="str">
        <f t="shared" ca="1" si="0"/>
        <v>ITC2095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4</v>
      </c>
    </row>
    <row r="20" spans="3:17" x14ac:dyDescent="0.25">
      <c r="C20" t="str">
        <f t="shared" ca="1" si="0"/>
        <v>ITC2095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4</v>
      </c>
    </row>
    <row r="21" spans="3:17" x14ac:dyDescent="0.25">
      <c r="C21" t="str">
        <f t="shared" ca="1" si="0"/>
        <v>ITC2095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4</v>
      </c>
    </row>
    <row r="22" spans="3:17" x14ac:dyDescent="0.25">
      <c r="C22" t="str">
        <f t="shared" ca="1" si="0"/>
        <v>ITC2095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4</v>
      </c>
    </row>
    <row r="23" spans="3:17" x14ac:dyDescent="0.25">
      <c r="C23" t="str">
        <f t="shared" ca="1" si="0"/>
        <v>ITC2095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4</v>
      </c>
    </row>
    <row r="24" spans="3:17" x14ac:dyDescent="0.25">
      <c r="C24" t="str">
        <f t="shared" ca="1" si="0"/>
        <v>ITC2095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4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19" priority="1">
      <formula>LEN(TRIM(C1))&gt;0</formula>
    </cfRule>
  </conditionalFormatting>
  <conditionalFormatting sqref="R2">
    <cfRule type="notContainsBlanks" dxfId="18" priority="2">
      <formula>LEN(TRIM(R2))&gt;0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E6CB2-D6D8-47C7-8AB8-D11DD5AADF7C}">
  <sheetPr codeName="Sheet19"/>
  <dimension ref="A1:Q444"/>
  <sheetViews>
    <sheetView topLeftCell="A7" workbookViewId="0">
      <selection activeCell="A2" sqref="A2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48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YJJ01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2</v>
      </c>
    </row>
    <row r="4" spans="1:17" x14ac:dyDescent="0.25">
      <c r="C4" t="str">
        <f t="shared" ref="C4:C67" ca="1" si="0">IF(D4="","",$A$1)</f>
        <v>YJJ01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2</v>
      </c>
    </row>
    <row r="5" spans="1:17" x14ac:dyDescent="0.25">
      <c r="C5" t="str">
        <f t="shared" ca="1" si="0"/>
        <v>YJJ01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2</v>
      </c>
    </row>
    <row r="6" spans="1:17" x14ac:dyDescent="0.25">
      <c r="C6" t="str">
        <f t="shared" ca="1" si="0"/>
        <v>YJJ01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2</v>
      </c>
    </row>
    <row r="7" spans="1:17" x14ac:dyDescent="0.25">
      <c r="C7" t="str">
        <f t="shared" ca="1" si="0"/>
        <v>YJJ01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2</v>
      </c>
    </row>
    <row r="8" spans="1:17" x14ac:dyDescent="0.25">
      <c r="C8" t="str">
        <f t="shared" ca="1" si="0"/>
        <v>YJJ01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2</v>
      </c>
    </row>
    <row r="9" spans="1:17" x14ac:dyDescent="0.25">
      <c r="C9" t="str">
        <f t="shared" ca="1" si="0"/>
        <v>YJJ01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2</v>
      </c>
    </row>
    <row r="10" spans="1:17" x14ac:dyDescent="0.25">
      <c r="C10" t="str">
        <f t="shared" ca="1" si="0"/>
        <v>YJJ01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2</v>
      </c>
    </row>
    <row r="11" spans="1:17" x14ac:dyDescent="0.25">
      <c r="C11" t="str">
        <f t="shared" ca="1" si="0"/>
        <v>YJJ01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2</v>
      </c>
    </row>
    <row r="12" spans="1:17" x14ac:dyDescent="0.25">
      <c r="C12" t="str">
        <f t="shared" ca="1" si="0"/>
        <v>YJJ01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2</v>
      </c>
    </row>
    <row r="13" spans="1:17" x14ac:dyDescent="0.25">
      <c r="C13" t="str">
        <f t="shared" ca="1" si="0"/>
        <v>YJJ01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1</v>
      </c>
    </row>
    <row r="14" spans="1:17" x14ac:dyDescent="0.25">
      <c r="C14" t="str">
        <f t="shared" ca="1" si="0"/>
        <v>YJJ01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1</v>
      </c>
    </row>
    <row r="15" spans="1:17" x14ac:dyDescent="0.25">
      <c r="C15" t="str">
        <f t="shared" ca="1" si="0"/>
        <v>YJJ01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1</v>
      </c>
    </row>
    <row r="16" spans="1:17" x14ac:dyDescent="0.25">
      <c r="C16" t="str">
        <f t="shared" ca="1" si="0"/>
        <v>YJJ01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1</v>
      </c>
    </row>
    <row r="17" spans="3:17" x14ac:dyDescent="0.25">
      <c r="C17" t="str">
        <f t="shared" ca="1" si="0"/>
        <v>YJJ01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1</v>
      </c>
    </row>
    <row r="18" spans="3:17" x14ac:dyDescent="0.25">
      <c r="C18" t="str">
        <f t="shared" ca="1" si="0"/>
        <v>YJJ01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1</v>
      </c>
    </row>
    <row r="19" spans="3:17" x14ac:dyDescent="0.25">
      <c r="C19" t="str">
        <f t="shared" ca="1" si="0"/>
        <v>YJJ01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4</v>
      </c>
    </row>
    <row r="20" spans="3:17" x14ac:dyDescent="0.25">
      <c r="C20" t="str">
        <f t="shared" ca="1" si="0"/>
        <v>YJJ01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4</v>
      </c>
    </row>
    <row r="21" spans="3:17" x14ac:dyDescent="0.25">
      <c r="C21" t="str">
        <f t="shared" ca="1" si="0"/>
        <v>YJJ01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4</v>
      </c>
    </row>
    <row r="22" spans="3:17" x14ac:dyDescent="0.25">
      <c r="C22" t="str">
        <f t="shared" ca="1" si="0"/>
        <v>YJJ01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4</v>
      </c>
    </row>
    <row r="23" spans="3:17" x14ac:dyDescent="0.25">
      <c r="C23" t="str">
        <f t="shared" ca="1" si="0"/>
        <v>YJJ01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4</v>
      </c>
    </row>
    <row r="24" spans="3:17" x14ac:dyDescent="0.25">
      <c r="C24" t="str">
        <f t="shared" ca="1" si="0"/>
        <v>YJJ01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4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17" priority="1">
      <formula>LEN(TRIM(C1))&gt;0</formula>
    </cfRule>
  </conditionalFormatting>
  <conditionalFormatting sqref="R2">
    <cfRule type="notContainsBlanks" dxfId="16" priority="2">
      <formula>LEN(TRIM(R2))&gt;0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0AFF9-BB3E-495A-AB79-C2ED31BE7B9C}">
  <sheetPr codeName="Sheet20"/>
  <dimension ref="A1:Q444"/>
  <sheetViews>
    <sheetView workbookViewId="0">
      <selection activeCell="A2" sqref="A2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53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YJJ03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1</v>
      </c>
    </row>
    <row r="4" spans="1:17" x14ac:dyDescent="0.25">
      <c r="C4" t="str">
        <f t="shared" ref="C4:C67" ca="1" si="0">IF(D4="","",$A$1)</f>
        <v>YJJ03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1</v>
      </c>
    </row>
    <row r="5" spans="1:17" x14ac:dyDescent="0.25">
      <c r="C5" t="str">
        <f t="shared" ca="1" si="0"/>
        <v>YJJ03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1</v>
      </c>
    </row>
    <row r="6" spans="1:17" x14ac:dyDescent="0.25">
      <c r="C6" t="str">
        <f t="shared" ca="1" si="0"/>
        <v>YJJ03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1</v>
      </c>
    </row>
    <row r="7" spans="1:17" x14ac:dyDescent="0.25">
      <c r="C7" t="str">
        <f t="shared" ca="1" si="0"/>
        <v>YJJ03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1</v>
      </c>
    </row>
    <row r="8" spans="1:17" x14ac:dyDescent="0.25">
      <c r="C8" t="str">
        <f t="shared" ca="1" si="0"/>
        <v>YJJ03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1</v>
      </c>
    </row>
    <row r="9" spans="1:17" x14ac:dyDescent="0.25">
      <c r="C9" t="str">
        <f t="shared" ca="1" si="0"/>
        <v>YJJ03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1</v>
      </c>
    </row>
    <row r="10" spans="1:17" x14ac:dyDescent="0.25">
      <c r="C10" t="str">
        <f t="shared" ca="1" si="0"/>
        <v>YJJ03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1</v>
      </c>
    </row>
    <row r="11" spans="1:17" x14ac:dyDescent="0.25">
      <c r="C11" t="str">
        <f t="shared" ca="1" si="0"/>
        <v>YJJ03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1</v>
      </c>
    </row>
    <row r="12" spans="1:17" x14ac:dyDescent="0.25">
      <c r="C12" t="str">
        <f t="shared" ca="1" si="0"/>
        <v>YJJ03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1</v>
      </c>
    </row>
    <row r="13" spans="1:17" x14ac:dyDescent="0.25">
      <c r="C13" t="str">
        <f t="shared" ca="1" si="0"/>
        <v>YJJ03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1</v>
      </c>
    </row>
    <row r="14" spans="1:17" x14ac:dyDescent="0.25">
      <c r="C14" t="str">
        <f t="shared" ca="1" si="0"/>
        <v>YJJ03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1</v>
      </c>
    </row>
    <row r="15" spans="1:17" x14ac:dyDescent="0.25">
      <c r="C15" t="str">
        <f t="shared" ca="1" si="0"/>
        <v>YJJ03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1</v>
      </c>
    </row>
    <row r="16" spans="1:17" x14ac:dyDescent="0.25">
      <c r="C16" t="str">
        <f t="shared" ca="1" si="0"/>
        <v>YJJ03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1</v>
      </c>
    </row>
    <row r="17" spans="3:17" x14ac:dyDescent="0.25">
      <c r="C17" t="str">
        <f t="shared" ca="1" si="0"/>
        <v>YJJ03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1</v>
      </c>
    </row>
    <row r="18" spans="3:17" x14ac:dyDescent="0.25">
      <c r="C18" t="str">
        <f t="shared" ca="1" si="0"/>
        <v>YJJ03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1</v>
      </c>
    </row>
    <row r="19" spans="3:17" x14ac:dyDescent="0.25">
      <c r="C19" t="str">
        <f t="shared" ca="1" si="0"/>
        <v>YJJ03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3</v>
      </c>
    </row>
    <row r="20" spans="3:17" x14ac:dyDescent="0.25">
      <c r="C20" t="str">
        <f t="shared" ca="1" si="0"/>
        <v>YJJ03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3</v>
      </c>
    </row>
    <row r="21" spans="3:17" x14ac:dyDescent="0.25">
      <c r="C21" t="str">
        <f t="shared" ca="1" si="0"/>
        <v>YJJ03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3</v>
      </c>
    </row>
    <row r="22" spans="3:17" x14ac:dyDescent="0.25">
      <c r="C22" t="str">
        <f t="shared" ca="1" si="0"/>
        <v>YJJ03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3</v>
      </c>
    </row>
    <row r="23" spans="3:17" x14ac:dyDescent="0.25">
      <c r="C23" t="str">
        <f t="shared" ca="1" si="0"/>
        <v>YJJ03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3</v>
      </c>
    </row>
    <row r="24" spans="3:17" x14ac:dyDescent="0.25">
      <c r="C24" t="str">
        <f t="shared" ca="1" si="0"/>
        <v>YJJ03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3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15" priority="1">
      <formula>LEN(TRIM(C1))&gt;0</formula>
    </cfRule>
  </conditionalFormatting>
  <conditionalFormatting sqref="R2">
    <cfRule type="notContainsBlanks" dxfId="14" priority="2">
      <formula>LEN(TRIM(R2))&gt;0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9BC3-6539-4131-BEC5-8C2208BCF3F0}">
  <sheetPr codeName="Sheet21"/>
  <dimension ref="A1:Q444"/>
  <sheetViews>
    <sheetView workbookViewId="0">
      <selection activeCell="I13" sqref="I13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44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ITC2328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1</v>
      </c>
    </row>
    <row r="4" spans="1:17" x14ac:dyDescent="0.25">
      <c r="C4" t="str">
        <f t="shared" ref="C4:C67" ca="1" si="0">IF(D4="","",$A$1)</f>
        <v>ITC2328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1</v>
      </c>
    </row>
    <row r="5" spans="1:17" x14ac:dyDescent="0.25">
      <c r="C5" t="str">
        <f t="shared" ca="1" si="0"/>
        <v>ITC2328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1</v>
      </c>
    </row>
    <row r="6" spans="1:17" x14ac:dyDescent="0.25">
      <c r="C6" t="str">
        <f t="shared" ca="1" si="0"/>
        <v>ITC2328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1</v>
      </c>
    </row>
    <row r="7" spans="1:17" x14ac:dyDescent="0.25">
      <c r="C7" t="str">
        <f t="shared" ca="1" si="0"/>
        <v>ITC2328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1</v>
      </c>
    </row>
    <row r="8" spans="1:17" x14ac:dyDescent="0.25">
      <c r="C8" t="str">
        <f t="shared" ca="1" si="0"/>
        <v>ITC2328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1</v>
      </c>
    </row>
    <row r="9" spans="1:17" x14ac:dyDescent="0.25">
      <c r="C9" t="str">
        <f t="shared" ca="1" si="0"/>
        <v>ITC2328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1</v>
      </c>
    </row>
    <row r="10" spans="1:17" x14ac:dyDescent="0.25">
      <c r="C10" t="str">
        <f t="shared" ca="1" si="0"/>
        <v>ITC2328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1</v>
      </c>
    </row>
    <row r="11" spans="1:17" x14ac:dyDescent="0.25">
      <c r="C11" t="str">
        <f t="shared" ca="1" si="0"/>
        <v>ITC2328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1</v>
      </c>
    </row>
    <row r="12" spans="1:17" x14ac:dyDescent="0.25">
      <c r="C12" t="str">
        <f t="shared" ca="1" si="0"/>
        <v>ITC2328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1</v>
      </c>
    </row>
    <row r="13" spans="1:17" x14ac:dyDescent="0.25">
      <c r="C13" t="str">
        <f t="shared" ca="1" si="0"/>
        <v>ITC2328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1</v>
      </c>
    </row>
    <row r="14" spans="1:17" x14ac:dyDescent="0.25">
      <c r="C14" t="str">
        <f t="shared" ca="1" si="0"/>
        <v>ITC2328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1</v>
      </c>
    </row>
    <row r="15" spans="1:17" x14ac:dyDescent="0.25">
      <c r="C15" t="str">
        <f t="shared" ca="1" si="0"/>
        <v>ITC2328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1</v>
      </c>
    </row>
    <row r="16" spans="1:17" x14ac:dyDescent="0.25">
      <c r="C16" t="str">
        <f t="shared" ca="1" si="0"/>
        <v>ITC2328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1</v>
      </c>
    </row>
    <row r="17" spans="3:17" x14ac:dyDescent="0.25">
      <c r="C17" t="str">
        <f t="shared" ca="1" si="0"/>
        <v>ITC2328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1</v>
      </c>
    </row>
    <row r="18" spans="3:17" x14ac:dyDescent="0.25">
      <c r="C18" t="str">
        <f t="shared" ca="1" si="0"/>
        <v>ITC2328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1</v>
      </c>
    </row>
    <row r="19" spans="3:17" x14ac:dyDescent="0.25">
      <c r="C19" t="str">
        <f t="shared" ca="1" si="0"/>
        <v>ITC2328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3</v>
      </c>
    </row>
    <row r="20" spans="3:17" x14ac:dyDescent="0.25">
      <c r="C20" t="str">
        <f t="shared" ca="1" si="0"/>
        <v>ITC2328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3</v>
      </c>
    </row>
    <row r="21" spans="3:17" x14ac:dyDescent="0.25">
      <c r="C21" t="str">
        <f t="shared" ca="1" si="0"/>
        <v>ITC2328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3</v>
      </c>
    </row>
    <row r="22" spans="3:17" x14ac:dyDescent="0.25">
      <c r="C22" t="str">
        <f t="shared" ca="1" si="0"/>
        <v>ITC2328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3</v>
      </c>
    </row>
    <row r="23" spans="3:17" x14ac:dyDescent="0.25">
      <c r="C23" t="str">
        <f t="shared" ca="1" si="0"/>
        <v>ITC2328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3</v>
      </c>
    </row>
    <row r="24" spans="3:17" x14ac:dyDescent="0.25">
      <c r="C24" t="str">
        <f t="shared" ca="1" si="0"/>
        <v>ITC2328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3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13" priority="1">
      <formula>LEN(TRIM(C1))&gt;0</formula>
    </cfRule>
  </conditionalFormatting>
  <conditionalFormatting sqref="R2">
    <cfRule type="notContainsBlanks" dxfId="12" priority="2">
      <formula>LEN(TRIM(R2))&gt;0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9A059-FB17-45E7-BA4C-04E111E537FB}">
  <sheetPr codeName="Sheet22"/>
  <dimension ref="A1:Q444"/>
  <sheetViews>
    <sheetView workbookViewId="0">
      <selection activeCell="Q17" sqref="Q17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9" max="9" width="10.855468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113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MOSTI22967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1</v>
      </c>
    </row>
    <row r="4" spans="1:17" x14ac:dyDescent="0.25">
      <c r="C4" t="str">
        <f t="shared" ref="C4:C67" ca="1" si="0">IF(D4="","",$A$1)</f>
        <v>MOSTI22967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1</v>
      </c>
    </row>
    <row r="5" spans="1:17" x14ac:dyDescent="0.25">
      <c r="C5" t="str">
        <f t="shared" ca="1" si="0"/>
        <v>MOSTI22967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1</v>
      </c>
    </row>
    <row r="6" spans="1:17" x14ac:dyDescent="0.25">
      <c r="C6" t="str">
        <f t="shared" ca="1" si="0"/>
        <v>MOSTI22967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1</v>
      </c>
    </row>
    <row r="7" spans="1:17" x14ac:dyDescent="0.25">
      <c r="C7" t="str">
        <f t="shared" ca="1" si="0"/>
        <v>MOSTI22967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1</v>
      </c>
    </row>
    <row r="8" spans="1:17" x14ac:dyDescent="0.25">
      <c r="C8" t="str">
        <f t="shared" ca="1" si="0"/>
        <v>MOSTI22967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1</v>
      </c>
    </row>
    <row r="9" spans="1:17" x14ac:dyDescent="0.25">
      <c r="C9" t="str">
        <f t="shared" ca="1" si="0"/>
        <v>MOSTI22967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1</v>
      </c>
    </row>
    <row r="10" spans="1:17" x14ac:dyDescent="0.25">
      <c r="C10" t="str">
        <f t="shared" ca="1" si="0"/>
        <v>MOSTI22967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1</v>
      </c>
    </row>
    <row r="11" spans="1:17" x14ac:dyDescent="0.25">
      <c r="C11" t="str">
        <f t="shared" ca="1" si="0"/>
        <v>MOSTI22967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1</v>
      </c>
    </row>
    <row r="12" spans="1:17" x14ac:dyDescent="0.25">
      <c r="C12" t="str">
        <f t="shared" ca="1" si="0"/>
        <v>MOSTI22967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1</v>
      </c>
    </row>
    <row r="13" spans="1:17" x14ac:dyDescent="0.25">
      <c r="C13" t="str">
        <f t="shared" ca="1" si="0"/>
        <v>MOSTI22967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1</v>
      </c>
    </row>
    <row r="14" spans="1:17" x14ac:dyDescent="0.25">
      <c r="C14" t="str">
        <f t="shared" ca="1" si="0"/>
        <v>MOSTI22967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1</v>
      </c>
    </row>
    <row r="15" spans="1:17" x14ac:dyDescent="0.25">
      <c r="C15" t="str">
        <f t="shared" ca="1" si="0"/>
        <v>MOSTI22967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1</v>
      </c>
    </row>
    <row r="16" spans="1:17" x14ac:dyDescent="0.25">
      <c r="C16" t="str">
        <f t="shared" ca="1" si="0"/>
        <v>MOSTI22967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1</v>
      </c>
    </row>
    <row r="17" spans="3:17" x14ac:dyDescent="0.25">
      <c r="C17" t="str">
        <f t="shared" ca="1" si="0"/>
        <v>MOSTI22967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1</v>
      </c>
    </row>
    <row r="18" spans="3:17" x14ac:dyDescent="0.25">
      <c r="C18" t="str">
        <f t="shared" ca="1" si="0"/>
        <v>MOSTI22967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1</v>
      </c>
    </row>
    <row r="19" spans="3:17" x14ac:dyDescent="0.25">
      <c r="C19" t="str">
        <f t="shared" ca="1" si="0"/>
        <v>MOSTI22967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3</v>
      </c>
    </row>
    <row r="20" spans="3:17" x14ac:dyDescent="0.25">
      <c r="C20" t="str">
        <f t="shared" ca="1" si="0"/>
        <v>MOSTI22967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3</v>
      </c>
    </row>
    <row r="21" spans="3:17" x14ac:dyDescent="0.25">
      <c r="C21" t="str">
        <f t="shared" ca="1" si="0"/>
        <v>MOSTI22967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3</v>
      </c>
    </row>
    <row r="22" spans="3:17" x14ac:dyDescent="0.25">
      <c r="C22" t="str">
        <f t="shared" ca="1" si="0"/>
        <v>MOSTI22967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3</v>
      </c>
    </row>
    <row r="23" spans="3:17" x14ac:dyDescent="0.25">
      <c r="C23" t="str">
        <f t="shared" ca="1" si="0"/>
        <v>MOSTI22967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3</v>
      </c>
    </row>
    <row r="24" spans="3:17" x14ac:dyDescent="0.25">
      <c r="C24" t="str">
        <f t="shared" ca="1" si="0"/>
        <v>MOSTI22967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3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11" priority="1">
      <formula>LEN(TRIM(C1))&gt;0</formula>
    </cfRule>
  </conditionalFormatting>
  <conditionalFormatting sqref="R2">
    <cfRule type="notContainsBlanks" dxfId="10" priority="2">
      <formula>LEN(TRIM(R2))&gt;0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24275-5F60-4960-A3FE-DEED6A42DB21}">
  <sheetPr codeName="Sheet23"/>
  <dimension ref="A1:Q444"/>
  <sheetViews>
    <sheetView workbookViewId="0">
      <selection activeCell="A2" sqref="A2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38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ITC2274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1</v>
      </c>
    </row>
    <row r="4" spans="1:17" x14ac:dyDescent="0.25">
      <c r="C4" t="str">
        <f t="shared" ref="C4:C67" ca="1" si="0">IF(D4="","",$A$1)</f>
        <v>ITC2274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1</v>
      </c>
    </row>
    <row r="5" spans="1:17" x14ac:dyDescent="0.25">
      <c r="C5" t="str">
        <f t="shared" ca="1" si="0"/>
        <v>ITC2274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1</v>
      </c>
    </row>
    <row r="6" spans="1:17" x14ac:dyDescent="0.25">
      <c r="C6" t="str">
        <f t="shared" ca="1" si="0"/>
        <v>ITC2274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1</v>
      </c>
    </row>
    <row r="7" spans="1:17" x14ac:dyDescent="0.25">
      <c r="C7" t="str">
        <f t="shared" ca="1" si="0"/>
        <v>ITC2274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1</v>
      </c>
    </row>
    <row r="8" spans="1:17" x14ac:dyDescent="0.25">
      <c r="C8" t="str">
        <f t="shared" ca="1" si="0"/>
        <v>ITC2274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1</v>
      </c>
    </row>
    <row r="9" spans="1:17" x14ac:dyDescent="0.25">
      <c r="C9" t="str">
        <f t="shared" ca="1" si="0"/>
        <v>ITC2274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1</v>
      </c>
    </row>
    <row r="10" spans="1:17" x14ac:dyDescent="0.25">
      <c r="C10" t="str">
        <f t="shared" ca="1" si="0"/>
        <v>ITC2274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1</v>
      </c>
    </row>
    <row r="11" spans="1:17" x14ac:dyDescent="0.25">
      <c r="C11" t="str">
        <f t="shared" ca="1" si="0"/>
        <v>ITC2274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1</v>
      </c>
    </row>
    <row r="12" spans="1:17" x14ac:dyDescent="0.25">
      <c r="C12" t="str">
        <f t="shared" ca="1" si="0"/>
        <v>ITC2274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1</v>
      </c>
    </row>
    <row r="13" spans="1:17" x14ac:dyDescent="0.25">
      <c r="C13" t="str">
        <f t="shared" ca="1" si="0"/>
        <v>ITC2274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1</v>
      </c>
    </row>
    <row r="14" spans="1:17" x14ac:dyDescent="0.25">
      <c r="C14" t="str">
        <f t="shared" ca="1" si="0"/>
        <v>ITC2274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1</v>
      </c>
    </row>
    <row r="15" spans="1:17" x14ac:dyDescent="0.25">
      <c r="C15" t="str">
        <f t="shared" ca="1" si="0"/>
        <v>ITC2274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1</v>
      </c>
    </row>
    <row r="16" spans="1:17" x14ac:dyDescent="0.25">
      <c r="C16" t="str">
        <f t="shared" ca="1" si="0"/>
        <v>ITC2274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1</v>
      </c>
    </row>
    <row r="17" spans="3:17" x14ac:dyDescent="0.25">
      <c r="C17" t="str">
        <f t="shared" ca="1" si="0"/>
        <v>ITC2274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1</v>
      </c>
    </row>
    <row r="18" spans="3:17" x14ac:dyDescent="0.25">
      <c r="C18" t="str">
        <f t="shared" ca="1" si="0"/>
        <v>ITC2274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1</v>
      </c>
    </row>
    <row r="19" spans="3:17" x14ac:dyDescent="0.25">
      <c r="C19" t="str">
        <f t="shared" ca="1" si="0"/>
        <v>ITC2274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2</v>
      </c>
    </row>
    <row r="20" spans="3:17" x14ac:dyDescent="0.25">
      <c r="C20" t="str">
        <f t="shared" ca="1" si="0"/>
        <v>ITC2274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2</v>
      </c>
    </row>
    <row r="21" spans="3:17" x14ac:dyDescent="0.25">
      <c r="C21" t="str">
        <f t="shared" ca="1" si="0"/>
        <v>ITC2274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2</v>
      </c>
    </row>
    <row r="22" spans="3:17" x14ac:dyDescent="0.25">
      <c r="C22" t="str">
        <f t="shared" ca="1" si="0"/>
        <v>ITC2274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2</v>
      </c>
    </row>
    <row r="23" spans="3:17" x14ac:dyDescent="0.25">
      <c r="C23" t="str">
        <f t="shared" ca="1" si="0"/>
        <v>ITC2274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2</v>
      </c>
    </row>
    <row r="24" spans="3:17" x14ac:dyDescent="0.25">
      <c r="C24" t="str">
        <f t="shared" ca="1" si="0"/>
        <v>ITC2274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2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9" priority="1">
      <formula>LEN(TRIM(C1))&gt;0</formula>
    </cfRule>
  </conditionalFormatting>
  <conditionalFormatting sqref="R2">
    <cfRule type="notContainsBlanks" dxfId="8" priority="2">
      <formula>LEN(TRIM(R2))&gt;0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11140-A0E6-455C-AED1-FA27B03B74B6}">
  <sheetPr codeName="Sheet24"/>
  <dimension ref="A1:Q444"/>
  <sheetViews>
    <sheetView workbookViewId="0">
      <selection activeCell="E12" sqref="E12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40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ITC2348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1</v>
      </c>
    </row>
    <row r="4" spans="1:17" x14ac:dyDescent="0.25">
      <c r="C4" t="str">
        <f t="shared" ref="C4:C67" ca="1" si="0">IF(D4="","",$A$1)</f>
        <v>ITC2348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1</v>
      </c>
    </row>
    <row r="5" spans="1:17" x14ac:dyDescent="0.25">
      <c r="C5" t="str">
        <f t="shared" ca="1" si="0"/>
        <v>ITC2348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1</v>
      </c>
    </row>
    <row r="6" spans="1:17" x14ac:dyDescent="0.25">
      <c r="C6" t="str">
        <f t="shared" ca="1" si="0"/>
        <v>ITC2348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1</v>
      </c>
    </row>
    <row r="7" spans="1:17" x14ac:dyDescent="0.25">
      <c r="C7" t="str">
        <f t="shared" ca="1" si="0"/>
        <v>ITC2348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1</v>
      </c>
    </row>
    <row r="8" spans="1:17" x14ac:dyDescent="0.25">
      <c r="C8" t="str">
        <f t="shared" ca="1" si="0"/>
        <v>ITC2348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1</v>
      </c>
    </row>
    <row r="9" spans="1:17" x14ac:dyDescent="0.25">
      <c r="C9" t="str">
        <f t="shared" ca="1" si="0"/>
        <v>ITC2348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1</v>
      </c>
    </row>
    <row r="10" spans="1:17" x14ac:dyDescent="0.25">
      <c r="C10" t="str">
        <f t="shared" ca="1" si="0"/>
        <v>ITC2348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1</v>
      </c>
    </row>
    <row r="11" spans="1:17" x14ac:dyDescent="0.25">
      <c r="C11" t="str">
        <f t="shared" ca="1" si="0"/>
        <v>ITC2348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1</v>
      </c>
    </row>
    <row r="12" spans="1:17" x14ac:dyDescent="0.25">
      <c r="C12" t="str">
        <f t="shared" ca="1" si="0"/>
        <v>ITC2348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1</v>
      </c>
    </row>
    <row r="13" spans="1:17" x14ac:dyDescent="0.25">
      <c r="C13" t="str">
        <f t="shared" ca="1" si="0"/>
        <v>ITC2348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1</v>
      </c>
    </row>
    <row r="14" spans="1:17" x14ac:dyDescent="0.25">
      <c r="C14" t="str">
        <f t="shared" ca="1" si="0"/>
        <v>ITC2348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1</v>
      </c>
    </row>
    <row r="15" spans="1:17" x14ac:dyDescent="0.25">
      <c r="C15" t="str">
        <f t="shared" ca="1" si="0"/>
        <v>ITC2348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1</v>
      </c>
    </row>
    <row r="16" spans="1:17" x14ac:dyDescent="0.25">
      <c r="C16" t="str">
        <f t="shared" ca="1" si="0"/>
        <v>ITC2348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1</v>
      </c>
    </row>
    <row r="17" spans="3:17" x14ac:dyDescent="0.25">
      <c r="C17" t="str">
        <f t="shared" ca="1" si="0"/>
        <v>ITC2348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1</v>
      </c>
    </row>
    <row r="18" spans="3:17" x14ac:dyDescent="0.25">
      <c r="C18" t="str">
        <f t="shared" ca="1" si="0"/>
        <v>ITC2348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1</v>
      </c>
    </row>
    <row r="19" spans="3:17" x14ac:dyDescent="0.25">
      <c r="C19" t="str">
        <f t="shared" ca="1" si="0"/>
        <v>ITC2348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2</v>
      </c>
    </row>
    <row r="20" spans="3:17" x14ac:dyDescent="0.25">
      <c r="C20" t="str">
        <f t="shared" ca="1" si="0"/>
        <v>ITC2348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2</v>
      </c>
    </row>
    <row r="21" spans="3:17" x14ac:dyDescent="0.25">
      <c r="C21" t="str">
        <f t="shared" ca="1" si="0"/>
        <v>ITC2348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2</v>
      </c>
    </row>
    <row r="22" spans="3:17" x14ac:dyDescent="0.25">
      <c r="C22" t="str">
        <f t="shared" ca="1" si="0"/>
        <v>ITC2348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2</v>
      </c>
    </row>
    <row r="23" spans="3:17" x14ac:dyDescent="0.25">
      <c r="C23" t="str">
        <f t="shared" ca="1" si="0"/>
        <v>ITC2348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2</v>
      </c>
    </row>
    <row r="24" spans="3:17" x14ac:dyDescent="0.25">
      <c r="C24" t="str">
        <f t="shared" ca="1" si="0"/>
        <v>ITC2348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2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7" priority="1">
      <formula>LEN(TRIM(C1))&gt;0</formula>
    </cfRule>
  </conditionalFormatting>
  <conditionalFormatting sqref="R2">
    <cfRule type="notContainsBlanks" dxfId="6" priority="2">
      <formula>LEN(TRIM(R2))&gt;0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98028-855D-4AB0-92EA-6AA72B448A76}">
  <sheetPr codeName="Sheet26"/>
  <dimension ref="A1:Q444"/>
  <sheetViews>
    <sheetView workbookViewId="0">
      <selection activeCell="A2" sqref="A2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32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ITC2089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1</v>
      </c>
    </row>
    <row r="4" spans="1:17" x14ac:dyDescent="0.25">
      <c r="C4" t="str">
        <f t="shared" ref="C4:C67" ca="1" si="0">IF(D4="","",$A$1)</f>
        <v>ITC2089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1</v>
      </c>
    </row>
    <row r="5" spans="1:17" x14ac:dyDescent="0.25">
      <c r="C5" t="str">
        <f t="shared" ca="1" si="0"/>
        <v>ITC2089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1</v>
      </c>
    </row>
    <row r="6" spans="1:17" x14ac:dyDescent="0.25">
      <c r="C6" t="str">
        <f t="shared" ca="1" si="0"/>
        <v>ITC2089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1</v>
      </c>
    </row>
    <row r="7" spans="1:17" x14ac:dyDescent="0.25">
      <c r="C7" t="str">
        <f t="shared" ca="1" si="0"/>
        <v>ITC2089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1</v>
      </c>
    </row>
    <row r="8" spans="1:17" x14ac:dyDescent="0.25">
      <c r="C8" t="str">
        <f t="shared" ca="1" si="0"/>
        <v>ITC2089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1</v>
      </c>
    </row>
    <row r="9" spans="1:17" x14ac:dyDescent="0.25">
      <c r="C9" t="str">
        <f t="shared" ca="1" si="0"/>
        <v>ITC2089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1</v>
      </c>
    </row>
    <row r="10" spans="1:17" x14ac:dyDescent="0.25">
      <c r="C10" t="str">
        <f t="shared" ca="1" si="0"/>
        <v>ITC2089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1</v>
      </c>
    </row>
    <row r="11" spans="1:17" x14ac:dyDescent="0.25">
      <c r="C11" t="str">
        <f t="shared" ca="1" si="0"/>
        <v>ITC2089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1</v>
      </c>
    </row>
    <row r="12" spans="1:17" x14ac:dyDescent="0.25">
      <c r="C12" t="str">
        <f t="shared" ca="1" si="0"/>
        <v>ITC2089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1</v>
      </c>
    </row>
    <row r="13" spans="1:17" x14ac:dyDescent="0.25">
      <c r="C13" t="str">
        <f t="shared" ca="1" si="0"/>
        <v>ITC2089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1</v>
      </c>
    </row>
    <row r="14" spans="1:17" x14ac:dyDescent="0.25">
      <c r="C14" t="str">
        <f t="shared" ca="1" si="0"/>
        <v>ITC2089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1</v>
      </c>
    </row>
    <row r="15" spans="1:17" x14ac:dyDescent="0.25">
      <c r="C15" t="str">
        <f t="shared" ca="1" si="0"/>
        <v>ITC2089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1</v>
      </c>
    </row>
    <row r="16" spans="1:17" x14ac:dyDescent="0.25">
      <c r="C16" t="str">
        <f t="shared" ca="1" si="0"/>
        <v>ITC2089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1</v>
      </c>
    </row>
    <row r="17" spans="3:17" x14ac:dyDescent="0.25">
      <c r="C17" t="str">
        <f t="shared" ca="1" si="0"/>
        <v>ITC2089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1</v>
      </c>
    </row>
    <row r="18" spans="3:17" x14ac:dyDescent="0.25">
      <c r="C18" t="str">
        <f t="shared" ca="1" si="0"/>
        <v>ITC2089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1</v>
      </c>
    </row>
    <row r="19" spans="3:17" x14ac:dyDescent="0.25">
      <c r="C19" t="str">
        <f t="shared" ca="1" si="0"/>
        <v>ITC2089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2</v>
      </c>
    </row>
    <row r="20" spans="3:17" x14ac:dyDescent="0.25">
      <c r="C20" t="str">
        <f t="shared" ca="1" si="0"/>
        <v>ITC2089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2</v>
      </c>
    </row>
    <row r="21" spans="3:17" x14ac:dyDescent="0.25">
      <c r="C21" t="str">
        <f t="shared" ca="1" si="0"/>
        <v>ITC2089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2</v>
      </c>
    </row>
    <row r="22" spans="3:17" x14ac:dyDescent="0.25">
      <c r="C22" t="str">
        <f t="shared" ca="1" si="0"/>
        <v>ITC2089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2</v>
      </c>
    </row>
    <row r="23" spans="3:17" x14ac:dyDescent="0.25">
      <c r="C23" t="str">
        <f t="shared" ca="1" si="0"/>
        <v>ITC2089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2</v>
      </c>
    </row>
    <row r="24" spans="3:17" x14ac:dyDescent="0.25">
      <c r="C24" t="str">
        <f t="shared" ca="1" si="0"/>
        <v>ITC2089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2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5" priority="1">
      <formula>LEN(TRIM(C1))&gt;0</formula>
    </cfRule>
  </conditionalFormatting>
  <conditionalFormatting sqref="R2">
    <cfRule type="notContainsBlanks" dxfId="4" priority="2">
      <formula>LEN(TRIM(R2))&gt;0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969BD-FC93-4C2C-B0C4-ECE276B98A70}">
  <sheetPr codeName="Sheet27"/>
  <dimension ref="A1:Q444"/>
  <sheetViews>
    <sheetView workbookViewId="0">
      <selection activeCell="S22" sqref="S22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16.42578125" customWidth="1"/>
    <col min="19" max="19" width="24" bestFit="1" customWidth="1"/>
  </cols>
  <sheetData>
    <row r="1" spans="1:17" x14ac:dyDescent="0.25">
      <c r="A1" s="4" t="s">
        <v>112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MOSTI22962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1</v>
      </c>
    </row>
    <row r="4" spans="1:17" x14ac:dyDescent="0.25">
      <c r="C4" t="str">
        <f t="shared" ref="C4:C67" ca="1" si="0">IF(D4="","",$A$1)</f>
        <v>MOSTI22962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1</v>
      </c>
    </row>
    <row r="5" spans="1:17" x14ac:dyDescent="0.25">
      <c r="C5" t="str">
        <f t="shared" ca="1" si="0"/>
        <v>MOSTI22962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1</v>
      </c>
    </row>
    <row r="6" spans="1:17" x14ac:dyDescent="0.25">
      <c r="C6" t="str">
        <f t="shared" ca="1" si="0"/>
        <v>MOSTI22962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1</v>
      </c>
    </row>
    <row r="7" spans="1:17" x14ac:dyDescent="0.25">
      <c r="C7" t="str">
        <f t="shared" ca="1" si="0"/>
        <v>MOSTI22962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1</v>
      </c>
    </row>
    <row r="8" spans="1:17" x14ac:dyDescent="0.25">
      <c r="C8" t="str">
        <f t="shared" ca="1" si="0"/>
        <v>MOSTI22962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1</v>
      </c>
    </row>
    <row r="9" spans="1:17" x14ac:dyDescent="0.25">
      <c r="C9" t="str">
        <f t="shared" ca="1" si="0"/>
        <v>MOSTI22962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1</v>
      </c>
    </row>
    <row r="10" spans="1:17" x14ac:dyDescent="0.25">
      <c r="C10" t="str">
        <f t="shared" ca="1" si="0"/>
        <v>MOSTI22962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1</v>
      </c>
    </row>
    <row r="11" spans="1:17" x14ac:dyDescent="0.25">
      <c r="C11" t="str">
        <f t="shared" ca="1" si="0"/>
        <v>MOSTI22962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1</v>
      </c>
    </row>
    <row r="12" spans="1:17" x14ac:dyDescent="0.25">
      <c r="C12" t="str">
        <f t="shared" ca="1" si="0"/>
        <v>MOSTI22962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1</v>
      </c>
    </row>
    <row r="13" spans="1:17" x14ac:dyDescent="0.25">
      <c r="C13" t="str">
        <f t="shared" ca="1" si="0"/>
        <v>MOSTI22962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1</v>
      </c>
    </row>
    <row r="14" spans="1:17" x14ac:dyDescent="0.25">
      <c r="C14" t="str">
        <f t="shared" ca="1" si="0"/>
        <v>MOSTI22962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1</v>
      </c>
    </row>
    <row r="15" spans="1:17" x14ac:dyDescent="0.25">
      <c r="C15" t="str">
        <f t="shared" ca="1" si="0"/>
        <v>MOSTI22962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1</v>
      </c>
    </row>
    <row r="16" spans="1:17" x14ac:dyDescent="0.25">
      <c r="C16" t="str">
        <f t="shared" ca="1" si="0"/>
        <v>MOSTI22962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1</v>
      </c>
    </row>
    <row r="17" spans="3:17" x14ac:dyDescent="0.25">
      <c r="C17" t="str">
        <f t="shared" ca="1" si="0"/>
        <v>MOSTI22962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1</v>
      </c>
    </row>
    <row r="18" spans="3:17" x14ac:dyDescent="0.25">
      <c r="C18" t="str">
        <f t="shared" ca="1" si="0"/>
        <v>MOSTI22962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1</v>
      </c>
    </row>
    <row r="19" spans="3:17" x14ac:dyDescent="0.25">
      <c r="C19" t="str">
        <f t="shared" ca="1" si="0"/>
        <v>MOSTI22962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2</v>
      </c>
    </row>
    <row r="20" spans="3:17" x14ac:dyDescent="0.25">
      <c r="C20" t="str">
        <f t="shared" ca="1" si="0"/>
        <v>MOSTI22962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2</v>
      </c>
    </row>
    <row r="21" spans="3:17" x14ac:dyDescent="0.25">
      <c r="C21" t="str">
        <f t="shared" ca="1" si="0"/>
        <v>MOSTI22962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2</v>
      </c>
    </row>
    <row r="22" spans="3:17" x14ac:dyDescent="0.25">
      <c r="C22" t="str">
        <f t="shared" ca="1" si="0"/>
        <v>MOSTI22962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2</v>
      </c>
    </row>
    <row r="23" spans="3:17" x14ac:dyDescent="0.25">
      <c r="C23" t="str">
        <f t="shared" ca="1" si="0"/>
        <v>MOSTI22962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2</v>
      </c>
    </row>
    <row r="24" spans="3:17" x14ac:dyDescent="0.25">
      <c r="C24" t="str">
        <f t="shared" ca="1" si="0"/>
        <v>MOSTI22962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2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3" priority="1">
      <formula>LEN(TRIM(C1))&gt;0</formula>
    </cfRule>
  </conditionalFormatting>
  <conditionalFormatting sqref="R2">
    <cfRule type="notContainsBlanks" dxfId="2" priority="2">
      <formula>LEN(TRIM(R2))&gt;0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9C9EF-14A7-4A4D-B3B8-0BD883DEA005}">
  <sheetPr codeName="Sheet30"/>
  <dimension ref="A1:Q444"/>
  <sheetViews>
    <sheetView workbookViewId="0">
      <selection activeCell="S13" sqref="S13"/>
    </sheetView>
  </sheetViews>
  <sheetFormatPr defaultRowHeight="15" x14ac:dyDescent="0.25"/>
  <cols>
    <col min="3" max="3" width="9.5703125" customWidth="1"/>
    <col min="4" max="4" width="12.140625" customWidth="1"/>
    <col min="5" max="5" width="7.7109375" customWidth="1"/>
    <col min="6" max="6" width="10.5703125" bestFit="1" customWidth="1"/>
    <col min="7" max="7" width="16.7109375" bestFit="1" customWidth="1"/>
    <col min="10" max="10" width="10.42578125" bestFit="1" customWidth="1"/>
    <col min="14" max="14" width="11.85546875" bestFit="1" customWidth="1"/>
    <col min="16" max="16" width="32.42578125" bestFit="1" customWidth="1"/>
    <col min="19" max="19" width="24" bestFit="1" customWidth="1"/>
  </cols>
  <sheetData>
    <row r="1" spans="1:17" x14ac:dyDescent="0.25">
      <c r="A1" s="4" t="s">
        <v>230</v>
      </c>
      <c r="B1" s="4"/>
    </row>
    <row r="2" spans="1:17" x14ac:dyDescent="0.25">
      <c r="C2" s="66" t="s">
        <v>50</v>
      </c>
      <c r="D2" s="66" t="s">
        <v>135</v>
      </c>
      <c r="E2" s="66" t="s">
        <v>114</v>
      </c>
      <c r="F2" s="66" t="s">
        <v>125</v>
      </c>
      <c r="G2" s="66" t="s">
        <v>55</v>
      </c>
      <c r="H2" s="66" t="s">
        <v>126</v>
      </c>
      <c r="I2" s="66" t="s">
        <v>127</v>
      </c>
      <c r="J2" s="66" t="s">
        <v>128</v>
      </c>
      <c r="K2" s="66" t="s">
        <v>129</v>
      </c>
      <c r="L2" s="66" t="s">
        <v>130</v>
      </c>
      <c r="M2" s="66" t="s">
        <v>131</v>
      </c>
      <c r="N2" s="66" t="s">
        <v>132</v>
      </c>
      <c r="O2" s="66" t="s">
        <v>133</v>
      </c>
      <c r="P2" s="66" t="s">
        <v>134</v>
      </c>
      <c r="Q2" s="66" t="s">
        <v>199</v>
      </c>
    </row>
    <row r="3" spans="1:17" x14ac:dyDescent="0.25">
      <c r="C3" t="str">
        <f ca="1">IF(D3="","",$A$1)</f>
        <v>EA896332</v>
      </c>
      <c r="D3" t="str" cm="1">
        <f t="array" aca="1" ref="D3:P24" ca="1">_xlfn._xlws.FILTER(STR_LIST[],((STR_LIST[Main Strategy]=Inputs!$D$3)*(STR_LIST[Symbol]=Inputs!$C$3)*(STR_LIST[DTE/WTE]=Inputs!$F$3))+((STR_LIST[Main Strategy]=Inputs!$D$4)*(STR_LIST[Symbol]=Inputs!$C$4)*(STR_LIST[DTE/WTE]=Inputs!$F$4))+((STR_LIST[Main Strategy]=Inputs!$D$5)*(STR_LIST[Symbol]=Inputs!$C$5)*(STR_LIST[DTE/WTE]=Inputs!$F$5))+((STR_LIST[Main Strategy]=Inputs!$D$6)*(STR_LIST[Symbol]=Inputs!$C$6)*(STR_LIST[DTE/WTE]=Inputs!$F$6))+((STR_LIST[Main Strategy]=Inputs!$D$7)*(STR_LIST[Symbol]=Inputs!$C$7)*(STR_LIST[DTE/WTE]=Inputs!$F$7))+((STR_LIST[Main Strategy]=Inputs!$D$8)*(STR_LIST[Symbol]=Inputs!$C$8)*(STR_LIST[DTE/WTE]=Inputs!$F$8))+((STR_LIST[Main Strategy]=Inputs!$D$9)*(STR_LIST[Symbol]=Inputs!$C$9)*(STR_LIST[DTE/WTE]=Inputs!$F$9))+((STR_LIST[Main Strategy]=Inputs!$D$10)*(STR_LIST[Symbol]=Inputs!$C$10)*(STR_LIST[DTE/WTE]=Inputs!$F$10)))</f>
        <v>DYNAMIC SL</v>
      </c>
      <c r="E3" s="4">
        <f ca="1"/>
        <v>1</v>
      </c>
      <c r="F3" s="4" t="str">
        <f ca="1"/>
        <v>Derivatives</v>
      </c>
      <c r="G3" s="4" t="str">
        <f ca="1"/>
        <v>NF_ATM DY_14:00</v>
      </c>
      <c r="H3" s="4" t="str">
        <f ca="1"/>
        <v>NSE</v>
      </c>
      <c r="I3" s="4" t="str">
        <f ca="1"/>
        <v>NIFTY</v>
      </c>
      <c r="J3" s="50">
        <f ca="1"/>
        <v>46125</v>
      </c>
      <c r="K3" s="67">
        <f ca="1"/>
        <v>0.58333333333333337</v>
      </c>
      <c r="L3" s="67">
        <f ca="1"/>
        <v>0.1423611111111111</v>
      </c>
      <c r="M3" s="4" t="str">
        <f ca="1"/>
        <v>ATM</v>
      </c>
      <c r="N3" s="4" t="str">
        <f ca="1"/>
        <v>CE&amp; PE Both</v>
      </c>
      <c r="O3" s="4" t="str">
        <f ca="1"/>
        <v>Sell</v>
      </c>
      <c r="P3" s="38">
        <f ca="1"/>
        <v>0.7</v>
      </c>
      <c r="Q3" cm="1">
        <f t="array" aca="1" ref="Q3" ca="1">IF($P3="","",_xlfn._xlws.FILTER(LT_LST[Lot],(LT_LST[Client Id.]=$C3)*(LT_LST[Strategy]=$D3)*(LT_LST[DTE/WTE]=$E3)*(LT_LST[Symbol]=$I3)))</f>
        <v>2</v>
      </c>
    </row>
    <row r="4" spans="1:17" x14ac:dyDescent="0.25">
      <c r="C4" t="str">
        <f t="shared" ref="C4:C67" ca="1" si="0">IF(D4="","",$A$1)</f>
        <v>EA896332</v>
      </c>
      <c r="D4" t="str">
        <f ca="1"/>
        <v>DYNAMIC SL</v>
      </c>
      <c r="E4" s="4">
        <f ca="1"/>
        <v>1</v>
      </c>
      <c r="F4" s="4" t="str">
        <f ca="1"/>
        <v>Derivatives</v>
      </c>
      <c r="G4" s="4" t="str">
        <f ca="1"/>
        <v>NF_ATM DY_14:15</v>
      </c>
      <c r="H4" s="4" t="str">
        <f ca="1"/>
        <v>NSE</v>
      </c>
      <c r="I4" s="4" t="str">
        <f ca="1"/>
        <v>NIFTY</v>
      </c>
      <c r="J4" s="50">
        <f ca="1"/>
        <v>46125</v>
      </c>
      <c r="K4" s="67">
        <f ca="1"/>
        <v>0.59375</v>
      </c>
      <c r="L4" s="67">
        <f ca="1"/>
        <v>0.1423611111111111</v>
      </c>
      <c r="M4" s="4" t="str">
        <f ca="1"/>
        <v>ATM</v>
      </c>
      <c r="N4" s="4" t="str">
        <f ca="1"/>
        <v>CE&amp; PE Both</v>
      </c>
      <c r="O4" s="4" t="str">
        <f ca="1"/>
        <v>Sell</v>
      </c>
      <c r="P4" s="38">
        <f ca="1"/>
        <v>0.7</v>
      </c>
      <c r="Q4" cm="1">
        <f t="array" aca="1" ref="Q4" ca="1">IF($P4="","",_xlfn._xlws.FILTER(LT_LST[Lot],(LT_LST[Client Id.]=$C4)*(LT_LST[Strategy]=$D4)*(LT_LST[DTE/WTE]=$E4)*(LT_LST[Symbol]=$I4)))</f>
        <v>2</v>
      </c>
    </row>
    <row r="5" spans="1:17" x14ac:dyDescent="0.25">
      <c r="C5" t="str">
        <f t="shared" ca="1" si="0"/>
        <v>EA896332</v>
      </c>
      <c r="D5" t="str">
        <f ca="1"/>
        <v>DYNAMIC SL</v>
      </c>
      <c r="E5" s="4">
        <f ca="1"/>
        <v>1</v>
      </c>
      <c r="F5" s="4" t="str">
        <f ca="1"/>
        <v>Derivatives</v>
      </c>
      <c r="G5" s="4" t="str">
        <f ca="1"/>
        <v>NF_ATM DY_14:30</v>
      </c>
      <c r="H5" s="4" t="str">
        <f ca="1"/>
        <v>NSE</v>
      </c>
      <c r="I5" s="4" t="str">
        <f ca="1"/>
        <v>NIFTY</v>
      </c>
      <c r="J5" s="50">
        <f ca="1"/>
        <v>46125</v>
      </c>
      <c r="K5" s="67">
        <f ca="1"/>
        <v>0.60416666666666663</v>
      </c>
      <c r="L5" s="67">
        <f ca="1"/>
        <v>0.1423611111111111</v>
      </c>
      <c r="M5" s="4" t="str">
        <f ca="1"/>
        <v>ATM</v>
      </c>
      <c r="N5" s="4" t="str">
        <f ca="1"/>
        <v>CE&amp; PE Both</v>
      </c>
      <c r="O5" s="4" t="str">
        <f ca="1"/>
        <v>Sell</v>
      </c>
      <c r="P5" s="38">
        <f ca="1"/>
        <v>0.7</v>
      </c>
      <c r="Q5" cm="1">
        <f t="array" aca="1" ref="Q5" ca="1">IF($P5="","",_xlfn._xlws.FILTER(LT_LST[Lot],(LT_LST[Client Id.]=$C5)*(LT_LST[Strategy]=$D5)*(LT_LST[DTE/WTE]=$E5)*(LT_LST[Symbol]=$I5)))</f>
        <v>2</v>
      </c>
    </row>
    <row r="6" spans="1:17" x14ac:dyDescent="0.25">
      <c r="C6" t="str">
        <f t="shared" ca="1" si="0"/>
        <v>EA896332</v>
      </c>
      <c r="D6" t="str">
        <f ca="1"/>
        <v>DYNAMIC SL</v>
      </c>
      <c r="E6" s="4">
        <f ca="1"/>
        <v>1</v>
      </c>
      <c r="F6" s="4" t="str">
        <f ca="1"/>
        <v>Derivatives</v>
      </c>
      <c r="G6" s="4" t="str">
        <f ca="1"/>
        <v>NF_ATM DY_14:45</v>
      </c>
      <c r="H6" s="4" t="str">
        <f ca="1"/>
        <v>NSE</v>
      </c>
      <c r="I6" s="4" t="str">
        <f ca="1"/>
        <v>NIFTY</v>
      </c>
      <c r="J6" s="50">
        <f ca="1"/>
        <v>46125</v>
      </c>
      <c r="K6" s="67">
        <f ca="1"/>
        <v>0.61458333333333337</v>
      </c>
      <c r="L6" s="67">
        <f ca="1"/>
        <v>0.1423611111111111</v>
      </c>
      <c r="M6" s="4" t="str">
        <f ca="1"/>
        <v>ATM</v>
      </c>
      <c r="N6" s="4" t="str">
        <f ca="1"/>
        <v>CE&amp; PE Both</v>
      </c>
      <c r="O6" s="4" t="str">
        <f ca="1"/>
        <v>Sell</v>
      </c>
      <c r="P6" s="38">
        <f ca="1"/>
        <v>0.7</v>
      </c>
      <c r="Q6" cm="1">
        <f t="array" aca="1" ref="Q6" ca="1">IF($P6="","",_xlfn._xlws.FILTER(LT_LST[Lot],(LT_LST[Client Id.]=$C6)*(LT_LST[Strategy]=$D6)*(LT_LST[DTE/WTE]=$E6)*(LT_LST[Symbol]=$I6)))</f>
        <v>2</v>
      </c>
    </row>
    <row r="7" spans="1:17" x14ac:dyDescent="0.25">
      <c r="C7" t="str">
        <f t="shared" ca="1" si="0"/>
        <v>EA896332</v>
      </c>
      <c r="D7" t="str">
        <f ca="1"/>
        <v>DYNAMIC SL</v>
      </c>
      <c r="E7" s="4">
        <f ca="1"/>
        <v>1</v>
      </c>
      <c r="F7" s="4" t="str">
        <f ca="1"/>
        <v>Derivatives</v>
      </c>
      <c r="G7" s="4" t="str">
        <f ca="1"/>
        <v>NF_ATM DY_15:00</v>
      </c>
      <c r="H7" s="4" t="str">
        <f ca="1"/>
        <v>NSE</v>
      </c>
      <c r="I7" s="4" t="str">
        <f ca="1"/>
        <v>NIFTY</v>
      </c>
      <c r="J7" s="50">
        <f ca="1"/>
        <v>46125</v>
      </c>
      <c r="K7" s="67">
        <f ca="1"/>
        <v>0.625</v>
      </c>
      <c r="L7" s="67">
        <f ca="1"/>
        <v>0.1423611111111111</v>
      </c>
      <c r="M7" s="4" t="str">
        <f ca="1"/>
        <v>ATM</v>
      </c>
      <c r="N7" s="4" t="str">
        <f ca="1"/>
        <v>CE&amp; PE Both</v>
      </c>
      <c r="O7" s="4" t="str">
        <f ca="1"/>
        <v>Sell</v>
      </c>
      <c r="P7" s="38">
        <f ca="1"/>
        <v>0.7</v>
      </c>
      <c r="Q7" cm="1">
        <f t="array" aca="1" ref="Q7" ca="1">IF($P7="","",_xlfn._xlws.FILTER(LT_LST[Lot],(LT_LST[Client Id.]=$C7)*(LT_LST[Strategy]=$D7)*(LT_LST[DTE/WTE]=$E7)*(LT_LST[Symbol]=$I7)))</f>
        <v>2</v>
      </c>
    </row>
    <row r="8" spans="1:17" x14ac:dyDescent="0.25">
      <c r="C8" t="str">
        <f t="shared" ca="1" si="0"/>
        <v>EA896332</v>
      </c>
      <c r="D8" t="str">
        <f ca="1"/>
        <v>DYNAMIC SL</v>
      </c>
      <c r="E8" s="4">
        <f ca="1"/>
        <v>1</v>
      </c>
      <c r="F8" s="4" t="str">
        <f ca="1"/>
        <v>Derivatives</v>
      </c>
      <c r="G8" s="4" t="str">
        <f ca="1"/>
        <v>NF_ATM DY_14:00</v>
      </c>
      <c r="H8" s="4" t="str">
        <f ca="1"/>
        <v>NSE</v>
      </c>
      <c r="I8" s="4" t="str">
        <f ca="1"/>
        <v>NIFTY</v>
      </c>
      <c r="J8" s="50">
        <f ca="1"/>
        <v>46125</v>
      </c>
      <c r="K8" s="67">
        <f ca="1"/>
        <v>0.58333333333333337</v>
      </c>
      <c r="L8" s="67">
        <f ca="1"/>
        <v>0.1423611111111111</v>
      </c>
      <c r="M8" s="4" t="str">
        <f ca="1"/>
        <v>ATM</v>
      </c>
      <c r="N8" s="4" t="str">
        <f ca="1"/>
        <v>CE&amp; PE Both</v>
      </c>
      <c r="O8" s="4" t="str">
        <f ca="1"/>
        <v>Sell</v>
      </c>
      <c r="P8" s="38">
        <f ca="1"/>
        <v>0.7</v>
      </c>
      <c r="Q8" cm="1">
        <f t="array" aca="1" ref="Q8" ca="1">IF($P8="","",_xlfn._xlws.FILTER(LT_LST[Lot],(LT_LST[Client Id.]=$C8)*(LT_LST[Strategy]=$D8)*(LT_LST[DTE/WTE]=$E8)*(LT_LST[Symbol]=$I8)))</f>
        <v>2</v>
      </c>
    </row>
    <row r="9" spans="1:17" x14ac:dyDescent="0.25">
      <c r="C9" t="str">
        <f t="shared" ca="1" si="0"/>
        <v>EA896332</v>
      </c>
      <c r="D9" t="str">
        <f ca="1"/>
        <v>DYNAMIC SL</v>
      </c>
      <c r="E9" s="4">
        <f ca="1"/>
        <v>1</v>
      </c>
      <c r="F9" s="4" t="str">
        <f ca="1"/>
        <v>Derivatives</v>
      </c>
      <c r="G9" s="4" t="str">
        <f ca="1"/>
        <v>NF_ATM DY_14:15</v>
      </c>
      <c r="H9" s="4" t="str">
        <f ca="1"/>
        <v>NSE</v>
      </c>
      <c r="I9" s="4" t="str">
        <f ca="1"/>
        <v>NIFTY</v>
      </c>
      <c r="J9" s="50">
        <f ca="1"/>
        <v>46125</v>
      </c>
      <c r="K9" s="67">
        <f ca="1"/>
        <v>0.59375</v>
      </c>
      <c r="L9" s="67">
        <f ca="1"/>
        <v>0.1423611111111111</v>
      </c>
      <c r="M9" s="4" t="str">
        <f ca="1"/>
        <v>ATM</v>
      </c>
      <c r="N9" s="4" t="str">
        <f ca="1"/>
        <v>CE&amp; PE Both</v>
      </c>
      <c r="O9" s="4" t="str">
        <f ca="1"/>
        <v>Sell</v>
      </c>
      <c r="P9" s="38">
        <f ca="1"/>
        <v>0.7</v>
      </c>
      <c r="Q9" cm="1">
        <f t="array" aca="1" ref="Q9" ca="1">IF($P9="","",_xlfn._xlws.FILTER(LT_LST[Lot],(LT_LST[Client Id.]=$C9)*(LT_LST[Strategy]=$D9)*(LT_LST[DTE/WTE]=$E9)*(LT_LST[Symbol]=$I9)))</f>
        <v>2</v>
      </c>
    </row>
    <row r="10" spans="1:17" x14ac:dyDescent="0.25">
      <c r="C10" t="str">
        <f t="shared" ca="1" si="0"/>
        <v>EA896332</v>
      </c>
      <c r="D10" t="str">
        <f ca="1"/>
        <v>DYNAMIC SL</v>
      </c>
      <c r="E10" s="4">
        <f ca="1"/>
        <v>1</v>
      </c>
      <c r="F10" s="4" t="str">
        <f ca="1"/>
        <v>Derivatives</v>
      </c>
      <c r="G10" s="4" t="str">
        <f ca="1"/>
        <v>NF_ATM DY_14:30</v>
      </c>
      <c r="H10" s="4" t="str">
        <f ca="1"/>
        <v>NSE</v>
      </c>
      <c r="I10" s="4" t="str">
        <f ca="1"/>
        <v>NIFTY</v>
      </c>
      <c r="J10" s="50">
        <f ca="1"/>
        <v>46125</v>
      </c>
      <c r="K10" s="67">
        <f ca="1"/>
        <v>0.60416666666666663</v>
      </c>
      <c r="L10" s="67">
        <f ca="1"/>
        <v>0.1423611111111111</v>
      </c>
      <c r="M10" s="4" t="str">
        <f ca="1"/>
        <v>ATM</v>
      </c>
      <c r="N10" s="4" t="str">
        <f ca="1"/>
        <v>CE&amp; PE Both</v>
      </c>
      <c r="O10" s="4" t="str">
        <f ca="1"/>
        <v>Sell</v>
      </c>
      <c r="P10" s="38">
        <f ca="1"/>
        <v>0.7</v>
      </c>
      <c r="Q10" cm="1">
        <f t="array" aca="1" ref="Q10" ca="1">IF($P10="","",_xlfn._xlws.FILTER(LT_LST[Lot],(LT_LST[Client Id.]=$C10)*(LT_LST[Strategy]=$D10)*(LT_LST[DTE/WTE]=$E10)*(LT_LST[Symbol]=$I10)))</f>
        <v>2</v>
      </c>
    </row>
    <row r="11" spans="1:17" x14ac:dyDescent="0.25">
      <c r="C11" t="str">
        <f t="shared" ca="1" si="0"/>
        <v>EA896332</v>
      </c>
      <c r="D11" t="str">
        <f ca="1"/>
        <v>DYNAMIC SL</v>
      </c>
      <c r="E11" s="4">
        <f ca="1"/>
        <v>1</v>
      </c>
      <c r="F11" s="4" t="str">
        <f ca="1"/>
        <v>Derivatives</v>
      </c>
      <c r="G11" s="4" t="str">
        <f ca="1"/>
        <v>NF_ATM DY_14:45</v>
      </c>
      <c r="H11" s="4" t="str">
        <f ca="1"/>
        <v>NSE</v>
      </c>
      <c r="I11" s="4" t="str">
        <f ca="1"/>
        <v>NIFTY</v>
      </c>
      <c r="J11" s="50">
        <f ca="1"/>
        <v>46125</v>
      </c>
      <c r="K11" s="67">
        <f ca="1"/>
        <v>0.61458333333333337</v>
      </c>
      <c r="L11" s="67">
        <f ca="1"/>
        <v>0.1423611111111111</v>
      </c>
      <c r="M11" s="4" t="str">
        <f ca="1"/>
        <v>ATM</v>
      </c>
      <c r="N11" s="4" t="str">
        <f ca="1"/>
        <v>CE&amp; PE Both</v>
      </c>
      <c r="O11" s="4" t="str">
        <f ca="1"/>
        <v>Sell</v>
      </c>
      <c r="P11" s="38">
        <f ca="1"/>
        <v>0.7</v>
      </c>
      <c r="Q11" cm="1">
        <f t="array" aca="1" ref="Q11" ca="1">IF($P11="","",_xlfn._xlws.FILTER(LT_LST[Lot],(LT_LST[Client Id.]=$C11)*(LT_LST[Strategy]=$D11)*(LT_LST[DTE/WTE]=$E11)*(LT_LST[Symbol]=$I11)))</f>
        <v>2</v>
      </c>
    </row>
    <row r="12" spans="1:17" x14ac:dyDescent="0.25">
      <c r="C12" t="str">
        <f t="shared" ca="1" si="0"/>
        <v>EA896332</v>
      </c>
      <c r="D12" t="str">
        <f ca="1"/>
        <v>DYNAMIC SL</v>
      </c>
      <c r="E12" s="4">
        <f ca="1"/>
        <v>1</v>
      </c>
      <c r="F12" s="4" t="str">
        <f ca="1"/>
        <v>Derivatives</v>
      </c>
      <c r="G12" s="4" t="str">
        <f ca="1"/>
        <v>NF_ATM DY_15:00</v>
      </c>
      <c r="H12" s="4" t="str">
        <f ca="1"/>
        <v>NSE</v>
      </c>
      <c r="I12" s="4" t="str">
        <f ca="1"/>
        <v>NIFTY</v>
      </c>
      <c r="J12" s="50">
        <f ca="1"/>
        <v>46125</v>
      </c>
      <c r="K12" s="67">
        <f ca="1"/>
        <v>0.625</v>
      </c>
      <c r="L12" s="67">
        <f ca="1"/>
        <v>0.1423611111111111</v>
      </c>
      <c r="M12" s="4" t="str">
        <f ca="1"/>
        <v>ATM</v>
      </c>
      <c r="N12" s="4" t="str">
        <f ca="1"/>
        <v>CE&amp; PE Both</v>
      </c>
      <c r="O12" s="4" t="str">
        <f ca="1"/>
        <v>Sell</v>
      </c>
      <c r="P12" s="38">
        <f ca="1"/>
        <v>0.7</v>
      </c>
      <c r="Q12" cm="1">
        <f t="array" aca="1" ref="Q12" ca="1">IF($P12="","",_xlfn._xlws.FILTER(LT_LST[Lot],(LT_LST[Client Id.]=$C12)*(LT_LST[Strategy]=$D12)*(LT_LST[DTE/WTE]=$E12)*(LT_LST[Symbol]=$I12)))</f>
        <v>2</v>
      </c>
    </row>
    <row r="13" spans="1:17" x14ac:dyDescent="0.25">
      <c r="C13" t="str">
        <f t="shared" ca="1" si="0"/>
        <v>EA896332</v>
      </c>
      <c r="D13" t="str">
        <f ca="1"/>
        <v>DYNAMIC SL</v>
      </c>
      <c r="E13" s="4">
        <f ca="1"/>
        <v>3</v>
      </c>
      <c r="F13" s="4" t="str">
        <f ca="1"/>
        <v>Derivatives</v>
      </c>
      <c r="G13" s="4" t="str">
        <f ca="1"/>
        <v>BNF_ATM DY_10:15</v>
      </c>
      <c r="H13" s="4" t="str">
        <f ca="1"/>
        <v>NSE</v>
      </c>
      <c r="I13" s="4" t="str">
        <f ca="1"/>
        <v>BANKNIFTY</v>
      </c>
      <c r="J13" s="50">
        <f ca="1"/>
        <v>46140</v>
      </c>
      <c r="K13" s="67">
        <f ca="1"/>
        <v>0.42708333333333331</v>
      </c>
      <c r="L13" s="67">
        <f ca="1"/>
        <v>0.1423611111111111</v>
      </c>
      <c r="M13" s="4" t="str">
        <f ca="1"/>
        <v>ATM</v>
      </c>
      <c r="N13" s="4" t="str">
        <f ca="1"/>
        <v>CE&amp; PE Both</v>
      </c>
      <c r="O13" s="4" t="str">
        <f ca="1"/>
        <v>Sell</v>
      </c>
      <c r="P13" s="38">
        <f ca="1"/>
        <v>0.3</v>
      </c>
      <c r="Q13" cm="1">
        <f t="array" aca="1" ref="Q13" ca="1">IF($P13="","",_xlfn._xlws.FILTER(LT_LST[Lot],(LT_LST[Client Id.]=$C13)*(LT_LST[Strategy]=$D13)*(LT_LST[DTE/WTE]=$E13)*(LT_LST[Symbol]=$I13)))</f>
        <v>2</v>
      </c>
    </row>
    <row r="14" spans="1:17" x14ac:dyDescent="0.25">
      <c r="C14" t="str">
        <f t="shared" ca="1" si="0"/>
        <v>EA896332</v>
      </c>
      <c r="D14" t="str">
        <f ca="1"/>
        <v>DYNAMIC SL</v>
      </c>
      <c r="E14" s="4">
        <f ca="1"/>
        <v>3</v>
      </c>
      <c r="F14" s="4" t="str">
        <f ca="1"/>
        <v>Derivatives</v>
      </c>
      <c r="G14" s="4" t="str">
        <f ca="1"/>
        <v>BNF_ATM DY_10:30</v>
      </c>
      <c r="H14" s="4" t="str">
        <f ca="1"/>
        <v>NSE</v>
      </c>
      <c r="I14" s="4" t="str">
        <f ca="1"/>
        <v>BANKNIFTY</v>
      </c>
      <c r="J14" s="50">
        <f ca="1"/>
        <v>46140</v>
      </c>
      <c r="K14" s="67">
        <f ca="1"/>
        <v>0.4375</v>
      </c>
      <c r="L14" s="67">
        <f ca="1"/>
        <v>0.1423611111111111</v>
      </c>
      <c r="M14" s="4" t="str">
        <f ca="1"/>
        <v>ATM</v>
      </c>
      <c r="N14" s="4" t="str">
        <f ca="1"/>
        <v>CE&amp; PE Both</v>
      </c>
      <c r="O14" s="4" t="str">
        <f ca="1"/>
        <v>Sell</v>
      </c>
      <c r="P14" s="38">
        <f ca="1"/>
        <v>0.3</v>
      </c>
      <c r="Q14" cm="1">
        <f t="array" aca="1" ref="Q14" ca="1">IF($P14="","",_xlfn._xlws.FILTER(LT_LST[Lot],(LT_LST[Client Id.]=$C14)*(LT_LST[Strategy]=$D14)*(LT_LST[DTE/WTE]=$E14)*(LT_LST[Symbol]=$I14)))</f>
        <v>2</v>
      </c>
    </row>
    <row r="15" spans="1:17" x14ac:dyDescent="0.25">
      <c r="C15" t="str">
        <f t="shared" ca="1" si="0"/>
        <v>EA896332</v>
      </c>
      <c r="D15" t="str">
        <f ca="1"/>
        <v>DYNAMIC SL</v>
      </c>
      <c r="E15" s="4">
        <f ca="1"/>
        <v>3</v>
      </c>
      <c r="F15" s="4" t="str">
        <f ca="1"/>
        <v>Derivatives</v>
      </c>
      <c r="G15" s="4" t="str">
        <f ca="1"/>
        <v>BNF_ATM DY_10:45</v>
      </c>
      <c r="H15" s="4" t="str">
        <f ca="1"/>
        <v>NSE</v>
      </c>
      <c r="I15" s="4" t="str">
        <f ca="1"/>
        <v>BANKNIFTY</v>
      </c>
      <c r="J15" s="50">
        <f ca="1"/>
        <v>46140</v>
      </c>
      <c r="K15" s="67">
        <f ca="1"/>
        <v>0.44791666666666669</v>
      </c>
      <c r="L15" s="67">
        <f ca="1"/>
        <v>0.1423611111111111</v>
      </c>
      <c r="M15" s="4" t="str">
        <f ca="1"/>
        <v>ATM</v>
      </c>
      <c r="N15" s="4" t="str">
        <f ca="1"/>
        <v>CE&amp; PE Both</v>
      </c>
      <c r="O15" s="4" t="str">
        <f ca="1"/>
        <v>Sell</v>
      </c>
      <c r="P15" s="38">
        <f ca="1"/>
        <v>0.3</v>
      </c>
      <c r="Q15" cm="1">
        <f t="array" aca="1" ref="Q15" ca="1">IF($P15="","",_xlfn._xlws.FILTER(LT_LST[Lot],(LT_LST[Client Id.]=$C15)*(LT_LST[Strategy]=$D15)*(LT_LST[DTE/WTE]=$E15)*(LT_LST[Symbol]=$I15)))</f>
        <v>2</v>
      </c>
    </row>
    <row r="16" spans="1:17" x14ac:dyDescent="0.25">
      <c r="C16" t="str">
        <f t="shared" ca="1" si="0"/>
        <v>EA896332</v>
      </c>
      <c r="D16" t="str">
        <f ca="1"/>
        <v>DYNAMIC SL</v>
      </c>
      <c r="E16" s="4">
        <f ca="1"/>
        <v>3</v>
      </c>
      <c r="F16" s="4" t="str">
        <f ca="1"/>
        <v>Derivatives</v>
      </c>
      <c r="G16" s="4" t="str">
        <f ca="1"/>
        <v>BNF_ITM1 DY_09:30</v>
      </c>
      <c r="H16" s="4" t="str">
        <f ca="1"/>
        <v>NSE</v>
      </c>
      <c r="I16" s="4" t="str">
        <f ca="1"/>
        <v>BANKNIFTY</v>
      </c>
      <c r="J16" s="50">
        <f ca="1"/>
        <v>46140</v>
      </c>
      <c r="K16" s="67">
        <f ca="1"/>
        <v>0.39583333333333331</v>
      </c>
      <c r="L16" s="67">
        <f ca="1"/>
        <v>0.1423611111111111</v>
      </c>
      <c r="M16" s="4" t="str">
        <f ca="1"/>
        <v>ITM1</v>
      </c>
      <c r="N16" s="4" t="str">
        <f ca="1"/>
        <v>CE&amp; PE Both</v>
      </c>
      <c r="O16" s="4" t="str">
        <f ca="1"/>
        <v>Sell</v>
      </c>
      <c r="P16" s="38">
        <f ca="1"/>
        <v>0.5</v>
      </c>
      <c r="Q16" cm="1">
        <f t="array" aca="1" ref="Q16" ca="1">IF($P16="","",_xlfn._xlws.FILTER(LT_LST[Lot],(LT_LST[Client Id.]=$C16)*(LT_LST[Strategy]=$D16)*(LT_LST[DTE/WTE]=$E16)*(LT_LST[Symbol]=$I16)))</f>
        <v>2</v>
      </c>
    </row>
    <row r="17" spans="3:17" x14ac:dyDescent="0.25">
      <c r="C17" t="str">
        <f t="shared" ca="1" si="0"/>
        <v>EA896332</v>
      </c>
      <c r="D17" t="str">
        <f ca="1"/>
        <v>DYNAMIC SL</v>
      </c>
      <c r="E17" s="4">
        <f ca="1"/>
        <v>3</v>
      </c>
      <c r="F17" s="4" t="str">
        <f ca="1"/>
        <v>Derivatives</v>
      </c>
      <c r="G17" s="4" t="str">
        <f ca="1"/>
        <v>BNF_ITM1 DY_09:45</v>
      </c>
      <c r="H17" s="4" t="str">
        <f ca="1"/>
        <v>NSE</v>
      </c>
      <c r="I17" s="4" t="str">
        <f ca="1"/>
        <v>BANKNIFTY</v>
      </c>
      <c r="J17" s="50">
        <f ca="1"/>
        <v>46140</v>
      </c>
      <c r="K17" s="67">
        <f ca="1"/>
        <v>0.40625</v>
      </c>
      <c r="L17" s="67">
        <f ca="1"/>
        <v>0.1423611111111111</v>
      </c>
      <c r="M17" s="4" t="str">
        <f ca="1"/>
        <v>ITM1</v>
      </c>
      <c r="N17" s="4" t="str">
        <f ca="1"/>
        <v>CE&amp; PE Both</v>
      </c>
      <c r="O17" s="4" t="str">
        <f ca="1"/>
        <v>Sell</v>
      </c>
      <c r="P17" s="38">
        <f ca="1"/>
        <v>0.5</v>
      </c>
      <c r="Q17" cm="1">
        <f t="array" aca="1" ref="Q17" ca="1">IF($P17="","",_xlfn._xlws.FILTER(LT_LST[Lot],(LT_LST[Client Id.]=$C17)*(LT_LST[Strategy]=$D17)*(LT_LST[DTE/WTE]=$E17)*(LT_LST[Symbol]=$I17)))</f>
        <v>2</v>
      </c>
    </row>
    <row r="18" spans="3:17" x14ac:dyDescent="0.25">
      <c r="C18" t="str">
        <f t="shared" ca="1" si="0"/>
        <v>EA896332</v>
      </c>
      <c r="D18" t="str">
        <f ca="1"/>
        <v>DYNAMIC SL</v>
      </c>
      <c r="E18" s="4">
        <f ca="1"/>
        <v>3</v>
      </c>
      <c r="F18" s="4" t="str">
        <f ca="1"/>
        <v>Derivatives</v>
      </c>
      <c r="G18" s="4" t="str">
        <f ca="1"/>
        <v>BNF_ITM1 DY_10:00</v>
      </c>
      <c r="H18" s="4" t="str">
        <f ca="1"/>
        <v>NSE</v>
      </c>
      <c r="I18" s="4" t="str">
        <f ca="1"/>
        <v>BANKNIFTY</v>
      </c>
      <c r="J18" s="50">
        <f ca="1"/>
        <v>46140</v>
      </c>
      <c r="K18" s="67">
        <f ca="1"/>
        <v>0.41666666666666669</v>
      </c>
      <c r="L18" s="67">
        <f ca="1"/>
        <v>0.1423611111111111</v>
      </c>
      <c r="M18" s="4" t="str">
        <f ca="1"/>
        <v>ITM1</v>
      </c>
      <c r="N18" s="4" t="str">
        <f ca="1"/>
        <v>CE&amp; PE Both</v>
      </c>
      <c r="O18" s="4" t="str">
        <f ca="1"/>
        <v>Sell</v>
      </c>
      <c r="P18" s="38">
        <f ca="1"/>
        <v>0.5</v>
      </c>
      <c r="Q18" cm="1">
        <f t="array" aca="1" ref="Q18" ca="1">IF($P18="","",_xlfn._xlws.FILTER(LT_LST[Lot],(LT_LST[Client Id.]=$C18)*(LT_LST[Strategy]=$D18)*(LT_LST[DTE/WTE]=$E18)*(LT_LST[Symbol]=$I18)))</f>
        <v>2</v>
      </c>
    </row>
    <row r="19" spans="3:17" x14ac:dyDescent="0.25">
      <c r="C19" t="str">
        <f t="shared" ca="1" si="0"/>
        <v>EA896332</v>
      </c>
      <c r="D19" t="str">
        <f ca="1"/>
        <v>DYNAMIC SL</v>
      </c>
      <c r="E19" s="4">
        <f ca="1"/>
        <v>0</v>
      </c>
      <c r="F19" s="4" t="str">
        <f ca="1"/>
        <v>Derivatives</v>
      </c>
      <c r="G19" s="4" t="str">
        <f ca="1"/>
        <v>SDT_ITM5_09:45</v>
      </c>
      <c r="H19" s="4" t="str">
        <f ca="1"/>
        <v>BSE</v>
      </c>
      <c r="I19" s="4" t="str">
        <f ca="1"/>
        <v>SENSEX</v>
      </c>
      <c r="J19" s="50">
        <f ca="1"/>
        <v>46128</v>
      </c>
      <c r="K19" s="67">
        <f ca="1"/>
        <v>0.40625</v>
      </c>
      <c r="L19" s="67">
        <f ca="1"/>
        <v>0.1423611111111111</v>
      </c>
      <c r="M19" s="4" t="str">
        <f ca="1"/>
        <v>ITM 5</v>
      </c>
      <c r="N19" s="4" t="str">
        <f ca="1"/>
        <v>CE&amp; PE Both</v>
      </c>
      <c r="O19" s="4" t="str">
        <f ca="1"/>
        <v>Sell</v>
      </c>
      <c r="P19" s="38">
        <f ca="1"/>
        <v>0.3</v>
      </c>
      <c r="Q19" cm="1">
        <f t="array" aca="1" ref="Q19" ca="1">IF($P19="","",_xlfn._xlws.FILTER(LT_LST[Lot],(LT_LST[Client Id.]=$C19)*(LT_LST[Strategy]=$D19)*(LT_LST[DTE/WTE]=$E19)*(LT_LST[Symbol]=$I19)))</f>
        <v>5</v>
      </c>
    </row>
    <row r="20" spans="3:17" x14ac:dyDescent="0.25">
      <c r="C20" t="str">
        <f t="shared" ca="1" si="0"/>
        <v>EA896332</v>
      </c>
      <c r="D20" t="str">
        <f ca="1"/>
        <v>DYNAMIC SL</v>
      </c>
      <c r="E20" s="4">
        <f ca="1"/>
        <v>0</v>
      </c>
      <c r="F20" s="4" t="str">
        <f ca="1"/>
        <v>Derivatives</v>
      </c>
      <c r="G20" s="4" t="str">
        <f ca="1"/>
        <v>SDT_ITM5_10:00</v>
      </c>
      <c r="H20" s="4" t="str">
        <f ca="1"/>
        <v>BSE</v>
      </c>
      <c r="I20" s="4" t="str">
        <f ca="1"/>
        <v>SENSEX</v>
      </c>
      <c r="J20" s="50">
        <f ca="1"/>
        <v>46128</v>
      </c>
      <c r="K20" s="67">
        <f ca="1"/>
        <v>0.41666666666666669</v>
      </c>
      <c r="L20" s="67">
        <f ca="1"/>
        <v>0.1423611111111111</v>
      </c>
      <c r="M20" s="4" t="str">
        <f ca="1"/>
        <v>ITM 5</v>
      </c>
      <c r="N20" s="4" t="str">
        <f ca="1"/>
        <v>CE&amp; PE Both</v>
      </c>
      <c r="O20" s="4" t="str">
        <f ca="1"/>
        <v>Sell</v>
      </c>
      <c r="P20" s="38">
        <f ca="1"/>
        <v>0.3</v>
      </c>
      <c r="Q20" cm="1">
        <f t="array" aca="1" ref="Q20" ca="1">IF($P20="","",_xlfn._xlws.FILTER(LT_LST[Lot],(LT_LST[Client Id.]=$C20)*(LT_LST[Strategy]=$D20)*(LT_LST[DTE/WTE]=$E20)*(LT_LST[Symbol]=$I20)))</f>
        <v>5</v>
      </c>
    </row>
    <row r="21" spans="3:17" x14ac:dyDescent="0.25">
      <c r="C21" t="str">
        <f t="shared" ca="1" si="0"/>
        <v>EA896332</v>
      </c>
      <c r="D21" t="str">
        <f ca="1"/>
        <v>DYNAMIC SL</v>
      </c>
      <c r="E21" s="4">
        <f ca="1"/>
        <v>0</v>
      </c>
      <c r="F21" s="4" t="str">
        <f ca="1"/>
        <v>Derivatives</v>
      </c>
      <c r="G21" s="4" t="str">
        <f ca="1"/>
        <v>SDT_ITM5_10:15</v>
      </c>
      <c r="H21" s="4" t="str">
        <f ca="1"/>
        <v>BSE</v>
      </c>
      <c r="I21" s="4" t="str">
        <f ca="1"/>
        <v>SENSEX</v>
      </c>
      <c r="J21" s="50">
        <f ca="1"/>
        <v>46128</v>
      </c>
      <c r="K21" s="67">
        <f ca="1"/>
        <v>0.42708333333333331</v>
      </c>
      <c r="L21" s="67">
        <f ca="1"/>
        <v>0.1423611111111111</v>
      </c>
      <c r="M21" s="4" t="str">
        <f ca="1"/>
        <v>ITM 5</v>
      </c>
      <c r="N21" s="4" t="str">
        <f ca="1"/>
        <v>CE&amp; PE Both</v>
      </c>
      <c r="O21" s="4" t="str">
        <f ca="1"/>
        <v>Sell</v>
      </c>
      <c r="P21" s="38">
        <f ca="1"/>
        <v>0.3</v>
      </c>
      <c r="Q21" cm="1">
        <f t="array" aca="1" ref="Q21" ca="1">IF($P21="","",_xlfn._xlws.FILTER(LT_LST[Lot],(LT_LST[Client Id.]=$C21)*(LT_LST[Strategy]=$D21)*(LT_LST[DTE/WTE]=$E21)*(LT_LST[Symbol]=$I21)))</f>
        <v>5</v>
      </c>
    </row>
    <row r="22" spans="3:17" x14ac:dyDescent="0.25">
      <c r="C22" t="str">
        <f t="shared" ca="1" si="0"/>
        <v>EA896332</v>
      </c>
      <c r="D22" t="str">
        <f ca="1"/>
        <v>DYNAMIC SL</v>
      </c>
      <c r="E22" s="4">
        <f ca="1"/>
        <v>0</v>
      </c>
      <c r="F22" s="4" t="str">
        <f ca="1"/>
        <v>Derivatives</v>
      </c>
      <c r="G22" s="4" t="str">
        <f ca="1"/>
        <v>SDT_ITM3_09:45</v>
      </c>
      <c r="H22" s="4" t="str">
        <f ca="1"/>
        <v>BSE</v>
      </c>
      <c r="I22" s="4" t="str">
        <f ca="1"/>
        <v>SENSEX</v>
      </c>
      <c r="J22" s="50">
        <f ca="1"/>
        <v>46128</v>
      </c>
      <c r="K22" s="67">
        <f ca="1"/>
        <v>0.40625</v>
      </c>
      <c r="L22" s="67">
        <f ca="1"/>
        <v>0.1423611111111111</v>
      </c>
      <c r="M22" s="4" t="str">
        <f ca="1"/>
        <v>ITM 3</v>
      </c>
      <c r="N22" s="4" t="str">
        <f ca="1"/>
        <v>CE&amp; PE Both</v>
      </c>
      <c r="O22" s="4" t="str">
        <f ca="1"/>
        <v>Sell</v>
      </c>
      <c r="P22" s="38">
        <f ca="1"/>
        <v>0.5</v>
      </c>
      <c r="Q22" cm="1">
        <f t="array" aca="1" ref="Q22" ca="1">IF($P22="","",_xlfn._xlws.FILTER(LT_LST[Lot],(LT_LST[Client Id.]=$C22)*(LT_LST[Strategy]=$D22)*(LT_LST[DTE/WTE]=$E22)*(LT_LST[Symbol]=$I22)))</f>
        <v>5</v>
      </c>
    </row>
    <row r="23" spans="3:17" x14ac:dyDescent="0.25">
      <c r="C23" t="str">
        <f t="shared" ca="1" si="0"/>
        <v>EA896332</v>
      </c>
      <c r="D23" t="str">
        <f ca="1"/>
        <v>DYNAMIC SL</v>
      </c>
      <c r="E23" s="4">
        <f ca="1"/>
        <v>0</v>
      </c>
      <c r="F23" s="4" t="str">
        <f ca="1"/>
        <v>Derivatives</v>
      </c>
      <c r="G23" s="4" t="str">
        <f ca="1"/>
        <v>SDT_ITM3_10:00</v>
      </c>
      <c r="H23" s="4" t="str">
        <f ca="1"/>
        <v>BSE</v>
      </c>
      <c r="I23" s="4" t="str">
        <f ca="1"/>
        <v>SENSEX</v>
      </c>
      <c r="J23" s="50">
        <f ca="1"/>
        <v>46128</v>
      </c>
      <c r="K23" s="67">
        <f ca="1"/>
        <v>0.41666666666666669</v>
      </c>
      <c r="L23" s="67">
        <f ca="1"/>
        <v>0.1423611111111111</v>
      </c>
      <c r="M23" s="4" t="str">
        <f ca="1"/>
        <v>ITM 3</v>
      </c>
      <c r="N23" s="4" t="str">
        <f ca="1"/>
        <v>CE&amp; PE Both</v>
      </c>
      <c r="O23" s="4" t="str">
        <f ca="1"/>
        <v>Sell</v>
      </c>
      <c r="P23" s="38">
        <f ca="1"/>
        <v>0.5</v>
      </c>
      <c r="Q23" cm="1">
        <f t="array" aca="1" ref="Q23" ca="1">IF($P23="","",_xlfn._xlws.FILTER(LT_LST[Lot],(LT_LST[Client Id.]=$C23)*(LT_LST[Strategy]=$D23)*(LT_LST[DTE/WTE]=$E23)*(LT_LST[Symbol]=$I23)))</f>
        <v>5</v>
      </c>
    </row>
    <row r="24" spans="3:17" x14ac:dyDescent="0.25">
      <c r="C24" t="str">
        <f t="shared" ca="1" si="0"/>
        <v>EA896332</v>
      </c>
      <c r="D24" t="str">
        <f ca="1"/>
        <v>DYNAMIC SL</v>
      </c>
      <c r="E24" s="4">
        <f ca="1"/>
        <v>0</v>
      </c>
      <c r="F24" s="4" t="str">
        <f ca="1"/>
        <v>Derivatives</v>
      </c>
      <c r="G24" s="4" t="str">
        <f ca="1"/>
        <v>SDT_ITM3_10:15</v>
      </c>
      <c r="H24" s="4" t="str">
        <f ca="1"/>
        <v>BSE</v>
      </c>
      <c r="I24" s="4" t="str">
        <f ca="1"/>
        <v>SENSEX</v>
      </c>
      <c r="J24" s="50">
        <f ca="1"/>
        <v>46128</v>
      </c>
      <c r="K24" s="67">
        <f ca="1"/>
        <v>0.42708333333333331</v>
      </c>
      <c r="L24" s="67">
        <f ca="1"/>
        <v>0.1423611111111111</v>
      </c>
      <c r="M24" s="4" t="str">
        <f ca="1"/>
        <v>ITM 3</v>
      </c>
      <c r="N24" s="4" t="str">
        <f ca="1"/>
        <v>CE&amp; PE Both</v>
      </c>
      <c r="O24" s="4" t="str">
        <f ca="1"/>
        <v>Sell</v>
      </c>
      <c r="P24" s="38">
        <f ca="1"/>
        <v>0.5</v>
      </c>
      <c r="Q24" cm="1">
        <f t="array" aca="1" ref="Q24" ca="1">IF($P24="","",_xlfn._xlws.FILTER(LT_LST[Lot],(LT_LST[Client Id.]=$C24)*(LT_LST[Strategy]=$D24)*(LT_LST[DTE/WTE]=$E24)*(LT_LST[Symbol]=$I24)))</f>
        <v>5</v>
      </c>
    </row>
    <row r="25" spans="3:17" x14ac:dyDescent="0.25">
      <c r="C25" t="str">
        <f t="shared" si="0"/>
        <v/>
      </c>
      <c r="E25" s="4"/>
      <c r="F25" s="4"/>
      <c r="G25" s="4"/>
      <c r="H25" s="4"/>
      <c r="I25" s="4"/>
      <c r="J25" s="50"/>
      <c r="K25" s="67"/>
      <c r="L25" s="67"/>
      <c r="M25" s="4"/>
      <c r="N25" s="4"/>
      <c r="O25" s="4"/>
      <c r="P25" s="38"/>
      <c r="Q25" t="str" cm="1">
        <f t="array" ref="Q25">IF($P25="","",_xlfn._xlws.FILTER(LT_LST[Lot],(LT_LST[Client Id.]=$C25)*(LT_LST[Strategy]=$D25)*(LT_LST[DTE/WTE]=$E25)*(LT_LST[Symbol]=$I25)))</f>
        <v/>
      </c>
    </row>
    <row r="26" spans="3:17" x14ac:dyDescent="0.25">
      <c r="C26" t="str">
        <f t="shared" si="0"/>
        <v/>
      </c>
      <c r="E26" s="4"/>
      <c r="F26" s="4"/>
      <c r="G26" s="4"/>
      <c r="H26" s="4"/>
      <c r="I26" s="4"/>
      <c r="J26" s="50"/>
      <c r="K26" s="67"/>
      <c r="L26" s="67"/>
      <c r="M26" s="4"/>
      <c r="N26" s="4"/>
      <c r="O26" s="4"/>
      <c r="P26" s="38"/>
      <c r="Q26" t="str" cm="1">
        <f t="array" ref="Q26">IF($P26="","",_xlfn._xlws.FILTER(LT_LST[Lot],(LT_LST[Client Id.]=$C26)*(LT_LST[Strategy]=$D26)*(LT_LST[DTE/WTE]=$E26)*(LT_LST[Symbol]=$I26)))</f>
        <v/>
      </c>
    </row>
    <row r="27" spans="3:17" x14ac:dyDescent="0.25">
      <c r="C27" t="str">
        <f t="shared" si="0"/>
        <v/>
      </c>
      <c r="E27" s="4"/>
      <c r="F27" s="4"/>
      <c r="G27" s="4"/>
      <c r="H27" s="4"/>
      <c r="I27" s="4"/>
      <c r="J27" s="50"/>
      <c r="K27" s="67"/>
      <c r="L27" s="67"/>
      <c r="M27" s="4"/>
      <c r="N27" s="4"/>
      <c r="O27" s="4"/>
      <c r="P27" s="38"/>
      <c r="Q27" t="str" cm="1">
        <f t="array" ref="Q27">IF($P27="","",_xlfn._xlws.FILTER(LT_LST[Lot],(LT_LST[Client Id.]=$C27)*(LT_LST[Strategy]=$D27)*(LT_LST[DTE/WTE]=$E27)*(LT_LST[Symbol]=$I27)))</f>
        <v/>
      </c>
    </row>
    <row r="28" spans="3:17" x14ac:dyDescent="0.25">
      <c r="C28" t="str">
        <f t="shared" si="0"/>
        <v/>
      </c>
      <c r="E28" s="4"/>
      <c r="F28" s="4"/>
      <c r="G28" s="4"/>
      <c r="H28" s="4"/>
      <c r="I28" s="4"/>
      <c r="J28" s="50"/>
      <c r="K28" s="67"/>
      <c r="L28" s="67"/>
      <c r="M28" s="4"/>
      <c r="N28" s="4"/>
      <c r="O28" s="4"/>
      <c r="P28" s="38"/>
      <c r="Q28" t="str" cm="1">
        <f t="array" ref="Q28">IF($P28="","",_xlfn._xlws.FILTER(LT_LST[Lot],(LT_LST[Client Id.]=$C28)*(LT_LST[Strategy]=$D28)*(LT_LST[DTE/WTE]=$E28)*(LT_LST[Symbol]=$I28)))</f>
        <v/>
      </c>
    </row>
    <row r="29" spans="3:17" x14ac:dyDescent="0.25">
      <c r="C29" t="str">
        <f t="shared" si="0"/>
        <v/>
      </c>
      <c r="E29" s="4"/>
      <c r="F29" s="4"/>
      <c r="G29" s="4"/>
      <c r="H29" s="4"/>
      <c r="I29" s="4"/>
      <c r="J29" s="50"/>
      <c r="K29" s="67"/>
      <c r="L29" s="67"/>
      <c r="M29" s="4"/>
      <c r="N29" s="4"/>
      <c r="O29" s="4"/>
      <c r="P29" s="38"/>
      <c r="Q29" t="str" cm="1">
        <f t="array" ref="Q29">IF($P29="","",_xlfn._xlws.FILTER(LT_LST[Lot],(LT_LST[Client Id.]=$C29)*(LT_LST[Strategy]=$D29)*(LT_LST[DTE/WTE]=$E29)*(LT_LST[Symbol]=$I29)))</f>
        <v/>
      </c>
    </row>
    <row r="30" spans="3:17" x14ac:dyDescent="0.25">
      <c r="C30" t="str">
        <f t="shared" si="0"/>
        <v/>
      </c>
      <c r="E30" s="4"/>
      <c r="F30" s="4"/>
      <c r="G30" s="4"/>
      <c r="H30" s="4"/>
      <c r="I30" s="4"/>
      <c r="J30" s="50"/>
      <c r="K30" s="67"/>
      <c r="L30" s="67"/>
      <c r="M30" s="4"/>
      <c r="N30" s="4"/>
      <c r="O30" s="4"/>
      <c r="P30" s="38"/>
      <c r="Q30" t="str" cm="1">
        <f t="array" ref="Q30">IF($P30="","",_xlfn._xlws.FILTER(LT_LST[Lot],(LT_LST[Client Id.]=$C30)*(LT_LST[Strategy]=$D30)*(LT_LST[DTE/WTE]=$E30)*(LT_LST[Symbol]=$I30)))</f>
        <v/>
      </c>
    </row>
    <row r="31" spans="3:17" x14ac:dyDescent="0.25">
      <c r="C31" t="str">
        <f t="shared" si="0"/>
        <v/>
      </c>
      <c r="E31" s="4"/>
      <c r="F31" s="4"/>
      <c r="G31" s="4"/>
      <c r="H31" s="4"/>
      <c r="I31" s="4"/>
      <c r="J31" s="50"/>
      <c r="K31" s="67"/>
      <c r="L31" s="67"/>
      <c r="M31" s="4"/>
      <c r="N31" s="4"/>
      <c r="O31" s="4"/>
      <c r="P31" s="38"/>
      <c r="Q31" t="str" cm="1">
        <f t="array" ref="Q31">IF($P31="","",_xlfn._xlws.FILTER(LT_LST[Lot],(LT_LST[Client Id.]=$C31)*(LT_LST[Strategy]=$D31)*(LT_LST[DTE/WTE]=$E31)*(LT_LST[Symbol]=$I31)))</f>
        <v/>
      </c>
    </row>
    <row r="32" spans="3:17" x14ac:dyDescent="0.25">
      <c r="C32" t="str">
        <f t="shared" si="0"/>
        <v/>
      </c>
      <c r="E32" s="4"/>
      <c r="F32" s="4"/>
      <c r="G32" s="4"/>
      <c r="H32" s="4"/>
      <c r="I32" s="4"/>
      <c r="J32" s="50"/>
      <c r="K32" s="67"/>
      <c r="L32" s="67"/>
      <c r="M32" s="4"/>
      <c r="N32" s="4"/>
      <c r="O32" s="4"/>
      <c r="P32" s="38"/>
      <c r="Q32" t="str" cm="1">
        <f t="array" ref="Q32">IF($P32="","",_xlfn._xlws.FILTER(LT_LST[Lot],(LT_LST[Client Id.]=$C32)*(LT_LST[Strategy]=$D32)*(LT_LST[DTE/WTE]=$E32)*(LT_LST[Symbol]=$I32)))</f>
        <v/>
      </c>
    </row>
    <row r="33" spans="3:17" x14ac:dyDescent="0.25">
      <c r="C33" t="str">
        <f t="shared" si="0"/>
        <v/>
      </c>
      <c r="E33" s="4"/>
      <c r="F33" s="4"/>
      <c r="G33" s="4"/>
      <c r="H33" s="4"/>
      <c r="I33" s="4"/>
      <c r="J33" s="50"/>
      <c r="K33" s="67"/>
      <c r="L33" s="67"/>
      <c r="M33" s="4"/>
      <c r="N33" s="4"/>
      <c r="O33" s="4"/>
      <c r="P33" s="38"/>
      <c r="Q33" t="str" cm="1">
        <f t="array" ref="Q33">IF($P33="","",_xlfn._xlws.FILTER(LT_LST[Lot],(LT_LST[Client Id.]=$C33)*(LT_LST[Strategy]=$D33)*(LT_LST[DTE/WTE]=$E33)*(LT_LST[Symbol]=$I33)))</f>
        <v/>
      </c>
    </row>
    <row r="34" spans="3:17" x14ac:dyDescent="0.25">
      <c r="C34" t="str">
        <f t="shared" si="0"/>
        <v/>
      </c>
      <c r="E34" s="4"/>
      <c r="F34" s="4"/>
      <c r="G34" s="4"/>
      <c r="H34" s="4"/>
      <c r="I34" s="4"/>
      <c r="J34" s="50"/>
      <c r="K34" s="67"/>
      <c r="L34" s="67"/>
      <c r="M34" s="4"/>
      <c r="N34" s="4"/>
      <c r="O34" s="4"/>
      <c r="P34" s="38"/>
      <c r="Q34" t="str" cm="1">
        <f t="array" ref="Q34">IF($P34="","",_xlfn._xlws.FILTER(LT_LST[Lot],(LT_LST[Client Id.]=$C34)*(LT_LST[Strategy]=$D34)*(LT_LST[DTE/WTE]=$E34)*(LT_LST[Symbol]=$I34)))</f>
        <v/>
      </c>
    </row>
    <row r="35" spans="3:17" x14ac:dyDescent="0.25">
      <c r="C35" t="str">
        <f t="shared" si="0"/>
        <v/>
      </c>
      <c r="E35" s="4"/>
      <c r="F35" s="4"/>
      <c r="G35" s="4"/>
      <c r="H35" s="4"/>
      <c r="I35" s="4"/>
      <c r="J35" s="50"/>
      <c r="K35" s="67"/>
      <c r="L35" s="67"/>
      <c r="M35" s="4"/>
      <c r="N35" s="4"/>
      <c r="O35" s="4"/>
      <c r="P35" s="38"/>
      <c r="Q35" t="str" cm="1">
        <f t="array" ref="Q35">IF($P35="","",_xlfn._xlws.FILTER(LT_LST[Lot],(LT_LST[Client Id.]=$C35)*(LT_LST[Strategy]=$D35)*(LT_LST[DTE/WTE]=$E35)*(LT_LST[Symbol]=$I35)))</f>
        <v/>
      </c>
    </row>
    <row r="36" spans="3:17" x14ac:dyDescent="0.25">
      <c r="C36" t="str">
        <f t="shared" si="0"/>
        <v/>
      </c>
      <c r="E36" s="4"/>
      <c r="F36" s="4"/>
      <c r="G36" s="4"/>
      <c r="H36" s="4"/>
      <c r="I36" s="4"/>
      <c r="J36" s="50"/>
      <c r="K36" s="67"/>
      <c r="L36" s="67"/>
      <c r="M36" s="4"/>
      <c r="N36" s="4"/>
      <c r="O36" s="4"/>
      <c r="P36" s="38"/>
      <c r="Q36" t="str" cm="1">
        <f t="array" ref="Q36">IF($P36="","",_xlfn._xlws.FILTER(LT_LST[Lot],(LT_LST[Client Id.]=$C36)*(LT_LST[Strategy]=$D36)*(LT_LST[DTE/WTE]=$E36)*(LT_LST[Symbol]=$I36)))</f>
        <v/>
      </c>
    </row>
    <row r="37" spans="3:17" x14ac:dyDescent="0.25">
      <c r="C37" t="str">
        <f t="shared" si="0"/>
        <v/>
      </c>
      <c r="E37" s="4"/>
      <c r="F37" s="4"/>
      <c r="G37" s="4"/>
      <c r="H37" s="4"/>
      <c r="I37" s="4"/>
      <c r="J37" s="50"/>
      <c r="K37" s="67"/>
      <c r="L37" s="67"/>
      <c r="M37" s="4"/>
      <c r="N37" s="4"/>
      <c r="O37" s="4"/>
      <c r="P37" s="38"/>
      <c r="Q37" t="str" cm="1">
        <f t="array" ref="Q37">IF($P37="","",_xlfn._xlws.FILTER(LT_LST[Lot],(LT_LST[Client Id.]=$C37)*(LT_LST[Strategy]=$D37)*(LT_LST[DTE/WTE]=$E37)*(LT_LST[Symbol]=$I37)))</f>
        <v/>
      </c>
    </row>
    <row r="38" spans="3:17" x14ac:dyDescent="0.25">
      <c r="C38" t="str">
        <f t="shared" si="0"/>
        <v/>
      </c>
      <c r="E38" s="4"/>
      <c r="F38" s="4"/>
      <c r="G38" s="4"/>
      <c r="H38" s="4"/>
      <c r="I38" s="4"/>
      <c r="J38" s="50"/>
      <c r="K38" s="67"/>
      <c r="L38" s="67"/>
      <c r="M38" s="4"/>
      <c r="N38" s="4"/>
      <c r="O38" s="4"/>
      <c r="P38" s="38"/>
      <c r="Q38" t="str" cm="1">
        <f t="array" ref="Q38">IF($P38="","",_xlfn._xlws.FILTER(LT_LST[Lot],(LT_LST[Client Id.]=$C38)*(LT_LST[Strategy]=$D38)*(LT_LST[DTE/WTE]=$E38)*(LT_LST[Symbol]=$I38)))</f>
        <v/>
      </c>
    </row>
    <row r="39" spans="3:17" x14ac:dyDescent="0.25">
      <c r="C39" t="str">
        <f t="shared" si="0"/>
        <v/>
      </c>
      <c r="E39" s="4"/>
      <c r="F39" s="4"/>
      <c r="G39" s="4"/>
      <c r="H39" s="4"/>
      <c r="I39" s="4"/>
      <c r="J39" s="50"/>
      <c r="K39" s="67"/>
      <c r="L39" s="67"/>
      <c r="M39" s="4"/>
      <c r="N39" s="4"/>
      <c r="O39" s="4"/>
      <c r="P39" s="38"/>
      <c r="Q39" t="str" cm="1">
        <f t="array" ref="Q39">IF($P39="","",_xlfn._xlws.FILTER(LT_LST[Lot],(LT_LST[Client Id.]=$C39)*(LT_LST[Strategy]=$D39)*(LT_LST[DTE/WTE]=$E39)*(LT_LST[Symbol]=$I39)))</f>
        <v/>
      </c>
    </row>
    <row r="40" spans="3:17" x14ac:dyDescent="0.25">
      <c r="C40" t="str">
        <f t="shared" si="0"/>
        <v/>
      </c>
      <c r="E40" s="4"/>
      <c r="F40" s="4"/>
      <c r="G40" s="4"/>
      <c r="H40" s="4"/>
      <c r="I40" s="4"/>
      <c r="J40" s="50"/>
      <c r="K40" s="67"/>
      <c r="L40" s="67"/>
      <c r="M40" s="4"/>
      <c r="N40" s="4"/>
      <c r="O40" s="4"/>
      <c r="P40" s="38"/>
      <c r="Q40" t="str" cm="1">
        <f t="array" ref="Q40">IF($P40="","",_xlfn._xlws.FILTER(LT_LST[Lot],(LT_LST[Client Id.]=$C40)*(LT_LST[Strategy]=$D40)*(LT_LST[DTE/WTE]=$E40)*(LT_LST[Symbol]=$I40)))</f>
        <v/>
      </c>
    </row>
    <row r="41" spans="3:17" x14ac:dyDescent="0.25">
      <c r="C41" t="str">
        <f t="shared" si="0"/>
        <v/>
      </c>
      <c r="E41" s="4"/>
      <c r="F41" s="4"/>
      <c r="G41" s="4"/>
      <c r="H41" s="4"/>
      <c r="I41" s="4"/>
      <c r="J41" s="50"/>
      <c r="K41" s="67"/>
      <c r="L41" s="67"/>
      <c r="M41" s="4"/>
      <c r="N41" s="4"/>
      <c r="O41" s="4"/>
      <c r="P41" s="38"/>
      <c r="Q41" t="str" cm="1">
        <f t="array" ref="Q41">IF($P41="","",_xlfn._xlws.FILTER(LT_LST[Lot],(LT_LST[Client Id.]=$C41)*(LT_LST[Strategy]=$D41)*(LT_LST[DTE/WTE]=$E41)*(LT_LST[Symbol]=$I41)))</f>
        <v/>
      </c>
    </row>
    <row r="42" spans="3:17" x14ac:dyDescent="0.25">
      <c r="C42" t="str">
        <f t="shared" si="0"/>
        <v/>
      </c>
      <c r="E42" s="4"/>
      <c r="F42" s="4"/>
      <c r="G42" s="4"/>
      <c r="H42" s="4"/>
      <c r="I42" s="4"/>
      <c r="J42" s="50"/>
      <c r="K42" s="67"/>
      <c r="L42" s="67"/>
      <c r="M42" s="4"/>
      <c r="N42" s="4"/>
      <c r="O42" s="4"/>
      <c r="P42" s="38"/>
      <c r="Q42" t="str" cm="1">
        <f t="array" ref="Q42">IF($P42="","",_xlfn._xlws.FILTER(LT_LST[Lot],(LT_LST[Client Id.]=$C42)*(LT_LST[Strategy]=$D42)*(LT_LST[DTE/WTE]=$E42)*(LT_LST[Symbol]=$I42)))</f>
        <v/>
      </c>
    </row>
    <row r="43" spans="3:17" x14ac:dyDescent="0.25">
      <c r="C43" t="str">
        <f t="shared" si="0"/>
        <v/>
      </c>
      <c r="E43" s="4"/>
      <c r="F43" s="4"/>
      <c r="G43" s="4"/>
      <c r="H43" s="4"/>
      <c r="I43" s="4"/>
      <c r="J43" s="50"/>
      <c r="K43" s="67"/>
      <c r="L43" s="67"/>
      <c r="M43" s="4"/>
      <c r="N43" s="4"/>
      <c r="O43" s="4"/>
      <c r="P43" s="38"/>
      <c r="Q43" t="str" cm="1">
        <f t="array" ref="Q43">IF($P43="","",_xlfn._xlws.FILTER(LT_LST[Lot],(LT_LST[Client Id.]=$C43)*(LT_LST[Strategy]=$D43)*(LT_LST[DTE/WTE]=$E43)*(LT_LST[Symbol]=$I43)))</f>
        <v/>
      </c>
    </row>
    <row r="44" spans="3:17" x14ac:dyDescent="0.25">
      <c r="C44" t="str">
        <f t="shared" si="0"/>
        <v/>
      </c>
      <c r="E44" s="4"/>
      <c r="F44" s="4"/>
      <c r="G44" s="4"/>
      <c r="H44" s="4"/>
      <c r="I44" s="4"/>
      <c r="J44" s="50"/>
      <c r="K44" s="67"/>
      <c r="L44" s="67"/>
      <c r="M44" s="4"/>
      <c r="N44" s="4"/>
      <c r="O44" s="4"/>
      <c r="P44" s="38"/>
      <c r="Q44" t="str" cm="1">
        <f t="array" ref="Q44">IF($P44="","",_xlfn._xlws.FILTER(LT_LST[Lot],(LT_LST[Client Id.]=$C44)*(LT_LST[Strategy]=$D44)*(LT_LST[DTE/WTE]=$E44)*(LT_LST[Symbol]=$I44)))</f>
        <v/>
      </c>
    </row>
    <row r="45" spans="3:17" x14ac:dyDescent="0.25">
      <c r="C45" t="str">
        <f t="shared" si="0"/>
        <v/>
      </c>
      <c r="E45" s="4"/>
      <c r="F45" s="4"/>
      <c r="G45" s="4"/>
      <c r="H45" s="4"/>
      <c r="I45" s="4"/>
      <c r="J45" s="50"/>
      <c r="K45" s="67"/>
      <c r="L45" s="67"/>
      <c r="M45" s="4"/>
      <c r="N45" s="4"/>
      <c r="O45" s="4"/>
      <c r="P45" s="38"/>
      <c r="Q45" t="str" cm="1">
        <f t="array" ref="Q45">IF($P45="","",_xlfn._xlws.FILTER(LT_LST[Lot],(LT_LST[Client Id.]=$C45)*(LT_LST[Strategy]=$D45)*(LT_LST[DTE/WTE]=$E45)*(LT_LST[Symbol]=$I45)))</f>
        <v/>
      </c>
    </row>
    <row r="46" spans="3:17" x14ac:dyDescent="0.25">
      <c r="C46" t="str">
        <f t="shared" si="0"/>
        <v/>
      </c>
      <c r="E46" s="4"/>
      <c r="F46" s="4"/>
      <c r="G46" s="4"/>
      <c r="H46" s="4"/>
      <c r="I46" s="4"/>
      <c r="J46" s="50"/>
      <c r="K46" s="67"/>
      <c r="L46" s="67"/>
      <c r="M46" s="4"/>
      <c r="N46" s="4"/>
      <c r="O46" s="4"/>
      <c r="P46" s="38"/>
      <c r="Q46" t="str" cm="1">
        <f t="array" ref="Q46">IF($P46="","",_xlfn._xlws.FILTER(LT_LST[Lot],(LT_LST[Client Id.]=$C46)*(LT_LST[Strategy]=$D46)*(LT_LST[DTE/WTE]=$E46)*(LT_LST[Symbol]=$I46)))</f>
        <v/>
      </c>
    </row>
    <row r="47" spans="3:17" x14ac:dyDescent="0.25">
      <c r="C47" t="str">
        <f t="shared" si="0"/>
        <v/>
      </c>
      <c r="E47" s="4"/>
      <c r="F47" s="4"/>
      <c r="G47" s="4"/>
      <c r="H47" s="4"/>
      <c r="I47" s="4"/>
      <c r="J47" s="50"/>
      <c r="K47" s="67"/>
      <c r="L47" s="67"/>
      <c r="M47" s="4"/>
      <c r="N47" s="4"/>
      <c r="O47" s="4"/>
      <c r="P47" s="38"/>
      <c r="Q47" t="str" cm="1">
        <f t="array" ref="Q47">IF($P47="","",_xlfn._xlws.FILTER(LT_LST[Lot],(LT_LST[Client Id.]=$C47)*(LT_LST[Strategy]=$D47)*(LT_LST[DTE/WTE]=$E47)*(LT_LST[Symbol]=$I47)))</f>
        <v/>
      </c>
    </row>
    <row r="48" spans="3:17" x14ac:dyDescent="0.25">
      <c r="C48" t="str">
        <f t="shared" si="0"/>
        <v/>
      </c>
      <c r="E48" s="4"/>
      <c r="F48" s="4"/>
      <c r="G48" s="4"/>
      <c r="H48" s="4"/>
      <c r="I48" s="4"/>
      <c r="J48" s="50"/>
      <c r="K48" s="67"/>
      <c r="L48" s="67"/>
      <c r="M48" s="4"/>
      <c r="N48" s="4"/>
      <c r="O48" s="4"/>
      <c r="P48" s="38"/>
      <c r="Q48" t="str" cm="1">
        <f t="array" ref="Q48">IF($P48="","",_xlfn._xlws.FILTER(LT_LST[Lot],(LT_LST[Client Id.]=$C48)*(LT_LST[Strategy]=$D48)*(LT_LST[DTE/WTE]=$E48)*(LT_LST[Symbol]=$I48)))</f>
        <v/>
      </c>
    </row>
    <row r="49" spans="3:17" x14ac:dyDescent="0.25">
      <c r="C49" t="str">
        <f t="shared" si="0"/>
        <v/>
      </c>
      <c r="E49" s="4"/>
      <c r="F49" s="4"/>
      <c r="G49" s="4"/>
      <c r="H49" s="4"/>
      <c r="I49" s="4"/>
      <c r="J49" s="50"/>
      <c r="K49" s="67"/>
      <c r="L49" s="67"/>
      <c r="M49" s="4"/>
      <c r="N49" s="4"/>
      <c r="O49" s="4"/>
      <c r="P49" s="38"/>
      <c r="Q49" t="str" cm="1">
        <f t="array" ref="Q49">IF($P49="","",_xlfn._xlws.FILTER(LT_LST[Lot],(LT_LST[Client Id.]=$C49)*(LT_LST[Strategy]=$D49)*(LT_LST[DTE/WTE]=$E49)*(LT_LST[Symbol]=$I49)))</f>
        <v/>
      </c>
    </row>
    <row r="50" spans="3:17" x14ac:dyDescent="0.25">
      <c r="C50" t="str">
        <f t="shared" si="0"/>
        <v/>
      </c>
      <c r="E50" s="4"/>
      <c r="F50" s="4"/>
      <c r="G50" s="4"/>
      <c r="H50" s="4"/>
      <c r="I50" s="4"/>
      <c r="J50" s="50"/>
      <c r="K50" s="67"/>
      <c r="L50" s="67"/>
      <c r="M50" s="4"/>
      <c r="N50" s="4"/>
      <c r="O50" s="4"/>
      <c r="P50" s="38"/>
      <c r="Q50" t="str" cm="1">
        <f t="array" ref="Q50">IF($P50="","",_xlfn._xlws.FILTER(LT_LST[Lot],(LT_LST[Client Id.]=$C50)*(LT_LST[Strategy]=$D50)*(LT_LST[DTE/WTE]=$E50)*(LT_LST[Symbol]=$I50)))</f>
        <v/>
      </c>
    </row>
    <row r="51" spans="3:17" x14ac:dyDescent="0.25">
      <c r="C51" t="str">
        <f t="shared" si="0"/>
        <v/>
      </c>
      <c r="E51" s="4"/>
      <c r="F51" s="4"/>
      <c r="G51" s="4"/>
      <c r="H51" s="4"/>
      <c r="I51" s="4"/>
      <c r="J51" s="50"/>
      <c r="K51" s="67"/>
      <c r="L51" s="67"/>
      <c r="M51" s="4"/>
      <c r="N51" s="4"/>
      <c r="O51" s="4"/>
      <c r="P51" s="38"/>
      <c r="Q51" t="str" cm="1">
        <f t="array" ref="Q51">IF($P51="","",_xlfn._xlws.FILTER(LT_LST[Lot],(LT_LST[Client Id.]=$C51)*(LT_LST[Strategy]=$D51)*(LT_LST[DTE/WTE]=$E51)*(LT_LST[Symbol]=$I51)))</f>
        <v/>
      </c>
    </row>
    <row r="52" spans="3:17" x14ac:dyDescent="0.25">
      <c r="C52" t="str">
        <f t="shared" si="0"/>
        <v/>
      </c>
      <c r="E52" s="4"/>
      <c r="F52" s="4"/>
      <c r="G52" s="4"/>
      <c r="H52" s="4"/>
      <c r="I52" s="4"/>
      <c r="J52" s="50"/>
      <c r="K52" s="67"/>
      <c r="L52" s="67"/>
      <c r="M52" s="4"/>
      <c r="N52" s="4"/>
      <c r="O52" s="4"/>
      <c r="P52" s="38"/>
      <c r="Q52" t="str" cm="1">
        <f t="array" ref="Q52">IF($P52="","",_xlfn._xlws.FILTER(LT_LST[Lot],(LT_LST[Client Id.]=$C52)*(LT_LST[Strategy]=$D52)*(LT_LST[DTE/WTE]=$E52)*(LT_LST[Symbol]=$I52)))</f>
        <v/>
      </c>
    </row>
    <row r="53" spans="3:17" x14ac:dyDescent="0.25">
      <c r="C53" t="str">
        <f t="shared" si="0"/>
        <v/>
      </c>
      <c r="E53" s="4"/>
      <c r="F53" s="4"/>
      <c r="G53" s="4"/>
      <c r="H53" s="4"/>
      <c r="I53" s="4"/>
      <c r="J53" s="50"/>
      <c r="K53" s="67"/>
      <c r="L53" s="67"/>
      <c r="M53" s="4"/>
      <c r="N53" s="4"/>
      <c r="O53" s="4"/>
      <c r="P53" s="38"/>
      <c r="Q53" t="str" cm="1">
        <f t="array" ref="Q53">IF($P53="","",_xlfn._xlws.FILTER(LT_LST[Lot],(LT_LST[Client Id.]=$C53)*(LT_LST[Strategy]=$D53)*(LT_LST[DTE/WTE]=$E53)*(LT_LST[Symbol]=$I53)))</f>
        <v/>
      </c>
    </row>
    <row r="54" spans="3:17" x14ac:dyDescent="0.25">
      <c r="C54" t="str">
        <f t="shared" si="0"/>
        <v/>
      </c>
      <c r="E54" s="4"/>
      <c r="F54" s="4"/>
      <c r="G54" s="4"/>
      <c r="H54" s="4"/>
      <c r="I54" s="4"/>
      <c r="J54" s="50"/>
      <c r="K54" s="67"/>
      <c r="L54" s="67"/>
      <c r="M54" s="4"/>
      <c r="N54" s="4"/>
      <c r="O54" s="4"/>
      <c r="P54" s="38"/>
      <c r="Q54" t="str" cm="1">
        <f t="array" ref="Q54">IF($P54="","",_xlfn._xlws.FILTER(LT_LST[Lot],(LT_LST[Client Id.]=$C54)*(LT_LST[Strategy]=$D54)*(LT_LST[DTE/WTE]=$E54)*(LT_LST[Symbol]=$I54)))</f>
        <v/>
      </c>
    </row>
    <row r="55" spans="3:17" x14ac:dyDescent="0.25">
      <c r="C55" t="str">
        <f t="shared" si="0"/>
        <v/>
      </c>
      <c r="E55" s="4"/>
      <c r="F55" s="4"/>
      <c r="G55" s="4"/>
      <c r="H55" s="4"/>
      <c r="I55" s="4"/>
      <c r="J55" s="50"/>
      <c r="K55" s="67"/>
      <c r="L55" s="67"/>
      <c r="M55" s="4"/>
      <c r="N55" s="4"/>
      <c r="O55" s="4"/>
      <c r="P55" s="38"/>
      <c r="Q55" t="str" cm="1">
        <f t="array" ref="Q55">IF($P55="","",_xlfn._xlws.FILTER(LT_LST[Lot],(LT_LST[Client Id.]=$C55)*(LT_LST[Strategy]=$D55)*(LT_LST[DTE/WTE]=$E55)*(LT_LST[Symbol]=$I55)))</f>
        <v/>
      </c>
    </row>
    <row r="56" spans="3:17" x14ac:dyDescent="0.25">
      <c r="C56" t="str">
        <f t="shared" si="0"/>
        <v/>
      </c>
      <c r="E56" s="4"/>
      <c r="F56" s="4"/>
      <c r="G56" s="4"/>
      <c r="H56" s="4"/>
      <c r="I56" s="4"/>
      <c r="J56" s="50"/>
      <c r="K56" s="67"/>
      <c r="L56" s="67"/>
      <c r="M56" s="4"/>
      <c r="N56" s="4"/>
      <c r="O56" s="4"/>
      <c r="P56" s="38"/>
      <c r="Q56" t="str" cm="1">
        <f t="array" ref="Q56">IF($P56="","",_xlfn._xlws.FILTER(LT_LST[Lot],(LT_LST[Client Id.]=$C56)*(LT_LST[Strategy]=$D56)*(LT_LST[DTE/WTE]=$E56)*(LT_LST[Symbol]=$I56)))</f>
        <v/>
      </c>
    </row>
    <row r="57" spans="3:17" x14ac:dyDescent="0.25">
      <c r="C57" t="str">
        <f t="shared" si="0"/>
        <v/>
      </c>
      <c r="E57" s="4"/>
      <c r="F57" s="4"/>
      <c r="G57" s="4"/>
      <c r="H57" s="4"/>
      <c r="I57" s="4"/>
      <c r="J57" s="50"/>
      <c r="K57" s="67"/>
      <c r="L57" s="67"/>
      <c r="M57" s="4"/>
      <c r="N57" s="4"/>
      <c r="O57" s="4"/>
      <c r="P57" s="38"/>
      <c r="Q57" t="str" cm="1">
        <f t="array" ref="Q57">IF($P57="","",_xlfn._xlws.FILTER(LT_LST[Lot],(LT_LST[Client Id.]=$C57)*(LT_LST[Strategy]=$D57)*(LT_LST[DTE/WTE]=$E57)*(LT_LST[Symbol]=$I57)))</f>
        <v/>
      </c>
    </row>
    <row r="58" spans="3:17" x14ac:dyDescent="0.25">
      <c r="C58" t="str">
        <f t="shared" si="0"/>
        <v/>
      </c>
      <c r="E58" s="4"/>
      <c r="F58" s="4"/>
      <c r="G58" s="4"/>
      <c r="H58" s="4"/>
      <c r="I58" s="4"/>
      <c r="J58" s="50"/>
      <c r="K58" s="67"/>
      <c r="L58" s="67"/>
      <c r="M58" s="4"/>
      <c r="N58" s="4"/>
      <c r="O58" s="4"/>
      <c r="P58" s="38"/>
      <c r="Q58" t="str" cm="1">
        <f t="array" ref="Q58">IF($P58="","",_xlfn._xlws.FILTER(LT_LST[Lot],(LT_LST[Client Id.]=$C58)*(LT_LST[Strategy]=$D58)*(LT_LST[DTE/WTE]=$E58)*(LT_LST[Symbol]=$I58)))</f>
        <v/>
      </c>
    </row>
    <row r="59" spans="3:17" x14ac:dyDescent="0.25">
      <c r="C59" t="str">
        <f t="shared" si="0"/>
        <v/>
      </c>
      <c r="E59" s="4"/>
      <c r="F59" s="4"/>
      <c r="G59" s="4"/>
      <c r="H59" s="4"/>
      <c r="I59" s="4"/>
      <c r="J59" s="50"/>
      <c r="K59" s="67"/>
      <c r="L59" s="67"/>
      <c r="M59" s="4"/>
      <c r="N59" s="4"/>
      <c r="O59" s="4"/>
      <c r="P59" s="38"/>
      <c r="Q59" t="str" cm="1">
        <f t="array" ref="Q59">IF($P59="","",_xlfn._xlws.FILTER(LT_LST[Lot],(LT_LST[Client Id.]=$C59)*(LT_LST[Strategy]=$D59)*(LT_LST[DTE/WTE]=$E59)*(LT_LST[Symbol]=$I59)))</f>
        <v/>
      </c>
    </row>
    <row r="60" spans="3:17" x14ac:dyDescent="0.25">
      <c r="C60" t="str">
        <f t="shared" si="0"/>
        <v/>
      </c>
      <c r="E60" s="4"/>
      <c r="F60" s="4"/>
      <c r="G60" s="4"/>
      <c r="H60" s="4"/>
      <c r="I60" s="4"/>
      <c r="J60" s="50"/>
      <c r="K60" s="67"/>
      <c r="L60" s="67"/>
      <c r="M60" s="4"/>
      <c r="N60" s="4"/>
      <c r="O60" s="4"/>
      <c r="P60" s="38"/>
      <c r="Q60" t="str" cm="1">
        <f t="array" ref="Q60">IF($P60="","",_xlfn._xlws.FILTER(LT_LST[Lot],(LT_LST[Client Id.]=$C60)*(LT_LST[Strategy]=$D60)*(LT_LST[DTE/WTE]=$E60)*(LT_LST[Symbol]=$I60)))</f>
        <v/>
      </c>
    </row>
    <row r="61" spans="3:17" x14ac:dyDescent="0.25">
      <c r="C61" t="str">
        <f t="shared" si="0"/>
        <v/>
      </c>
      <c r="E61" s="4"/>
      <c r="F61" s="4"/>
      <c r="G61" s="4"/>
      <c r="H61" s="4"/>
      <c r="I61" s="4"/>
      <c r="J61" s="50"/>
      <c r="K61" s="67"/>
      <c r="L61" s="67"/>
      <c r="M61" s="4"/>
      <c r="N61" s="4"/>
      <c r="O61" s="4"/>
      <c r="P61" s="38"/>
      <c r="Q61" t="str" cm="1">
        <f t="array" ref="Q61">IF($P61="","",_xlfn._xlws.FILTER(LT_LST[Lot],(LT_LST[Client Id.]=$C61)*(LT_LST[Strategy]=$D61)*(LT_LST[DTE/WTE]=$E61)*(LT_LST[Symbol]=$I61)))</f>
        <v/>
      </c>
    </row>
    <row r="62" spans="3:17" x14ac:dyDescent="0.25">
      <c r="C62" t="str">
        <f t="shared" si="0"/>
        <v/>
      </c>
      <c r="E62" s="4"/>
      <c r="F62" s="4"/>
      <c r="G62" s="4"/>
      <c r="H62" s="4"/>
      <c r="I62" s="4"/>
      <c r="J62" s="50"/>
      <c r="K62" s="67"/>
      <c r="L62" s="67"/>
      <c r="M62" s="4"/>
      <c r="N62" s="4"/>
      <c r="O62" s="4"/>
      <c r="P62" s="38"/>
      <c r="Q62" t="str" cm="1">
        <f t="array" ref="Q62">IF($P62="","",_xlfn._xlws.FILTER(LT_LST[Lot],(LT_LST[Client Id.]=$C62)*(LT_LST[Strategy]=$D62)*(LT_LST[DTE/WTE]=$E62)*(LT_LST[Symbol]=$I62)))</f>
        <v/>
      </c>
    </row>
    <row r="63" spans="3:17" x14ac:dyDescent="0.25">
      <c r="C63" t="str">
        <f t="shared" si="0"/>
        <v/>
      </c>
      <c r="E63" s="4"/>
      <c r="F63" s="4"/>
      <c r="G63" s="4"/>
      <c r="H63" s="4"/>
      <c r="I63" s="4"/>
      <c r="J63" s="50"/>
      <c r="K63" s="67"/>
      <c r="L63" s="67"/>
      <c r="M63" s="4"/>
      <c r="N63" s="4"/>
      <c r="O63" s="4"/>
      <c r="P63" s="38"/>
      <c r="Q63" t="str" cm="1">
        <f t="array" ref="Q63">IF($P63="","",_xlfn._xlws.FILTER(LT_LST[Lot],(LT_LST[Client Id.]=$C63)*(LT_LST[Strategy]=$D63)*(LT_LST[DTE/WTE]=$E63)*(LT_LST[Symbol]=$I63)))</f>
        <v/>
      </c>
    </row>
    <row r="64" spans="3:17" x14ac:dyDescent="0.25">
      <c r="C64" t="str">
        <f t="shared" si="0"/>
        <v/>
      </c>
      <c r="E64" s="4"/>
      <c r="F64" s="4"/>
      <c r="G64" s="4"/>
      <c r="H64" s="4"/>
      <c r="I64" s="4"/>
      <c r="J64" s="50"/>
      <c r="K64" s="67"/>
      <c r="L64" s="67"/>
      <c r="M64" s="4"/>
      <c r="N64" s="4"/>
      <c r="O64" s="4"/>
      <c r="P64" s="38"/>
      <c r="Q64" t="str" cm="1">
        <f t="array" ref="Q64">IF($P64="","",_xlfn._xlws.FILTER(LT_LST[Lot],(LT_LST[Client Id.]=$C64)*(LT_LST[Strategy]=$D64)*(LT_LST[DTE/WTE]=$E64)*(LT_LST[Symbol]=$I64)))</f>
        <v/>
      </c>
    </row>
    <row r="65" spans="3:17" x14ac:dyDescent="0.25">
      <c r="C65" t="str">
        <f t="shared" si="0"/>
        <v/>
      </c>
      <c r="E65" s="4"/>
      <c r="F65" s="4"/>
      <c r="G65" s="4"/>
      <c r="H65" s="4"/>
      <c r="I65" s="4"/>
      <c r="J65" s="50"/>
      <c r="K65" s="67"/>
      <c r="L65" s="67"/>
      <c r="M65" s="4"/>
      <c r="N65" s="4"/>
      <c r="O65" s="4"/>
      <c r="P65" s="38"/>
      <c r="Q65" t="str" cm="1">
        <f t="array" ref="Q65">IF($P65="","",_xlfn._xlws.FILTER(LT_LST[Lot],(LT_LST[Client Id.]=$C65)*(LT_LST[Strategy]=$D65)*(LT_LST[DTE/WTE]=$E65)*(LT_LST[Symbol]=$I65)))</f>
        <v/>
      </c>
    </row>
    <row r="66" spans="3:17" x14ac:dyDescent="0.25">
      <c r="C66" t="str">
        <f t="shared" si="0"/>
        <v/>
      </c>
      <c r="E66" s="4"/>
      <c r="F66" s="4"/>
      <c r="G66" s="4"/>
      <c r="H66" s="4"/>
      <c r="I66" s="4"/>
      <c r="J66" s="50"/>
      <c r="K66" s="67"/>
      <c r="L66" s="67"/>
      <c r="M66" s="4"/>
      <c r="N66" s="4"/>
      <c r="O66" s="4"/>
      <c r="P66" s="38"/>
      <c r="Q66" t="str" cm="1">
        <f t="array" ref="Q66">IF($P66="","",_xlfn._xlws.FILTER(LT_LST[Lot],(LT_LST[Client Id.]=$C66)*(LT_LST[Strategy]=$D66)*(LT_LST[DTE/WTE]=$E66)*(LT_LST[Symbol]=$I66)))</f>
        <v/>
      </c>
    </row>
    <row r="67" spans="3:17" x14ac:dyDescent="0.25">
      <c r="C67" t="str">
        <f t="shared" si="0"/>
        <v/>
      </c>
      <c r="E67" s="4"/>
      <c r="F67" s="4"/>
      <c r="G67" s="4"/>
      <c r="H67" s="4"/>
      <c r="I67" s="4"/>
      <c r="J67" s="50"/>
      <c r="K67" s="67"/>
      <c r="L67" s="67"/>
      <c r="M67" s="4"/>
      <c r="N67" s="4"/>
      <c r="O67" s="4"/>
      <c r="P67" s="38"/>
      <c r="Q67" t="str" cm="1">
        <f t="array" ref="Q67">IF($P67="","",_xlfn._xlws.FILTER(LT_LST[Lot],(LT_LST[Client Id.]=$C67)*(LT_LST[Strategy]=$D67)*(LT_LST[DTE/WTE]=$E67)*(LT_LST[Symbol]=$I67)))</f>
        <v/>
      </c>
    </row>
    <row r="68" spans="3:17" x14ac:dyDescent="0.25">
      <c r="C68" t="str">
        <f t="shared" ref="C68:C131" si="1">IF(D68="","",$A$1)</f>
        <v/>
      </c>
      <c r="E68" s="4"/>
      <c r="F68" s="4"/>
      <c r="G68" s="4"/>
      <c r="H68" s="4"/>
      <c r="I68" s="4"/>
      <c r="J68" s="50"/>
      <c r="K68" s="67"/>
      <c r="L68" s="67"/>
      <c r="M68" s="4"/>
      <c r="N68" s="4"/>
      <c r="O68" s="4"/>
      <c r="P68" s="38"/>
      <c r="Q68" t="str" cm="1">
        <f t="array" ref="Q68">IF($P68="","",_xlfn._xlws.FILTER(LT_LST[Lot],(LT_LST[Client Id.]=$C68)*(LT_LST[Strategy]=$D68)*(LT_LST[DTE/WTE]=$E68)*(LT_LST[Symbol]=$I68)))</f>
        <v/>
      </c>
    </row>
    <row r="69" spans="3:17" x14ac:dyDescent="0.25">
      <c r="C69" t="str">
        <f t="shared" si="1"/>
        <v/>
      </c>
      <c r="E69" s="4"/>
      <c r="F69" s="4"/>
      <c r="G69" s="4"/>
      <c r="H69" s="4"/>
      <c r="I69" s="4"/>
      <c r="J69" s="50"/>
      <c r="K69" s="67"/>
      <c r="L69" s="67"/>
      <c r="M69" s="4"/>
      <c r="N69" s="4"/>
      <c r="O69" s="4"/>
      <c r="P69" s="38"/>
      <c r="Q69" t="str" cm="1">
        <f t="array" ref="Q69">IF($P69="","",_xlfn._xlws.FILTER(LT_LST[Lot],(LT_LST[Client Id.]=$C69)*(LT_LST[Strategy]=$D69)*(LT_LST[DTE/WTE]=$E69)*(LT_LST[Symbol]=$I69)))</f>
        <v/>
      </c>
    </row>
    <row r="70" spans="3:17" x14ac:dyDescent="0.25">
      <c r="C70" t="str">
        <f t="shared" si="1"/>
        <v/>
      </c>
      <c r="E70" s="4"/>
      <c r="F70" s="4"/>
      <c r="G70" s="4"/>
      <c r="H70" s="4"/>
      <c r="I70" s="4"/>
      <c r="J70" s="50"/>
      <c r="K70" s="67"/>
      <c r="L70" s="67"/>
      <c r="M70" s="4"/>
      <c r="N70" s="4"/>
      <c r="O70" s="4"/>
      <c r="P70" s="38"/>
      <c r="Q70" t="str" cm="1">
        <f t="array" ref="Q70">IF($P70="","",_xlfn._xlws.FILTER(LT_LST[Lot],(LT_LST[Client Id.]=$C70)*(LT_LST[Strategy]=$D70)*(LT_LST[DTE/WTE]=$E70)*(LT_LST[Symbol]=$I70)))</f>
        <v/>
      </c>
    </row>
    <row r="71" spans="3:17" x14ac:dyDescent="0.25">
      <c r="C71" t="str">
        <f t="shared" si="1"/>
        <v/>
      </c>
      <c r="E71" s="4"/>
      <c r="F71" s="4"/>
      <c r="G71" s="4"/>
      <c r="H71" s="4"/>
      <c r="I71" s="4"/>
      <c r="J71" s="50"/>
      <c r="K71" s="67"/>
      <c r="L71" s="67"/>
      <c r="M71" s="4"/>
      <c r="N71" s="4"/>
      <c r="O71" s="4"/>
      <c r="P71" s="38"/>
      <c r="Q71" t="str" cm="1">
        <f t="array" ref="Q71">IF($P71="","",_xlfn._xlws.FILTER(LT_LST[Lot],(LT_LST[Client Id.]=$C71)*(LT_LST[Strategy]=$D71)*(LT_LST[DTE/WTE]=$E71)*(LT_LST[Symbol]=$I71)))</f>
        <v/>
      </c>
    </row>
    <row r="72" spans="3:17" x14ac:dyDescent="0.25">
      <c r="C72" t="str">
        <f t="shared" si="1"/>
        <v/>
      </c>
      <c r="E72" s="4"/>
      <c r="F72" s="4"/>
      <c r="G72" s="4"/>
      <c r="H72" s="4"/>
      <c r="I72" s="4"/>
      <c r="J72" s="50"/>
      <c r="K72" s="67"/>
      <c r="L72" s="67"/>
      <c r="M72" s="4"/>
      <c r="N72" s="4"/>
      <c r="O72" s="4"/>
      <c r="P72" s="38"/>
      <c r="Q72" t="str" cm="1">
        <f t="array" ref="Q72">IF($P72="","",_xlfn._xlws.FILTER(LT_LST[Lot],(LT_LST[Client Id.]=$C72)*(LT_LST[Strategy]=$D72)*(LT_LST[DTE/WTE]=$E72)*(LT_LST[Symbol]=$I72)))</f>
        <v/>
      </c>
    </row>
    <row r="73" spans="3:17" x14ac:dyDescent="0.25">
      <c r="C73" t="str">
        <f t="shared" si="1"/>
        <v/>
      </c>
      <c r="E73" s="4"/>
      <c r="F73" s="4"/>
      <c r="G73" s="4"/>
      <c r="H73" s="4"/>
      <c r="I73" s="4"/>
      <c r="J73" s="50"/>
      <c r="K73" s="67"/>
      <c r="L73" s="67"/>
      <c r="M73" s="4"/>
      <c r="N73" s="4"/>
      <c r="O73" s="4"/>
      <c r="P73" s="38"/>
      <c r="Q73" t="str" cm="1">
        <f t="array" ref="Q73">IF($P73="","",_xlfn._xlws.FILTER(LT_LST[Lot],(LT_LST[Client Id.]=$C73)*(LT_LST[Strategy]=$D73)*(LT_LST[DTE/WTE]=$E73)*(LT_LST[Symbol]=$I73)))</f>
        <v/>
      </c>
    </row>
    <row r="74" spans="3:17" x14ac:dyDescent="0.25">
      <c r="C74" t="str">
        <f t="shared" si="1"/>
        <v/>
      </c>
      <c r="E74" s="4"/>
      <c r="F74" s="4"/>
      <c r="G74" s="4"/>
      <c r="H74" s="4"/>
      <c r="I74" s="4"/>
      <c r="J74" s="50"/>
      <c r="K74" s="67"/>
      <c r="L74" s="67"/>
      <c r="M74" s="4"/>
      <c r="N74" s="4"/>
      <c r="O74" s="4"/>
      <c r="P74" s="38"/>
      <c r="Q74" t="str" cm="1">
        <f t="array" ref="Q74">IF($P74="","",_xlfn._xlws.FILTER(LT_LST[Lot],(LT_LST[Client Id.]=$C74)*(LT_LST[Strategy]=$D74)*(LT_LST[DTE/WTE]=$E74)*(LT_LST[Symbol]=$I74)))</f>
        <v/>
      </c>
    </row>
    <row r="75" spans="3:17" x14ac:dyDescent="0.25">
      <c r="C75" t="str">
        <f t="shared" si="1"/>
        <v/>
      </c>
      <c r="E75" s="4"/>
      <c r="F75" s="4"/>
      <c r="G75" s="4"/>
      <c r="H75" s="4"/>
      <c r="I75" s="4"/>
      <c r="J75" s="50"/>
      <c r="K75" s="67"/>
      <c r="L75" s="67"/>
      <c r="M75" s="4"/>
      <c r="N75" s="4"/>
      <c r="O75" s="4"/>
      <c r="P75" s="38"/>
      <c r="Q75" t="str" cm="1">
        <f t="array" ref="Q75">IF($P75="","",_xlfn._xlws.FILTER(LT_LST[Lot],(LT_LST[Client Id.]=$C75)*(LT_LST[Strategy]=$D75)*(LT_LST[DTE/WTE]=$E75)*(LT_LST[Symbol]=$I75)))</f>
        <v/>
      </c>
    </row>
    <row r="76" spans="3:17" x14ac:dyDescent="0.25">
      <c r="C76" t="str">
        <f t="shared" si="1"/>
        <v/>
      </c>
      <c r="E76" s="4"/>
      <c r="F76" s="4"/>
      <c r="G76" s="4"/>
      <c r="H76" s="4"/>
      <c r="I76" s="4"/>
      <c r="J76" s="50"/>
      <c r="K76" s="67"/>
      <c r="L76" s="67"/>
      <c r="M76" s="4"/>
      <c r="N76" s="4"/>
      <c r="O76" s="4"/>
      <c r="P76" s="38"/>
      <c r="Q76" t="str" cm="1">
        <f t="array" ref="Q76">IF($P76="","",_xlfn._xlws.FILTER(LT_LST[Lot],(LT_LST[Client Id.]=$C76)*(LT_LST[Strategy]=$D76)*(LT_LST[DTE/WTE]=$E76)*(LT_LST[Symbol]=$I76)))</f>
        <v/>
      </c>
    </row>
    <row r="77" spans="3:17" x14ac:dyDescent="0.25">
      <c r="C77" t="str">
        <f t="shared" si="1"/>
        <v/>
      </c>
      <c r="E77" s="4"/>
      <c r="F77" s="4"/>
      <c r="G77" s="4"/>
      <c r="H77" s="4"/>
      <c r="I77" s="4"/>
      <c r="J77" s="50"/>
      <c r="K77" s="67"/>
      <c r="L77" s="67"/>
      <c r="M77" s="4"/>
      <c r="N77" s="4"/>
      <c r="O77" s="4"/>
      <c r="P77" s="38"/>
      <c r="Q77" t="str" cm="1">
        <f t="array" ref="Q77">IF($P77="","",_xlfn._xlws.FILTER(LT_LST[Lot],(LT_LST[Client Id.]=$C77)*(LT_LST[Strategy]=$D77)*(LT_LST[DTE/WTE]=$E77)*(LT_LST[Symbol]=$I77)))</f>
        <v/>
      </c>
    </row>
    <row r="78" spans="3:17" x14ac:dyDescent="0.25">
      <c r="C78" t="str">
        <f t="shared" si="1"/>
        <v/>
      </c>
      <c r="E78" s="4"/>
      <c r="F78" s="4"/>
      <c r="G78" s="4"/>
      <c r="H78" s="4"/>
      <c r="I78" s="4"/>
      <c r="J78" s="50"/>
      <c r="K78" s="67"/>
      <c r="L78" s="67"/>
      <c r="M78" s="4"/>
      <c r="N78" s="4"/>
      <c r="O78" s="4"/>
      <c r="P78" s="38"/>
      <c r="Q78" t="str" cm="1">
        <f t="array" ref="Q78">IF($P78="","",_xlfn._xlws.FILTER(LT_LST[Lot],(LT_LST[Client Id.]=$C78)*(LT_LST[Strategy]=$D78)*(LT_LST[DTE/WTE]=$E78)*(LT_LST[Symbol]=$I78)))</f>
        <v/>
      </c>
    </row>
    <row r="79" spans="3:17" x14ac:dyDescent="0.25">
      <c r="C79" t="str">
        <f t="shared" si="1"/>
        <v/>
      </c>
      <c r="E79" s="4"/>
      <c r="F79" s="4"/>
      <c r="G79" s="4"/>
      <c r="H79" s="4"/>
      <c r="I79" s="4"/>
      <c r="J79" s="50"/>
      <c r="K79" s="67"/>
      <c r="L79" s="67"/>
      <c r="M79" s="4"/>
      <c r="N79" s="4"/>
      <c r="O79" s="4"/>
      <c r="P79" s="38"/>
      <c r="Q79" t="str" cm="1">
        <f t="array" ref="Q79">IF($P79="","",_xlfn._xlws.FILTER(LT_LST[Lot],(LT_LST[Client Id.]=$C79)*(LT_LST[Strategy]=$D79)*(LT_LST[DTE/WTE]=$E79)*(LT_LST[Symbol]=$I79)))</f>
        <v/>
      </c>
    </row>
    <row r="80" spans="3:17" x14ac:dyDescent="0.25">
      <c r="C80" t="str">
        <f t="shared" si="1"/>
        <v/>
      </c>
      <c r="E80" s="4"/>
      <c r="F80" s="4"/>
      <c r="G80" s="4"/>
      <c r="H80" s="4"/>
      <c r="I80" s="4"/>
      <c r="J80" s="50"/>
      <c r="K80" s="67"/>
      <c r="L80" s="67"/>
      <c r="M80" s="4"/>
      <c r="N80" s="4"/>
      <c r="O80" s="4"/>
      <c r="P80" s="38"/>
      <c r="Q80" t="str" cm="1">
        <f t="array" ref="Q80">IF($P80="","",_xlfn._xlws.FILTER(LT_LST[Lot],(LT_LST[Client Id.]=$C80)*(LT_LST[Strategy]=$D80)*(LT_LST[DTE/WTE]=$E80)*(LT_LST[Symbol]=$I80)))</f>
        <v/>
      </c>
    </row>
    <row r="81" spans="3:17" x14ac:dyDescent="0.25">
      <c r="C81" t="str">
        <f t="shared" si="1"/>
        <v/>
      </c>
      <c r="E81" s="4"/>
      <c r="F81" s="4"/>
      <c r="G81" s="4"/>
      <c r="H81" s="4"/>
      <c r="I81" s="4"/>
      <c r="J81" s="50"/>
      <c r="K81" s="67"/>
      <c r="L81" s="67"/>
      <c r="M81" s="4"/>
      <c r="N81" s="4"/>
      <c r="O81" s="4"/>
      <c r="P81" s="38"/>
      <c r="Q81" t="str" cm="1">
        <f t="array" ref="Q81">IF($P81="","",_xlfn._xlws.FILTER(LT_LST[Lot],(LT_LST[Client Id.]=$C81)*(LT_LST[Strategy]=$D81)*(LT_LST[DTE/WTE]=$E81)*(LT_LST[Symbol]=$I81)))</f>
        <v/>
      </c>
    </row>
    <row r="82" spans="3:17" x14ac:dyDescent="0.25">
      <c r="C82" t="str">
        <f t="shared" si="1"/>
        <v/>
      </c>
      <c r="E82" s="4"/>
      <c r="F82" s="4"/>
      <c r="G82" s="4"/>
      <c r="H82" s="4"/>
      <c r="I82" s="4"/>
      <c r="J82" s="50"/>
      <c r="K82" s="67"/>
      <c r="L82" s="67"/>
      <c r="M82" s="4"/>
      <c r="N82" s="4"/>
      <c r="O82" s="4"/>
      <c r="P82" s="38"/>
      <c r="Q82" t="str" cm="1">
        <f t="array" ref="Q82">IF($P82="","",_xlfn._xlws.FILTER(LT_LST[Lot],(LT_LST[Client Id.]=$C82)*(LT_LST[Strategy]=$D82)*(LT_LST[DTE/WTE]=$E82)*(LT_LST[Symbol]=$I82)))</f>
        <v/>
      </c>
    </row>
    <row r="83" spans="3:17" x14ac:dyDescent="0.25">
      <c r="C83" t="str">
        <f t="shared" si="1"/>
        <v/>
      </c>
      <c r="E83" s="4"/>
      <c r="F83" s="4"/>
      <c r="G83" s="4"/>
      <c r="H83" s="4"/>
      <c r="I83" s="4"/>
      <c r="J83" s="50"/>
      <c r="K83" s="67"/>
      <c r="L83" s="67"/>
      <c r="M83" s="4"/>
      <c r="N83" s="4"/>
      <c r="O83" s="4"/>
      <c r="P83" s="38"/>
      <c r="Q83" t="str" cm="1">
        <f t="array" ref="Q83">IF($P83="","",_xlfn._xlws.FILTER(LT_LST[Lot],(LT_LST[Client Id.]=$C83)*(LT_LST[Strategy]=$D83)*(LT_LST[DTE/WTE]=$E83)*(LT_LST[Symbol]=$I83)))</f>
        <v/>
      </c>
    </row>
    <row r="84" spans="3:17" x14ac:dyDescent="0.25">
      <c r="C84" t="str">
        <f t="shared" si="1"/>
        <v/>
      </c>
      <c r="E84" s="4"/>
      <c r="F84" s="4"/>
      <c r="G84" s="4"/>
      <c r="H84" s="4"/>
      <c r="I84" s="4"/>
      <c r="J84" s="50"/>
      <c r="K84" s="67"/>
      <c r="L84" s="67"/>
      <c r="M84" s="4"/>
      <c r="N84" s="4"/>
      <c r="O84" s="4"/>
      <c r="P84" s="38"/>
      <c r="Q84" t="str" cm="1">
        <f t="array" ref="Q84">IF($P84="","",_xlfn._xlws.FILTER(LT_LST[Lot],(LT_LST[Client Id.]=$C84)*(LT_LST[Strategy]=$D84)*(LT_LST[DTE/WTE]=$E84)*(LT_LST[Symbol]=$I84)))</f>
        <v/>
      </c>
    </row>
    <row r="85" spans="3:17" x14ac:dyDescent="0.25">
      <c r="C85" t="str">
        <f t="shared" si="1"/>
        <v/>
      </c>
      <c r="E85" s="4"/>
      <c r="F85" s="4"/>
      <c r="G85" s="4"/>
      <c r="H85" s="4"/>
      <c r="I85" s="4"/>
      <c r="J85" s="50"/>
      <c r="K85" s="67"/>
      <c r="L85" s="67"/>
      <c r="M85" s="4"/>
      <c r="N85" s="4"/>
      <c r="O85" s="4"/>
      <c r="P85" s="38"/>
      <c r="Q85" t="str" cm="1">
        <f t="array" ref="Q85">IF($P85="","",_xlfn._xlws.FILTER(LT_LST[Lot],(LT_LST[Client Id.]=$C85)*(LT_LST[Strategy]=$D85)*(LT_LST[DTE/WTE]=$E85)*(LT_LST[Symbol]=$I85)))</f>
        <v/>
      </c>
    </row>
    <row r="86" spans="3:17" x14ac:dyDescent="0.25">
      <c r="C86" t="str">
        <f t="shared" si="1"/>
        <v/>
      </c>
      <c r="E86" s="4"/>
      <c r="F86" s="4"/>
      <c r="G86" s="4"/>
      <c r="H86" s="4"/>
      <c r="I86" s="4"/>
      <c r="J86" s="50"/>
      <c r="K86" s="67"/>
      <c r="L86" s="67"/>
      <c r="M86" s="4"/>
      <c r="N86" s="4"/>
      <c r="O86" s="4"/>
      <c r="P86" s="38"/>
      <c r="Q86" t="str" cm="1">
        <f t="array" ref="Q86">IF($P86="","",_xlfn._xlws.FILTER(LT_LST[Lot],(LT_LST[Client Id.]=$C86)*(LT_LST[Strategy]=$D86)*(LT_LST[DTE/WTE]=$E86)*(LT_LST[Symbol]=$I86)))</f>
        <v/>
      </c>
    </row>
    <row r="87" spans="3:17" x14ac:dyDescent="0.25">
      <c r="C87" t="str">
        <f t="shared" si="1"/>
        <v/>
      </c>
      <c r="E87" s="4"/>
      <c r="F87" s="4"/>
      <c r="G87" s="4"/>
      <c r="H87" s="4"/>
      <c r="I87" s="4"/>
      <c r="J87" s="50"/>
      <c r="K87" s="67"/>
      <c r="L87" s="67"/>
      <c r="M87" s="4"/>
      <c r="N87" s="4"/>
      <c r="O87" s="4"/>
      <c r="P87" s="38"/>
      <c r="Q87" t="str" cm="1">
        <f t="array" ref="Q87">IF($P87="","",_xlfn._xlws.FILTER(LT_LST[Lot],(LT_LST[Client Id.]=$C87)*(LT_LST[Strategy]=$D87)*(LT_LST[DTE/WTE]=$E87)*(LT_LST[Symbol]=$I87)))</f>
        <v/>
      </c>
    </row>
    <row r="88" spans="3:17" x14ac:dyDescent="0.25">
      <c r="C88" t="str">
        <f t="shared" si="1"/>
        <v/>
      </c>
      <c r="E88" s="4"/>
      <c r="F88" s="4"/>
      <c r="G88" s="4"/>
      <c r="H88" s="4"/>
      <c r="I88" s="4"/>
      <c r="J88" s="50"/>
      <c r="K88" s="67"/>
      <c r="L88" s="67"/>
      <c r="M88" s="4"/>
      <c r="N88" s="4"/>
      <c r="O88" s="4"/>
      <c r="P88" s="38"/>
      <c r="Q88" t="str" cm="1">
        <f t="array" ref="Q88">IF($P88="","",_xlfn._xlws.FILTER(LT_LST[Lot],(LT_LST[Client Id.]=$C88)*(LT_LST[Strategy]=$D88)*(LT_LST[DTE/WTE]=$E88)*(LT_LST[Symbol]=$I88)))</f>
        <v/>
      </c>
    </row>
    <row r="89" spans="3:17" x14ac:dyDescent="0.25">
      <c r="C89" t="str">
        <f t="shared" si="1"/>
        <v/>
      </c>
      <c r="E89" s="4"/>
      <c r="F89" s="4"/>
      <c r="G89" s="4"/>
      <c r="H89" s="4"/>
      <c r="I89" s="4"/>
      <c r="J89" s="50"/>
      <c r="K89" s="67"/>
      <c r="L89" s="67"/>
      <c r="M89" s="4"/>
      <c r="N89" s="4"/>
      <c r="O89" s="4"/>
      <c r="P89" s="38"/>
      <c r="Q89" t="str" cm="1">
        <f t="array" ref="Q89">IF($P89="","",_xlfn._xlws.FILTER(LT_LST[Lot],(LT_LST[Client Id.]=$C89)*(LT_LST[Strategy]=$D89)*(LT_LST[DTE/WTE]=$E89)*(LT_LST[Symbol]=$I89)))</f>
        <v/>
      </c>
    </row>
    <row r="90" spans="3:17" x14ac:dyDescent="0.25">
      <c r="C90" t="str">
        <f t="shared" si="1"/>
        <v/>
      </c>
      <c r="E90" s="4"/>
      <c r="F90" s="4"/>
      <c r="G90" s="4"/>
      <c r="H90" s="4"/>
      <c r="I90" s="4"/>
      <c r="J90" s="50"/>
      <c r="K90" s="67"/>
      <c r="L90" s="67"/>
      <c r="M90" s="4"/>
      <c r="N90" s="4"/>
      <c r="O90" s="4"/>
      <c r="P90" s="38"/>
      <c r="Q90" t="str" cm="1">
        <f t="array" ref="Q90">IF($P90="","",_xlfn._xlws.FILTER(LT_LST[Lot],(LT_LST[Client Id.]=$C90)*(LT_LST[Strategy]=$D90)*(LT_LST[DTE/WTE]=$E90)*(LT_LST[Symbol]=$I90)))</f>
        <v/>
      </c>
    </row>
    <row r="91" spans="3:17" x14ac:dyDescent="0.25">
      <c r="C91" t="str">
        <f t="shared" si="1"/>
        <v/>
      </c>
      <c r="E91" s="4"/>
      <c r="F91" s="4"/>
      <c r="G91" s="4"/>
      <c r="H91" s="4"/>
      <c r="I91" s="4"/>
      <c r="J91" s="50"/>
      <c r="K91" s="67"/>
      <c r="L91" s="67"/>
      <c r="M91" s="4"/>
      <c r="N91" s="4"/>
      <c r="O91" s="4"/>
      <c r="P91" s="38"/>
      <c r="Q91" t="str" cm="1">
        <f t="array" ref="Q91">IF($P91="","",_xlfn._xlws.FILTER(LT_LST[Lot],(LT_LST[Client Id.]=$C91)*(LT_LST[Strategy]=$D91)*(LT_LST[DTE/WTE]=$E91)*(LT_LST[Symbol]=$I91)))</f>
        <v/>
      </c>
    </row>
    <row r="92" spans="3:17" x14ac:dyDescent="0.25">
      <c r="C92" t="str">
        <f t="shared" si="1"/>
        <v/>
      </c>
      <c r="E92" s="4"/>
      <c r="F92" s="4"/>
      <c r="G92" s="4"/>
      <c r="H92" s="4"/>
      <c r="I92" s="4"/>
      <c r="J92" s="50"/>
      <c r="K92" s="67"/>
      <c r="L92" s="67"/>
      <c r="M92" s="4"/>
      <c r="N92" s="4"/>
      <c r="O92" s="4"/>
      <c r="P92" s="38"/>
      <c r="Q92" t="str" cm="1">
        <f t="array" ref="Q92">IF($P92="","",_xlfn._xlws.FILTER(LT_LST[Lot],(LT_LST[Client Id.]=$C92)*(LT_LST[Strategy]=$D92)*(LT_LST[DTE/WTE]=$E92)*(LT_LST[Symbol]=$I92)))</f>
        <v/>
      </c>
    </row>
    <row r="93" spans="3:17" x14ac:dyDescent="0.25">
      <c r="C93" t="str">
        <f t="shared" si="1"/>
        <v/>
      </c>
      <c r="E93" s="4"/>
      <c r="F93" s="4"/>
      <c r="G93" s="4"/>
      <c r="H93" s="4"/>
      <c r="I93" s="4"/>
      <c r="J93" s="50"/>
      <c r="K93" s="67"/>
      <c r="L93" s="67"/>
      <c r="M93" s="4"/>
      <c r="N93" s="4"/>
      <c r="O93" s="4"/>
      <c r="P93" s="38"/>
      <c r="Q93" t="str" cm="1">
        <f t="array" ref="Q93">IF($P93="","",_xlfn._xlws.FILTER(LT_LST[Lot],(LT_LST[Client Id.]=$C93)*(LT_LST[Strategy]=$D93)*(LT_LST[DTE/WTE]=$E93)*(LT_LST[Symbol]=$I93)))</f>
        <v/>
      </c>
    </row>
    <row r="94" spans="3:17" x14ac:dyDescent="0.25">
      <c r="C94" t="str">
        <f t="shared" si="1"/>
        <v/>
      </c>
      <c r="E94" s="4"/>
      <c r="F94" s="4"/>
      <c r="G94" s="4"/>
      <c r="H94" s="4"/>
      <c r="I94" s="4"/>
      <c r="J94" s="50"/>
      <c r="K94" s="67"/>
      <c r="L94" s="67"/>
      <c r="M94" s="4"/>
      <c r="N94" s="4"/>
      <c r="O94" s="4"/>
      <c r="P94" s="38"/>
      <c r="Q94" t="str" cm="1">
        <f t="array" ref="Q94">IF($P94="","",_xlfn._xlws.FILTER(LT_LST[Lot],(LT_LST[Client Id.]=$C94)*(LT_LST[Strategy]=$D94)*(LT_LST[DTE/WTE]=$E94)*(LT_LST[Symbol]=$I94)))</f>
        <v/>
      </c>
    </row>
    <row r="95" spans="3:17" x14ac:dyDescent="0.25">
      <c r="C95" t="str">
        <f t="shared" si="1"/>
        <v/>
      </c>
      <c r="E95" s="4"/>
      <c r="F95" s="4"/>
      <c r="G95" s="4"/>
      <c r="H95" s="4"/>
      <c r="I95" s="4"/>
      <c r="J95" s="50"/>
      <c r="K95" s="67"/>
      <c r="L95" s="67"/>
      <c r="M95" s="4"/>
      <c r="N95" s="4"/>
      <c r="O95" s="4"/>
      <c r="P95" s="38"/>
      <c r="Q95" t="str" cm="1">
        <f t="array" ref="Q95">IF($P95="","",_xlfn._xlws.FILTER(LT_LST[Lot],(LT_LST[Client Id.]=$C95)*(LT_LST[Strategy]=$D95)*(LT_LST[DTE/WTE]=$E95)*(LT_LST[Symbol]=$I95)))</f>
        <v/>
      </c>
    </row>
    <row r="96" spans="3:17" x14ac:dyDescent="0.25">
      <c r="C96" t="str">
        <f t="shared" si="1"/>
        <v/>
      </c>
      <c r="E96" s="4"/>
      <c r="F96" s="4"/>
      <c r="G96" s="4"/>
      <c r="H96" s="4"/>
      <c r="I96" s="4"/>
      <c r="J96" s="50"/>
      <c r="K96" s="67"/>
      <c r="L96" s="67"/>
      <c r="M96" s="4"/>
      <c r="N96" s="4"/>
      <c r="O96" s="4"/>
      <c r="P96" s="38"/>
      <c r="Q96" t="str" cm="1">
        <f t="array" ref="Q96">IF($P96="","",_xlfn._xlws.FILTER(LT_LST[Lot],(LT_LST[Client Id.]=$C96)*(LT_LST[Strategy]=$D96)*(LT_LST[DTE/WTE]=$E96)*(LT_LST[Symbol]=$I96)))</f>
        <v/>
      </c>
    </row>
    <row r="97" spans="3:17" x14ac:dyDescent="0.25">
      <c r="C97" t="str">
        <f t="shared" si="1"/>
        <v/>
      </c>
      <c r="E97" s="4"/>
      <c r="F97" s="4"/>
      <c r="G97" s="4"/>
      <c r="H97" s="4"/>
      <c r="I97" s="4"/>
      <c r="J97" s="50"/>
      <c r="K97" s="67"/>
      <c r="L97" s="67"/>
      <c r="M97" s="4"/>
      <c r="N97" s="4"/>
      <c r="O97" s="4"/>
      <c r="P97" s="38"/>
      <c r="Q97" t="str" cm="1">
        <f t="array" ref="Q97">IF($P97="","",_xlfn._xlws.FILTER(LT_LST[Lot],(LT_LST[Client Id.]=$C97)*(LT_LST[Strategy]=$D97)*(LT_LST[DTE/WTE]=$E97)*(LT_LST[Symbol]=$I97)))</f>
        <v/>
      </c>
    </row>
    <row r="98" spans="3:17" x14ac:dyDescent="0.25">
      <c r="C98" t="str">
        <f t="shared" si="1"/>
        <v/>
      </c>
      <c r="E98" s="4"/>
      <c r="F98" s="4"/>
      <c r="G98" s="4"/>
      <c r="H98" s="4"/>
      <c r="I98" s="4"/>
      <c r="J98" s="50"/>
      <c r="K98" s="67"/>
      <c r="L98" s="67"/>
      <c r="M98" s="4"/>
      <c r="N98" s="4"/>
      <c r="O98" s="4"/>
      <c r="P98" s="38"/>
      <c r="Q98" t="str" cm="1">
        <f t="array" ref="Q98">IF($P98="","",_xlfn._xlws.FILTER(LT_LST[Lot],(LT_LST[Client Id.]=$C98)*(LT_LST[Strategy]=$D98)*(LT_LST[DTE/WTE]=$E98)*(LT_LST[Symbol]=$I98)))</f>
        <v/>
      </c>
    </row>
    <row r="99" spans="3:17" x14ac:dyDescent="0.25">
      <c r="C99" t="str">
        <f t="shared" si="1"/>
        <v/>
      </c>
      <c r="E99" s="4"/>
      <c r="F99" s="4"/>
      <c r="G99" s="4"/>
      <c r="H99" s="4"/>
      <c r="I99" s="4"/>
      <c r="J99" s="50"/>
      <c r="K99" s="67"/>
      <c r="L99" s="67"/>
      <c r="M99" s="4"/>
      <c r="N99" s="4"/>
      <c r="O99" s="4"/>
      <c r="P99" s="38"/>
      <c r="Q99" t="str" cm="1">
        <f t="array" ref="Q99">IF($P99="","",_xlfn._xlws.FILTER(LT_LST[Lot],(LT_LST[Client Id.]=$C99)*(LT_LST[Strategy]=$D99)*(LT_LST[DTE/WTE]=$E99)*(LT_LST[Symbol]=$I99)))</f>
        <v/>
      </c>
    </row>
    <row r="100" spans="3:17" x14ac:dyDescent="0.25">
      <c r="C100" t="str">
        <f t="shared" si="1"/>
        <v/>
      </c>
      <c r="E100" s="4"/>
      <c r="F100" s="4"/>
      <c r="G100" s="4"/>
      <c r="H100" s="4"/>
      <c r="I100" s="4"/>
      <c r="J100" s="50"/>
      <c r="K100" s="67"/>
      <c r="L100" s="67"/>
      <c r="M100" s="4"/>
      <c r="N100" s="4"/>
      <c r="O100" s="4"/>
      <c r="P100" s="38"/>
      <c r="Q100" t="str" cm="1">
        <f t="array" ref="Q100">IF($P100="","",_xlfn._xlws.FILTER(LT_LST[Lot],(LT_LST[Client Id.]=$C100)*(LT_LST[Strategy]=$D100)*(LT_LST[DTE/WTE]=$E100)*(LT_LST[Symbol]=$I100)))</f>
        <v/>
      </c>
    </row>
    <row r="101" spans="3:17" x14ac:dyDescent="0.25">
      <c r="C101" t="str">
        <f t="shared" si="1"/>
        <v/>
      </c>
      <c r="E101" s="4"/>
      <c r="F101" s="4"/>
      <c r="G101" s="4"/>
      <c r="H101" s="4"/>
      <c r="I101" s="4"/>
      <c r="J101" s="50"/>
      <c r="K101" s="67"/>
      <c r="L101" s="67"/>
      <c r="M101" s="4"/>
      <c r="N101" s="4"/>
      <c r="O101" s="4"/>
      <c r="P101" s="38"/>
      <c r="Q101" t="str" cm="1">
        <f t="array" ref="Q101">IF($P101="","",_xlfn._xlws.FILTER(LT_LST[Lot],(LT_LST[Client Id.]=$C101)*(LT_LST[Strategy]=$D101)*(LT_LST[DTE/WTE]=$E101)*(LT_LST[Symbol]=$I101)))</f>
        <v/>
      </c>
    </row>
    <row r="102" spans="3:17" x14ac:dyDescent="0.25">
      <c r="C102" t="str">
        <f t="shared" si="1"/>
        <v/>
      </c>
      <c r="E102" s="4"/>
      <c r="F102" s="4"/>
      <c r="G102" s="4"/>
      <c r="H102" s="4"/>
      <c r="I102" s="4"/>
      <c r="J102" s="50"/>
      <c r="K102" s="67"/>
      <c r="L102" s="67"/>
      <c r="M102" s="4"/>
      <c r="N102" s="4"/>
      <c r="O102" s="4"/>
      <c r="P102" s="38"/>
      <c r="Q102" t="str" cm="1">
        <f t="array" ref="Q102">IF($P102="","",_xlfn._xlws.FILTER(LT_LST[Lot],(LT_LST[Client Id.]=$C102)*(LT_LST[Strategy]=$D102)*(LT_LST[DTE/WTE]=$E102)*(LT_LST[Symbol]=$I102)))</f>
        <v/>
      </c>
    </row>
    <row r="103" spans="3:17" x14ac:dyDescent="0.25">
      <c r="C103" t="str">
        <f t="shared" si="1"/>
        <v/>
      </c>
      <c r="E103" s="4"/>
      <c r="F103" s="4"/>
      <c r="G103" s="4"/>
      <c r="H103" s="4"/>
      <c r="I103" s="4"/>
      <c r="J103" s="50"/>
      <c r="K103" s="67"/>
      <c r="L103" s="67"/>
      <c r="M103" s="4"/>
      <c r="N103" s="4"/>
      <c r="O103" s="4"/>
      <c r="P103" s="38"/>
      <c r="Q103" t="str" cm="1">
        <f t="array" ref="Q103">IF($P103="","",_xlfn._xlws.FILTER(LT_LST[Lot],(LT_LST[Client Id.]=$C103)*(LT_LST[Strategy]=$D103)*(LT_LST[DTE/WTE]=$E103)*(LT_LST[Symbol]=$I103)))</f>
        <v/>
      </c>
    </row>
    <row r="104" spans="3:17" x14ac:dyDescent="0.25">
      <c r="C104" t="str">
        <f t="shared" si="1"/>
        <v/>
      </c>
      <c r="E104" s="4"/>
      <c r="F104" s="4"/>
      <c r="G104" s="4"/>
      <c r="H104" s="4"/>
      <c r="I104" s="4"/>
      <c r="J104" s="50"/>
      <c r="K104" s="67"/>
      <c r="L104" s="67"/>
      <c r="M104" s="4"/>
      <c r="N104" s="4"/>
      <c r="O104" s="4"/>
      <c r="P104" s="38"/>
      <c r="Q104" t="str" cm="1">
        <f t="array" ref="Q104">IF($P104="","",_xlfn._xlws.FILTER(LT_LST[Lot],(LT_LST[Client Id.]=$C104)*(LT_LST[Strategy]=$D104)*(LT_LST[DTE/WTE]=$E104)*(LT_LST[Symbol]=$I104)))</f>
        <v/>
      </c>
    </row>
    <row r="105" spans="3:17" x14ac:dyDescent="0.25">
      <c r="C105" t="str">
        <f t="shared" si="1"/>
        <v/>
      </c>
      <c r="E105" s="4"/>
      <c r="F105" s="4"/>
      <c r="G105" s="4"/>
      <c r="H105" s="4"/>
      <c r="I105" s="4"/>
      <c r="J105" s="50"/>
      <c r="K105" s="67"/>
      <c r="L105" s="67"/>
      <c r="M105" s="4"/>
      <c r="N105" s="4"/>
      <c r="O105" s="4"/>
      <c r="P105" s="38"/>
      <c r="Q105" t="str" cm="1">
        <f t="array" ref="Q105">IF($P105="","",_xlfn._xlws.FILTER(LT_LST[Lot],(LT_LST[Client Id.]=$C105)*(LT_LST[Strategy]=$D105)*(LT_LST[DTE/WTE]=$E105)*(LT_LST[Symbol]=$I105)))</f>
        <v/>
      </c>
    </row>
    <row r="106" spans="3:17" x14ac:dyDescent="0.25">
      <c r="C106" t="str">
        <f t="shared" si="1"/>
        <v/>
      </c>
      <c r="E106" s="4"/>
      <c r="F106" s="4"/>
      <c r="G106" s="4"/>
      <c r="H106" s="4"/>
      <c r="I106" s="4"/>
      <c r="J106" s="50"/>
      <c r="K106" s="67"/>
      <c r="L106" s="67"/>
      <c r="M106" s="4"/>
      <c r="N106" s="4"/>
      <c r="O106" s="4"/>
      <c r="P106" s="38"/>
      <c r="Q106" t="str" cm="1">
        <f t="array" ref="Q106">IF($P106="","",_xlfn._xlws.FILTER(LT_LST[Lot],(LT_LST[Client Id.]=$C106)*(LT_LST[Strategy]=$D106)*(LT_LST[DTE/WTE]=$E106)*(LT_LST[Symbol]=$I106)))</f>
        <v/>
      </c>
    </row>
    <row r="107" spans="3:17" x14ac:dyDescent="0.25">
      <c r="C107" t="str">
        <f t="shared" si="1"/>
        <v/>
      </c>
      <c r="E107" s="4"/>
      <c r="F107" s="4"/>
      <c r="G107" s="4"/>
      <c r="H107" s="4"/>
      <c r="I107" s="4"/>
      <c r="J107" s="50"/>
      <c r="K107" s="67"/>
      <c r="L107" s="67"/>
      <c r="M107" s="4"/>
      <c r="N107" s="4"/>
      <c r="O107" s="4"/>
      <c r="P107" s="38"/>
      <c r="Q107" t="str" cm="1">
        <f t="array" ref="Q107">IF($P107="","",_xlfn._xlws.FILTER(LT_LST[Lot],(LT_LST[Client Id.]=$C107)*(LT_LST[Strategy]=$D107)*(LT_LST[DTE/WTE]=$E107)*(LT_LST[Symbol]=$I107)))</f>
        <v/>
      </c>
    </row>
    <row r="108" spans="3:17" x14ac:dyDescent="0.25">
      <c r="C108" t="str">
        <f t="shared" si="1"/>
        <v/>
      </c>
      <c r="E108" s="4"/>
      <c r="F108" s="4"/>
      <c r="G108" s="4"/>
      <c r="H108" s="4"/>
      <c r="I108" s="4"/>
      <c r="J108" s="50"/>
      <c r="K108" s="67"/>
      <c r="L108" s="67"/>
      <c r="M108" s="4"/>
      <c r="N108" s="4"/>
      <c r="O108" s="4"/>
      <c r="P108" s="38"/>
      <c r="Q108" t="str" cm="1">
        <f t="array" ref="Q108">IF($P108="","",_xlfn._xlws.FILTER(LT_LST[Lot],(LT_LST[Client Id.]=$C108)*(LT_LST[Strategy]=$D108)*(LT_LST[DTE/WTE]=$E108)*(LT_LST[Symbol]=$I108)))</f>
        <v/>
      </c>
    </row>
    <row r="109" spans="3:17" x14ac:dyDescent="0.25">
      <c r="C109" t="str">
        <f t="shared" si="1"/>
        <v/>
      </c>
      <c r="E109" s="4"/>
      <c r="F109" s="4"/>
      <c r="G109" s="4"/>
      <c r="H109" s="4"/>
      <c r="I109" s="4"/>
      <c r="J109" s="50"/>
      <c r="K109" s="67"/>
      <c r="L109" s="67"/>
      <c r="M109" s="4"/>
      <c r="N109" s="4"/>
      <c r="O109" s="4"/>
      <c r="P109" s="38"/>
      <c r="Q109" t="str" cm="1">
        <f t="array" ref="Q109">IF($P109="","",_xlfn._xlws.FILTER(LT_LST[Lot],(LT_LST[Client Id.]=$C109)*(LT_LST[Strategy]=$D109)*(LT_LST[DTE/WTE]=$E109)*(LT_LST[Symbol]=$I109)))</f>
        <v/>
      </c>
    </row>
    <row r="110" spans="3:17" x14ac:dyDescent="0.25">
      <c r="C110" t="str">
        <f t="shared" si="1"/>
        <v/>
      </c>
      <c r="E110" s="4"/>
      <c r="F110" s="4"/>
      <c r="G110" s="4"/>
      <c r="H110" s="4"/>
      <c r="I110" s="4"/>
      <c r="J110" s="50"/>
      <c r="K110" s="67"/>
      <c r="L110" s="67"/>
      <c r="M110" s="4"/>
      <c r="N110" s="4"/>
      <c r="O110" s="4"/>
      <c r="P110" s="38"/>
      <c r="Q110" t="str" cm="1">
        <f t="array" ref="Q110">IF($P110="","",_xlfn._xlws.FILTER(LT_LST[Lot],(LT_LST[Client Id.]=$C110)*(LT_LST[Strategy]=$D110)*(LT_LST[DTE/WTE]=$E110)*(LT_LST[Symbol]=$I110)))</f>
        <v/>
      </c>
    </row>
    <row r="111" spans="3:17" x14ac:dyDescent="0.25">
      <c r="C111" t="str">
        <f t="shared" si="1"/>
        <v/>
      </c>
      <c r="E111" s="4"/>
      <c r="F111" s="4"/>
      <c r="G111" s="4"/>
      <c r="H111" s="4"/>
      <c r="I111" s="4"/>
      <c r="J111" s="50"/>
      <c r="K111" s="67"/>
      <c r="L111" s="67"/>
      <c r="M111" s="4"/>
      <c r="N111" s="4"/>
      <c r="O111" s="4"/>
      <c r="P111" s="38"/>
      <c r="Q111" t="str" cm="1">
        <f t="array" ref="Q111">IF($P111="","",_xlfn._xlws.FILTER(LT_LST[Lot],(LT_LST[Client Id.]=$C111)*(LT_LST[Strategy]=$D111)*(LT_LST[DTE/WTE]=$E111)*(LT_LST[Symbol]=$I111)))</f>
        <v/>
      </c>
    </row>
    <row r="112" spans="3:17" x14ac:dyDescent="0.25">
      <c r="C112" t="str">
        <f t="shared" si="1"/>
        <v/>
      </c>
      <c r="E112" s="4"/>
      <c r="F112" s="4"/>
      <c r="G112" s="4"/>
      <c r="H112" s="4"/>
      <c r="I112" s="4"/>
      <c r="J112" s="50"/>
      <c r="K112" s="67"/>
      <c r="L112" s="67"/>
      <c r="M112" s="4"/>
      <c r="N112" s="4"/>
      <c r="O112" s="4"/>
      <c r="P112" s="38"/>
      <c r="Q112" t="str" cm="1">
        <f t="array" ref="Q112">IF($P112="","",_xlfn._xlws.FILTER(LT_LST[Lot],(LT_LST[Client Id.]=$C112)*(LT_LST[Strategy]=$D112)*(LT_LST[DTE/WTE]=$E112)*(LT_LST[Symbol]=$I112)))</f>
        <v/>
      </c>
    </row>
    <row r="113" spans="3:17" x14ac:dyDescent="0.25">
      <c r="C113" t="str">
        <f t="shared" si="1"/>
        <v/>
      </c>
      <c r="E113" s="4"/>
      <c r="F113" s="4"/>
      <c r="G113" s="4"/>
      <c r="H113" s="4"/>
      <c r="I113" s="4"/>
      <c r="J113" s="50"/>
      <c r="K113" s="67"/>
      <c r="L113" s="67"/>
      <c r="M113" s="4"/>
      <c r="N113" s="4"/>
      <c r="O113" s="4"/>
      <c r="P113" s="38"/>
      <c r="Q113" t="str" cm="1">
        <f t="array" ref="Q113">IF($P113="","",_xlfn._xlws.FILTER(LT_LST[Lot],(LT_LST[Client Id.]=$C113)*(LT_LST[Strategy]=$D113)*(LT_LST[DTE/WTE]=$E113)*(LT_LST[Symbol]=$I113)))</f>
        <v/>
      </c>
    </row>
    <row r="114" spans="3:17" x14ac:dyDescent="0.25">
      <c r="C114" t="str">
        <f t="shared" si="1"/>
        <v/>
      </c>
      <c r="E114" s="4"/>
      <c r="F114" s="4"/>
      <c r="G114" s="4"/>
      <c r="H114" s="4"/>
      <c r="I114" s="4"/>
      <c r="J114" s="50"/>
      <c r="K114" s="67"/>
      <c r="L114" s="67"/>
      <c r="M114" s="4"/>
      <c r="N114" s="4"/>
      <c r="O114" s="4"/>
      <c r="P114" s="38"/>
      <c r="Q114" t="str" cm="1">
        <f t="array" ref="Q114">IF($P114="","",_xlfn._xlws.FILTER(LT_LST[Lot],(LT_LST[Client Id.]=$C114)*(LT_LST[Strategy]=$D114)*(LT_LST[DTE/WTE]=$E114)*(LT_LST[Symbol]=$I114)))</f>
        <v/>
      </c>
    </row>
    <row r="115" spans="3:17" x14ac:dyDescent="0.25">
      <c r="C115" t="str">
        <f t="shared" si="1"/>
        <v/>
      </c>
      <c r="E115" s="4"/>
      <c r="F115" s="4"/>
      <c r="G115" s="4"/>
      <c r="H115" s="4"/>
      <c r="I115" s="4"/>
      <c r="J115" s="50"/>
      <c r="K115" s="67"/>
      <c r="L115" s="67"/>
      <c r="M115" s="4"/>
      <c r="N115" s="4"/>
      <c r="O115" s="4"/>
      <c r="P115" s="38"/>
      <c r="Q115" t="str" cm="1">
        <f t="array" ref="Q115">IF($P115="","",_xlfn._xlws.FILTER(LT_LST[Lot],(LT_LST[Client Id.]=$C115)*(LT_LST[Strategy]=$D115)*(LT_LST[DTE/WTE]=$E115)*(LT_LST[Symbol]=$I115)))</f>
        <v/>
      </c>
    </row>
    <row r="116" spans="3:17" x14ac:dyDescent="0.25">
      <c r="C116" t="str">
        <f t="shared" si="1"/>
        <v/>
      </c>
      <c r="E116" s="4"/>
      <c r="F116" s="4"/>
      <c r="G116" s="4"/>
      <c r="H116" s="4"/>
      <c r="I116" s="4"/>
      <c r="J116" s="50"/>
      <c r="K116" s="67"/>
      <c r="L116" s="67"/>
      <c r="M116" s="4"/>
      <c r="N116" s="4"/>
      <c r="O116" s="4"/>
      <c r="P116" s="38"/>
      <c r="Q116" t="str" cm="1">
        <f t="array" ref="Q116">IF($P116="","",_xlfn._xlws.FILTER(LT_LST[Lot],(LT_LST[Client Id.]=$C116)*(LT_LST[Strategy]=$D116)*(LT_LST[DTE/WTE]=$E116)*(LT_LST[Symbol]=$I116)))</f>
        <v/>
      </c>
    </row>
    <row r="117" spans="3:17" x14ac:dyDescent="0.25">
      <c r="C117" t="str">
        <f t="shared" si="1"/>
        <v/>
      </c>
      <c r="E117" s="4"/>
      <c r="F117" s="4"/>
      <c r="G117" s="4"/>
      <c r="H117" s="4"/>
      <c r="I117" s="4"/>
      <c r="J117" s="50"/>
      <c r="K117" s="67"/>
      <c r="L117" s="67"/>
      <c r="M117" s="4"/>
      <c r="N117" s="4"/>
      <c r="O117" s="4"/>
      <c r="P117" s="38"/>
      <c r="Q117" t="str" cm="1">
        <f t="array" ref="Q117">IF($P117="","",_xlfn._xlws.FILTER(LT_LST[Lot],(LT_LST[Client Id.]=$C117)*(LT_LST[Strategy]=$D117)*(LT_LST[DTE/WTE]=$E117)*(LT_LST[Symbol]=$I117)))</f>
        <v/>
      </c>
    </row>
    <row r="118" spans="3:17" x14ac:dyDescent="0.25">
      <c r="C118" t="str">
        <f t="shared" si="1"/>
        <v/>
      </c>
      <c r="E118" s="4"/>
      <c r="F118" s="4"/>
      <c r="G118" s="4"/>
      <c r="H118" s="4"/>
      <c r="I118" s="4"/>
      <c r="J118" s="50"/>
      <c r="K118" s="67"/>
      <c r="L118" s="67"/>
      <c r="M118" s="4"/>
      <c r="N118" s="4"/>
      <c r="O118" s="4"/>
      <c r="P118" s="38"/>
      <c r="Q118" t="str" cm="1">
        <f t="array" ref="Q118">IF($P118="","",_xlfn._xlws.FILTER(LT_LST[Lot],(LT_LST[Client Id.]=$C118)*(LT_LST[Strategy]=$D118)*(LT_LST[DTE/WTE]=$E118)*(LT_LST[Symbol]=$I118)))</f>
        <v/>
      </c>
    </row>
    <row r="119" spans="3:17" x14ac:dyDescent="0.25">
      <c r="C119" t="str">
        <f t="shared" si="1"/>
        <v/>
      </c>
      <c r="E119" s="4"/>
      <c r="F119" s="4"/>
      <c r="G119" s="4"/>
      <c r="H119" s="4"/>
      <c r="I119" s="4"/>
      <c r="J119" s="50"/>
      <c r="K119" s="67"/>
      <c r="L119" s="67"/>
      <c r="M119" s="4"/>
      <c r="N119" s="4"/>
      <c r="O119" s="4"/>
      <c r="P119" s="38"/>
      <c r="Q119" t="str" cm="1">
        <f t="array" ref="Q119">IF($P119="","",_xlfn._xlws.FILTER(LT_LST[Lot],(LT_LST[Client Id.]=$C119)*(LT_LST[Strategy]=$D119)*(LT_LST[DTE/WTE]=$E119)*(LT_LST[Symbol]=$I119)))</f>
        <v/>
      </c>
    </row>
    <row r="120" spans="3:17" x14ac:dyDescent="0.25">
      <c r="C120" t="str">
        <f t="shared" si="1"/>
        <v/>
      </c>
      <c r="E120" s="4"/>
      <c r="F120" s="4"/>
      <c r="G120" s="4"/>
      <c r="H120" s="4"/>
      <c r="I120" s="4"/>
      <c r="J120" s="50"/>
      <c r="K120" s="67"/>
      <c r="L120" s="67"/>
      <c r="M120" s="4"/>
      <c r="N120" s="4"/>
      <c r="O120" s="4"/>
      <c r="P120" s="38"/>
      <c r="Q120" t="str" cm="1">
        <f t="array" ref="Q120">IF($P120="","",_xlfn._xlws.FILTER(LT_LST[Lot],(LT_LST[Client Id.]=$C120)*(LT_LST[Strategy]=$D120)*(LT_LST[DTE/WTE]=$E120)*(LT_LST[Symbol]=$I120)))</f>
        <v/>
      </c>
    </row>
    <row r="121" spans="3:17" x14ac:dyDescent="0.25">
      <c r="C121" t="str">
        <f t="shared" si="1"/>
        <v/>
      </c>
      <c r="E121" s="4"/>
      <c r="F121" s="4"/>
      <c r="G121" s="4"/>
      <c r="H121" s="4"/>
      <c r="I121" s="4"/>
      <c r="J121" s="50"/>
      <c r="K121" s="67"/>
      <c r="L121" s="67"/>
      <c r="M121" s="4"/>
      <c r="N121" s="4"/>
      <c r="O121" s="4"/>
      <c r="P121" s="38"/>
      <c r="Q121" t="str" cm="1">
        <f t="array" ref="Q121">IF($P121="","",_xlfn._xlws.FILTER(LT_LST[Lot],(LT_LST[Client Id.]=$C121)*(LT_LST[Strategy]=$D121)*(LT_LST[DTE/WTE]=$E121)*(LT_LST[Symbol]=$I121)))</f>
        <v/>
      </c>
    </row>
    <row r="122" spans="3:17" x14ac:dyDescent="0.25">
      <c r="C122" t="str">
        <f t="shared" si="1"/>
        <v/>
      </c>
      <c r="E122" s="4"/>
      <c r="F122" s="4"/>
      <c r="G122" s="4"/>
      <c r="H122" s="4"/>
      <c r="I122" s="4"/>
      <c r="J122" s="50"/>
      <c r="K122" s="67"/>
      <c r="L122" s="67"/>
      <c r="M122" s="4"/>
      <c r="N122" s="4"/>
      <c r="O122" s="4"/>
      <c r="P122" s="38"/>
      <c r="Q122" t="str" cm="1">
        <f t="array" ref="Q122">IF($P122="","",_xlfn._xlws.FILTER(LT_LST[Lot],(LT_LST[Client Id.]=$C122)*(LT_LST[Strategy]=$D122)*(LT_LST[DTE/WTE]=$E122)*(LT_LST[Symbol]=$I122)))</f>
        <v/>
      </c>
    </row>
    <row r="123" spans="3:17" x14ac:dyDescent="0.25">
      <c r="C123" t="str">
        <f t="shared" si="1"/>
        <v/>
      </c>
      <c r="E123" s="4"/>
      <c r="F123" s="4"/>
      <c r="G123" s="4"/>
      <c r="H123" s="4"/>
      <c r="I123" s="4"/>
      <c r="J123" s="50"/>
      <c r="K123" s="67"/>
      <c r="L123" s="67"/>
      <c r="M123" s="4"/>
      <c r="N123" s="4"/>
      <c r="O123" s="4"/>
      <c r="P123" s="38"/>
      <c r="Q123" t="str" cm="1">
        <f t="array" ref="Q123">IF($P123="","",_xlfn._xlws.FILTER(LT_LST[Lot],(LT_LST[Client Id.]=$C123)*(LT_LST[Strategy]=$D123)*(LT_LST[DTE/WTE]=$E123)*(LT_LST[Symbol]=$I123)))</f>
        <v/>
      </c>
    </row>
    <row r="124" spans="3:17" x14ac:dyDescent="0.25">
      <c r="C124" t="str">
        <f t="shared" si="1"/>
        <v/>
      </c>
      <c r="E124" s="4"/>
      <c r="F124" s="4"/>
      <c r="G124" s="4"/>
      <c r="H124" s="4"/>
      <c r="I124" s="4"/>
      <c r="J124" s="50"/>
      <c r="K124" s="67"/>
      <c r="L124" s="67"/>
      <c r="M124" s="4"/>
      <c r="N124" s="4"/>
      <c r="O124" s="4"/>
      <c r="P124" s="38"/>
      <c r="Q124" t="str" cm="1">
        <f t="array" ref="Q124">IF($P124="","",_xlfn._xlws.FILTER(LT_LST[Lot],(LT_LST[Client Id.]=$C124)*(LT_LST[Strategy]=$D124)*(LT_LST[DTE/WTE]=$E124)*(LT_LST[Symbol]=$I124)))</f>
        <v/>
      </c>
    </row>
    <row r="125" spans="3:17" x14ac:dyDescent="0.25">
      <c r="C125" t="str">
        <f t="shared" si="1"/>
        <v/>
      </c>
      <c r="E125" s="4"/>
      <c r="F125" s="4"/>
      <c r="G125" s="4"/>
      <c r="H125" s="4"/>
      <c r="I125" s="4"/>
      <c r="J125" s="50"/>
      <c r="K125" s="67"/>
      <c r="L125" s="67"/>
      <c r="M125" s="4"/>
      <c r="N125" s="4"/>
      <c r="O125" s="4"/>
      <c r="P125" s="38"/>
      <c r="Q125" t="str" cm="1">
        <f t="array" ref="Q125">IF($P125="","",_xlfn._xlws.FILTER(LT_LST[Lot],(LT_LST[Client Id.]=$C125)*(LT_LST[Strategy]=$D125)*(LT_LST[DTE/WTE]=$E125)*(LT_LST[Symbol]=$I125)))</f>
        <v/>
      </c>
    </row>
    <row r="126" spans="3:17" x14ac:dyDescent="0.25">
      <c r="C126" t="str">
        <f t="shared" si="1"/>
        <v/>
      </c>
      <c r="E126" s="4"/>
      <c r="F126" s="4"/>
      <c r="G126" s="4"/>
      <c r="H126" s="4"/>
      <c r="I126" s="4"/>
      <c r="J126" s="50"/>
      <c r="K126" s="67"/>
      <c r="L126" s="67"/>
      <c r="M126" s="4"/>
      <c r="N126" s="4"/>
      <c r="O126" s="4"/>
      <c r="P126" s="38"/>
      <c r="Q126" t="str" cm="1">
        <f t="array" ref="Q126">IF($P126="","",_xlfn._xlws.FILTER(LT_LST[Lot],(LT_LST[Client Id.]=$C126)*(LT_LST[Strategy]=$D126)*(LT_LST[DTE/WTE]=$E126)*(LT_LST[Symbol]=$I126)))</f>
        <v/>
      </c>
    </row>
    <row r="127" spans="3:17" x14ac:dyDescent="0.25">
      <c r="C127" t="str">
        <f t="shared" si="1"/>
        <v/>
      </c>
      <c r="E127" s="4"/>
      <c r="F127" s="4"/>
      <c r="G127" s="4"/>
      <c r="H127" s="4"/>
      <c r="I127" s="4"/>
      <c r="J127" s="50"/>
      <c r="K127" s="67"/>
      <c r="L127" s="67"/>
      <c r="M127" s="4"/>
      <c r="N127" s="4"/>
      <c r="O127" s="4"/>
      <c r="P127" s="38"/>
      <c r="Q127" t="str" cm="1">
        <f t="array" ref="Q127">IF($P127="","",_xlfn._xlws.FILTER(LT_LST[Lot],(LT_LST[Client Id.]=$C127)*(LT_LST[Strategy]=$D127)*(LT_LST[DTE/WTE]=$E127)*(LT_LST[Symbol]=$I127)))</f>
        <v/>
      </c>
    </row>
    <row r="128" spans="3:17" x14ac:dyDescent="0.25">
      <c r="C128" t="str">
        <f t="shared" si="1"/>
        <v/>
      </c>
      <c r="E128" s="4"/>
      <c r="F128" s="4"/>
      <c r="G128" s="4"/>
      <c r="H128" s="4"/>
      <c r="I128" s="4"/>
      <c r="J128" s="50"/>
      <c r="K128" s="67"/>
      <c r="L128" s="67"/>
      <c r="M128" s="4"/>
      <c r="N128" s="4"/>
      <c r="O128" s="4"/>
      <c r="P128" s="38"/>
      <c r="Q128" t="str" cm="1">
        <f t="array" ref="Q128">IF($P128="","",_xlfn._xlws.FILTER(LT_LST[Lot],(LT_LST[Client Id.]=$C128)*(LT_LST[Strategy]=$D128)*(LT_LST[DTE/WTE]=$E128)*(LT_LST[Symbol]=$I128)))</f>
        <v/>
      </c>
    </row>
    <row r="129" spans="3:17" x14ac:dyDescent="0.25">
      <c r="C129" t="str">
        <f t="shared" si="1"/>
        <v/>
      </c>
      <c r="E129" s="4"/>
      <c r="F129" s="4"/>
      <c r="G129" s="4"/>
      <c r="H129" s="4"/>
      <c r="I129" s="4"/>
      <c r="J129" s="50"/>
      <c r="K129" s="67"/>
      <c r="L129" s="67"/>
      <c r="M129" s="4"/>
      <c r="N129" s="4"/>
      <c r="O129" s="4"/>
      <c r="P129" s="38"/>
      <c r="Q129" t="str" cm="1">
        <f t="array" ref="Q129">IF($P129="","",_xlfn._xlws.FILTER(LT_LST[Lot],(LT_LST[Client Id.]=$C129)*(LT_LST[Strategy]=$D129)*(LT_LST[DTE/WTE]=$E129)*(LT_LST[Symbol]=$I129)))</f>
        <v/>
      </c>
    </row>
    <row r="130" spans="3:17" x14ac:dyDescent="0.25">
      <c r="C130" t="str">
        <f t="shared" si="1"/>
        <v/>
      </c>
      <c r="E130" s="4"/>
      <c r="F130" s="4"/>
      <c r="G130" s="4"/>
      <c r="H130" s="4"/>
      <c r="I130" s="4"/>
      <c r="J130" s="50"/>
      <c r="K130" s="67"/>
      <c r="L130" s="67"/>
      <c r="M130" s="4"/>
      <c r="N130" s="4"/>
      <c r="O130" s="4"/>
      <c r="P130" s="38"/>
      <c r="Q130" t="str" cm="1">
        <f t="array" ref="Q130">IF($P130="","",_xlfn._xlws.FILTER(LT_LST[Lot],(LT_LST[Client Id.]=$C130)*(LT_LST[Strategy]=$D130)*(LT_LST[DTE/WTE]=$E130)*(LT_LST[Symbol]=$I130)))</f>
        <v/>
      </c>
    </row>
    <row r="131" spans="3:17" x14ac:dyDescent="0.25">
      <c r="C131" t="str">
        <f t="shared" si="1"/>
        <v/>
      </c>
      <c r="E131" s="4"/>
      <c r="F131" s="4"/>
      <c r="G131" s="4"/>
      <c r="H131" s="4"/>
      <c r="I131" s="4"/>
      <c r="J131" s="50"/>
      <c r="K131" s="67"/>
      <c r="L131" s="67"/>
      <c r="M131" s="4"/>
      <c r="N131" s="4"/>
      <c r="O131" s="4"/>
      <c r="P131" s="38"/>
      <c r="Q131" t="str" cm="1">
        <f t="array" ref="Q131">IF($P131="","",_xlfn._xlws.FILTER(LT_LST[Lot],(LT_LST[Client Id.]=$C131)*(LT_LST[Strategy]=$D131)*(LT_LST[DTE/WTE]=$E131)*(LT_LST[Symbol]=$I131)))</f>
        <v/>
      </c>
    </row>
    <row r="132" spans="3:17" x14ac:dyDescent="0.25">
      <c r="C132" t="str">
        <f t="shared" ref="C132:C195" si="2">IF(D132="","",$A$1)</f>
        <v/>
      </c>
      <c r="E132" s="4"/>
      <c r="F132" s="4"/>
      <c r="G132" s="4"/>
      <c r="H132" s="4"/>
      <c r="I132" s="4"/>
      <c r="J132" s="50"/>
      <c r="K132" s="67"/>
      <c r="L132" s="67"/>
      <c r="M132" s="4"/>
      <c r="N132" s="4"/>
      <c r="O132" s="4"/>
      <c r="P132" s="38"/>
      <c r="Q132" t="str" cm="1">
        <f t="array" ref="Q132">IF($P132="","",_xlfn._xlws.FILTER(LT_LST[Lot],(LT_LST[Client Id.]=$C132)*(LT_LST[Strategy]=$D132)*(LT_LST[DTE/WTE]=$E132)*(LT_LST[Symbol]=$I132)))</f>
        <v/>
      </c>
    </row>
    <row r="133" spans="3:17" x14ac:dyDescent="0.25">
      <c r="C133" t="str">
        <f t="shared" si="2"/>
        <v/>
      </c>
      <c r="E133" s="4"/>
      <c r="F133" s="4"/>
      <c r="G133" s="4"/>
      <c r="H133" s="4"/>
      <c r="I133" s="4"/>
      <c r="J133" s="50"/>
      <c r="K133" s="67"/>
      <c r="L133" s="67"/>
      <c r="M133" s="4"/>
      <c r="N133" s="4"/>
      <c r="O133" s="4"/>
      <c r="P133" s="38"/>
      <c r="Q133" t="str" cm="1">
        <f t="array" ref="Q133">IF($P133="","",_xlfn._xlws.FILTER(LT_LST[Lot],(LT_LST[Client Id.]=$C133)*(LT_LST[Strategy]=$D133)*(LT_LST[DTE/WTE]=$E133)*(LT_LST[Symbol]=$I133)))</f>
        <v/>
      </c>
    </row>
    <row r="134" spans="3:17" x14ac:dyDescent="0.25">
      <c r="C134" t="str">
        <f t="shared" si="2"/>
        <v/>
      </c>
      <c r="E134" s="4"/>
      <c r="F134" s="4"/>
      <c r="G134" s="4"/>
      <c r="H134" s="4"/>
      <c r="I134" s="4"/>
      <c r="J134" s="50"/>
      <c r="K134" s="67"/>
      <c r="L134" s="67"/>
      <c r="M134" s="4"/>
      <c r="N134" s="4"/>
      <c r="O134" s="4"/>
      <c r="P134" s="38"/>
      <c r="Q134" t="str" cm="1">
        <f t="array" ref="Q134">IF($P134="","",_xlfn._xlws.FILTER(LT_LST[Lot],(LT_LST[Client Id.]=$C134)*(LT_LST[Strategy]=$D134)*(LT_LST[DTE/WTE]=$E134)*(LT_LST[Symbol]=$I134)))</f>
        <v/>
      </c>
    </row>
    <row r="135" spans="3:17" x14ac:dyDescent="0.25">
      <c r="C135" t="str">
        <f t="shared" si="2"/>
        <v/>
      </c>
      <c r="E135" s="4"/>
      <c r="F135" s="4"/>
      <c r="G135" s="4"/>
      <c r="H135" s="4"/>
      <c r="I135" s="4"/>
      <c r="J135" s="50"/>
      <c r="K135" s="67"/>
      <c r="L135" s="67"/>
      <c r="M135" s="4"/>
      <c r="N135" s="4"/>
      <c r="O135" s="4"/>
      <c r="P135" s="38"/>
      <c r="Q135" t="str" cm="1">
        <f t="array" ref="Q135">IF($P135="","",_xlfn._xlws.FILTER(LT_LST[Lot],(LT_LST[Client Id.]=$C135)*(LT_LST[Strategy]=$D135)*(LT_LST[DTE/WTE]=$E135)*(LT_LST[Symbol]=$I135)))</f>
        <v/>
      </c>
    </row>
    <row r="136" spans="3:17" x14ac:dyDescent="0.25">
      <c r="C136" t="str">
        <f t="shared" si="2"/>
        <v/>
      </c>
      <c r="E136" s="4"/>
      <c r="F136" s="4"/>
      <c r="G136" s="4"/>
      <c r="H136" s="4"/>
      <c r="I136" s="4"/>
      <c r="J136" s="50"/>
      <c r="K136" s="67"/>
      <c r="L136" s="67"/>
      <c r="M136" s="4"/>
      <c r="N136" s="4"/>
      <c r="O136" s="4"/>
      <c r="P136" s="38"/>
      <c r="Q136" t="str" cm="1">
        <f t="array" ref="Q136">IF($P136="","",_xlfn._xlws.FILTER(LT_LST[Lot],(LT_LST[Client Id.]=$C136)*(LT_LST[Strategy]=$D136)*(LT_LST[DTE/WTE]=$E136)*(LT_LST[Symbol]=$I136)))</f>
        <v/>
      </c>
    </row>
    <row r="137" spans="3:17" x14ac:dyDescent="0.25">
      <c r="C137" t="str">
        <f t="shared" si="2"/>
        <v/>
      </c>
      <c r="E137" s="4"/>
      <c r="F137" s="4"/>
      <c r="G137" s="4"/>
      <c r="H137" s="4"/>
      <c r="I137" s="4"/>
      <c r="J137" s="50"/>
      <c r="K137" s="67"/>
      <c r="L137" s="67"/>
      <c r="M137" s="4"/>
      <c r="N137" s="4"/>
      <c r="O137" s="4"/>
      <c r="P137" s="38"/>
      <c r="Q137" t="str" cm="1">
        <f t="array" ref="Q137">IF($P137="","",_xlfn._xlws.FILTER(LT_LST[Lot],(LT_LST[Client Id.]=$C137)*(LT_LST[Strategy]=$D137)*(LT_LST[DTE/WTE]=$E137)*(LT_LST[Symbol]=$I137)))</f>
        <v/>
      </c>
    </row>
    <row r="138" spans="3:17" x14ac:dyDescent="0.25">
      <c r="C138" t="str">
        <f t="shared" si="2"/>
        <v/>
      </c>
      <c r="E138" s="4"/>
      <c r="F138" s="4"/>
      <c r="G138" s="4"/>
      <c r="H138" s="4"/>
      <c r="I138" s="4"/>
      <c r="J138" s="50"/>
      <c r="K138" s="67"/>
      <c r="L138" s="67"/>
      <c r="M138" s="4"/>
      <c r="N138" s="4"/>
      <c r="O138" s="4"/>
      <c r="P138" s="38"/>
      <c r="Q138" t="str" cm="1">
        <f t="array" ref="Q138">IF($P138="","",_xlfn._xlws.FILTER(LT_LST[Lot],(LT_LST[Client Id.]=$C138)*(LT_LST[Strategy]=$D138)*(LT_LST[DTE/WTE]=$E138)*(LT_LST[Symbol]=$I138)))</f>
        <v/>
      </c>
    </row>
    <row r="139" spans="3:17" x14ac:dyDescent="0.25">
      <c r="C139" t="str">
        <f t="shared" si="2"/>
        <v/>
      </c>
      <c r="E139" s="4"/>
      <c r="F139" s="4"/>
      <c r="G139" s="4"/>
      <c r="H139" s="4"/>
      <c r="I139" s="4"/>
      <c r="J139" s="50"/>
      <c r="K139" s="67"/>
      <c r="L139" s="67"/>
      <c r="M139" s="4"/>
      <c r="N139" s="4"/>
      <c r="O139" s="4"/>
      <c r="P139" s="38"/>
      <c r="Q139" t="str" cm="1">
        <f t="array" ref="Q139">IF($P139="","",_xlfn._xlws.FILTER(LT_LST[Lot],(LT_LST[Client Id.]=$C139)*(LT_LST[Strategy]=$D139)*(LT_LST[DTE/WTE]=$E139)*(LT_LST[Symbol]=$I139)))</f>
        <v/>
      </c>
    </row>
    <row r="140" spans="3:17" x14ac:dyDescent="0.25">
      <c r="C140" t="str">
        <f t="shared" si="2"/>
        <v/>
      </c>
      <c r="E140" s="4"/>
      <c r="F140" s="4"/>
      <c r="G140" s="4"/>
      <c r="H140" s="4"/>
      <c r="I140" s="4"/>
      <c r="J140" s="50"/>
      <c r="K140" s="67"/>
      <c r="L140" s="67"/>
      <c r="M140" s="4"/>
      <c r="N140" s="4"/>
      <c r="O140" s="4"/>
      <c r="P140" s="38"/>
      <c r="Q140" t="str" cm="1">
        <f t="array" ref="Q140">IF($P140="","",_xlfn._xlws.FILTER(LT_LST[Lot],(LT_LST[Client Id.]=$C140)*(LT_LST[Strategy]=$D140)*(LT_LST[DTE/WTE]=$E140)*(LT_LST[Symbol]=$I140)))</f>
        <v/>
      </c>
    </row>
    <row r="141" spans="3:17" x14ac:dyDescent="0.25">
      <c r="C141" t="str">
        <f t="shared" si="2"/>
        <v/>
      </c>
      <c r="E141" s="4"/>
      <c r="F141" s="4"/>
      <c r="G141" s="4"/>
      <c r="H141" s="4"/>
      <c r="I141" s="4"/>
      <c r="J141" s="50"/>
      <c r="K141" s="67"/>
      <c r="L141" s="67"/>
      <c r="M141" s="4"/>
      <c r="N141" s="4"/>
      <c r="O141" s="4"/>
      <c r="P141" s="38"/>
      <c r="Q141" t="str" cm="1">
        <f t="array" ref="Q141">IF($P141="","",_xlfn._xlws.FILTER(LT_LST[Lot],(LT_LST[Client Id.]=$C141)*(LT_LST[Strategy]=$D141)*(LT_LST[DTE/WTE]=$E141)*(LT_LST[Symbol]=$I141)))</f>
        <v/>
      </c>
    </row>
    <row r="142" spans="3:17" x14ac:dyDescent="0.25">
      <c r="C142" t="str">
        <f t="shared" si="2"/>
        <v/>
      </c>
      <c r="E142" s="4"/>
      <c r="F142" s="4"/>
      <c r="G142" s="4"/>
      <c r="H142" s="4"/>
      <c r="I142" s="4"/>
      <c r="J142" s="50"/>
      <c r="K142" s="67"/>
      <c r="L142" s="67"/>
      <c r="M142" s="4"/>
      <c r="N142" s="4"/>
      <c r="O142" s="4"/>
      <c r="P142" s="38"/>
      <c r="Q142" t="str" cm="1">
        <f t="array" ref="Q142">IF($P142="","",_xlfn._xlws.FILTER(LT_LST[Lot],(LT_LST[Client Id.]=$C142)*(LT_LST[Strategy]=$D142)*(LT_LST[DTE/WTE]=$E142)*(LT_LST[Symbol]=$I142)))</f>
        <v/>
      </c>
    </row>
    <row r="143" spans="3:17" x14ac:dyDescent="0.25">
      <c r="C143" t="str">
        <f t="shared" si="2"/>
        <v/>
      </c>
      <c r="E143" s="4"/>
      <c r="F143" s="4"/>
      <c r="G143" s="4"/>
      <c r="H143" s="4"/>
      <c r="I143" s="4"/>
      <c r="J143" s="50"/>
      <c r="K143" s="67"/>
      <c r="L143" s="67"/>
      <c r="M143" s="4"/>
      <c r="N143" s="4"/>
      <c r="O143" s="4"/>
      <c r="P143" s="38"/>
      <c r="Q143" t="str" cm="1">
        <f t="array" ref="Q143">IF($P143="","",_xlfn._xlws.FILTER(LT_LST[Lot],(LT_LST[Client Id.]=$C143)*(LT_LST[Strategy]=$D143)*(LT_LST[DTE/WTE]=$E143)*(LT_LST[Symbol]=$I143)))</f>
        <v/>
      </c>
    </row>
    <row r="144" spans="3:17" x14ac:dyDescent="0.25">
      <c r="C144" t="str">
        <f t="shared" si="2"/>
        <v/>
      </c>
      <c r="E144" s="4"/>
      <c r="F144" s="4"/>
      <c r="G144" s="4"/>
      <c r="H144" s="4"/>
      <c r="I144" s="4"/>
      <c r="J144" s="50"/>
      <c r="K144" s="67"/>
      <c r="L144" s="67"/>
      <c r="M144" s="4"/>
      <c r="N144" s="4"/>
      <c r="O144" s="4"/>
      <c r="P144" s="38"/>
      <c r="Q144" t="str" cm="1">
        <f t="array" ref="Q144">IF($P144="","",_xlfn._xlws.FILTER(LT_LST[Lot],(LT_LST[Client Id.]=$C144)*(LT_LST[Strategy]=$D144)*(LT_LST[DTE/WTE]=$E144)*(LT_LST[Symbol]=$I144)))</f>
        <v/>
      </c>
    </row>
    <row r="145" spans="3:17" x14ac:dyDescent="0.25">
      <c r="C145" t="str">
        <f t="shared" si="2"/>
        <v/>
      </c>
      <c r="E145" s="4"/>
      <c r="F145" s="4"/>
      <c r="G145" s="4"/>
      <c r="H145" s="4"/>
      <c r="I145" s="4"/>
      <c r="J145" s="50"/>
      <c r="K145" s="67"/>
      <c r="L145" s="67"/>
      <c r="M145" s="4"/>
      <c r="N145" s="4"/>
      <c r="O145" s="4"/>
      <c r="P145" s="38"/>
      <c r="Q145" t="str" cm="1">
        <f t="array" ref="Q145">IF($P145="","",_xlfn._xlws.FILTER(LT_LST[Lot],(LT_LST[Client Id.]=$C145)*(LT_LST[Strategy]=$D145)*(LT_LST[DTE/WTE]=$E145)*(LT_LST[Symbol]=$I145)))</f>
        <v/>
      </c>
    </row>
    <row r="146" spans="3:17" x14ac:dyDescent="0.25">
      <c r="C146" t="str">
        <f t="shared" si="2"/>
        <v/>
      </c>
      <c r="E146" s="4"/>
      <c r="F146" s="4"/>
      <c r="G146" s="4"/>
      <c r="H146" s="4"/>
      <c r="I146" s="4"/>
      <c r="J146" s="50"/>
      <c r="K146" s="67"/>
      <c r="L146" s="67"/>
      <c r="M146" s="4"/>
      <c r="N146" s="4"/>
      <c r="O146" s="4"/>
      <c r="P146" s="38"/>
      <c r="Q146" t="str" cm="1">
        <f t="array" ref="Q146">IF($P146="","",_xlfn._xlws.FILTER(LT_LST[Lot],(LT_LST[Client Id.]=$C146)*(LT_LST[Strategy]=$D146)*(LT_LST[DTE/WTE]=$E146)*(LT_LST[Symbol]=$I146)))</f>
        <v/>
      </c>
    </row>
    <row r="147" spans="3:17" x14ac:dyDescent="0.25">
      <c r="C147" t="str">
        <f t="shared" si="2"/>
        <v/>
      </c>
      <c r="E147" s="4"/>
      <c r="F147" s="4"/>
      <c r="G147" s="4"/>
      <c r="H147" s="4"/>
      <c r="I147" s="4"/>
      <c r="J147" s="50"/>
      <c r="K147" s="67"/>
      <c r="L147" s="67"/>
      <c r="M147" s="4"/>
      <c r="N147" s="4"/>
      <c r="O147" s="4"/>
      <c r="P147" s="38"/>
      <c r="Q147" t="str" cm="1">
        <f t="array" ref="Q147">IF($P147="","",_xlfn._xlws.FILTER(LT_LST[Lot],(LT_LST[Client Id.]=$C147)*(LT_LST[Strategy]=$D147)*(LT_LST[DTE/WTE]=$E147)*(LT_LST[Symbol]=$I147)))</f>
        <v/>
      </c>
    </row>
    <row r="148" spans="3:17" x14ac:dyDescent="0.25">
      <c r="C148" t="str">
        <f t="shared" si="2"/>
        <v/>
      </c>
      <c r="E148" s="4"/>
      <c r="F148" s="4"/>
      <c r="G148" s="4"/>
      <c r="H148" s="4"/>
      <c r="I148" s="4"/>
      <c r="J148" s="50"/>
      <c r="K148" s="67"/>
      <c r="L148" s="67"/>
      <c r="M148" s="4"/>
      <c r="N148" s="4"/>
      <c r="O148" s="4"/>
      <c r="P148" s="38"/>
      <c r="Q148" t="str" cm="1">
        <f t="array" ref="Q148">IF($P148="","",_xlfn._xlws.FILTER(LT_LST[Lot],(LT_LST[Client Id.]=$C148)*(LT_LST[Strategy]=$D148)*(LT_LST[DTE/WTE]=$E148)*(LT_LST[Symbol]=$I148)))</f>
        <v/>
      </c>
    </row>
    <row r="149" spans="3:17" x14ac:dyDescent="0.25">
      <c r="C149" t="str">
        <f t="shared" si="2"/>
        <v/>
      </c>
      <c r="E149" s="4"/>
      <c r="F149" s="4"/>
      <c r="G149" s="4"/>
      <c r="H149" s="4"/>
      <c r="I149" s="4"/>
      <c r="J149" s="50"/>
      <c r="K149" s="67"/>
      <c r="L149" s="67"/>
      <c r="M149" s="4"/>
      <c r="N149" s="4"/>
      <c r="O149" s="4"/>
      <c r="P149" s="38"/>
      <c r="Q149" t="str" cm="1">
        <f t="array" ref="Q149">IF($P149="","",_xlfn._xlws.FILTER(LT_LST[Lot],(LT_LST[Client Id.]=$C149)*(LT_LST[Strategy]=$D149)*(LT_LST[DTE/WTE]=$E149)*(LT_LST[Symbol]=$I149)))</f>
        <v/>
      </c>
    </row>
    <row r="150" spans="3:17" x14ac:dyDescent="0.25">
      <c r="C150" t="str">
        <f t="shared" si="2"/>
        <v/>
      </c>
      <c r="E150" s="4"/>
      <c r="F150" s="4"/>
      <c r="G150" s="4"/>
      <c r="H150" s="4"/>
      <c r="I150" s="4"/>
      <c r="J150" s="50"/>
      <c r="K150" s="67"/>
      <c r="L150" s="67"/>
      <c r="M150" s="4"/>
      <c r="N150" s="4"/>
      <c r="O150" s="4"/>
      <c r="P150" s="38"/>
      <c r="Q150" t="str" cm="1">
        <f t="array" ref="Q150">IF($P150="","",_xlfn._xlws.FILTER(LT_LST[Lot],(LT_LST[Client Id.]=$C150)*(LT_LST[Strategy]=$D150)*(LT_LST[DTE/WTE]=$E150)*(LT_LST[Symbol]=$I150)))</f>
        <v/>
      </c>
    </row>
    <row r="151" spans="3:17" x14ac:dyDescent="0.25">
      <c r="C151" t="str">
        <f t="shared" si="2"/>
        <v/>
      </c>
      <c r="E151" s="4"/>
      <c r="F151" s="4"/>
      <c r="G151" s="4"/>
      <c r="H151" s="4"/>
      <c r="I151" s="4"/>
      <c r="J151" s="50"/>
      <c r="K151" s="67"/>
      <c r="L151" s="67"/>
      <c r="M151" s="4"/>
      <c r="N151" s="4"/>
      <c r="O151" s="4"/>
      <c r="P151" s="38"/>
      <c r="Q151" t="str" cm="1">
        <f t="array" ref="Q151">IF($P151="","",_xlfn._xlws.FILTER(LT_LST[Lot],(LT_LST[Client Id.]=$C151)*(LT_LST[Strategy]=$D151)*(LT_LST[DTE/WTE]=$E151)*(LT_LST[Symbol]=$I151)))</f>
        <v/>
      </c>
    </row>
    <row r="152" spans="3:17" x14ac:dyDescent="0.25">
      <c r="C152" t="str">
        <f t="shared" si="2"/>
        <v/>
      </c>
      <c r="E152" s="4"/>
      <c r="F152" s="4"/>
      <c r="G152" s="4"/>
      <c r="H152" s="4"/>
      <c r="I152" s="4"/>
      <c r="J152" s="50"/>
      <c r="K152" s="67"/>
      <c r="L152" s="67"/>
      <c r="M152" s="4"/>
      <c r="N152" s="4"/>
      <c r="O152" s="4"/>
      <c r="P152" s="38"/>
      <c r="Q152" t="str" cm="1">
        <f t="array" ref="Q152">IF($P152="","",_xlfn._xlws.FILTER(LT_LST[Lot],(LT_LST[Client Id.]=$C152)*(LT_LST[Strategy]=$D152)*(LT_LST[DTE/WTE]=$E152)*(LT_LST[Symbol]=$I152)))</f>
        <v/>
      </c>
    </row>
    <row r="153" spans="3:17" x14ac:dyDescent="0.25">
      <c r="C153" t="str">
        <f t="shared" si="2"/>
        <v/>
      </c>
      <c r="E153" s="4"/>
      <c r="F153" s="4"/>
      <c r="G153" s="4"/>
      <c r="H153" s="4"/>
      <c r="I153" s="4"/>
      <c r="J153" s="50"/>
      <c r="K153" s="67"/>
      <c r="L153" s="67"/>
      <c r="M153" s="4"/>
      <c r="N153" s="4"/>
      <c r="O153" s="4"/>
      <c r="P153" s="38"/>
      <c r="Q153" t="str" cm="1">
        <f t="array" ref="Q153">IF($P153="","",_xlfn._xlws.FILTER(LT_LST[Lot],(LT_LST[Client Id.]=$C153)*(LT_LST[Strategy]=$D153)*(LT_LST[DTE/WTE]=$E153)*(LT_LST[Symbol]=$I153)))</f>
        <v/>
      </c>
    </row>
    <row r="154" spans="3:17" x14ac:dyDescent="0.25">
      <c r="C154" t="str">
        <f t="shared" si="2"/>
        <v/>
      </c>
      <c r="E154" s="4"/>
      <c r="F154" s="4"/>
      <c r="G154" s="4"/>
      <c r="H154" s="4"/>
      <c r="I154" s="4"/>
      <c r="J154" s="50"/>
      <c r="K154" s="67"/>
      <c r="L154" s="67"/>
      <c r="M154" s="4"/>
      <c r="N154" s="4"/>
      <c r="O154" s="4"/>
      <c r="P154" s="38"/>
      <c r="Q154" t="str" cm="1">
        <f t="array" ref="Q154">IF($P154="","",_xlfn._xlws.FILTER(LT_LST[Lot],(LT_LST[Client Id.]=$C154)*(LT_LST[Strategy]=$D154)*(LT_LST[DTE/WTE]=$E154)*(LT_LST[Symbol]=$I154)))</f>
        <v/>
      </c>
    </row>
    <row r="155" spans="3:17" x14ac:dyDescent="0.25">
      <c r="C155" t="str">
        <f t="shared" si="2"/>
        <v/>
      </c>
      <c r="E155" s="4"/>
      <c r="F155" s="4"/>
      <c r="G155" s="4"/>
      <c r="H155" s="4"/>
      <c r="I155" s="4"/>
      <c r="J155" s="50"/>
      <c r="K155" s="67"/>
      <c r="L155" s="67"/>
      <c r="M155" s="4"/>
      <c r="N155" s="4"/>
      <c r="O155" s="4"/>
      <c r="P155" s="38"/>
      <c r="Q155" t="str" cm="1">
        <f t="array" ref="Q155">IF($P155="","",_xlfn._xlws.FILTER(LT_LST[Lot],(LT_LST[Client Id.]=$C155)*(LT_LST[Strategy]=$D155)*(LT_LST[DTE/WTE]=$E155)*(LT_LST[Symbol]=$I155)))</f>
        <v/>
      </c>
    </row>
    <row r="156" spans="3:17" x14ac:dyDescent="0.25">
      <c r="C156" t="str">
        <f t="shared" si="2"/>
        <v/>
      </c>
      <c r="E156" s="4"/>
      <c r="F156" s="4"/>
      <c r="G156" s="4"/>
      <c r="H156" s="4"/>
      <c r="I156" s="4"/>
      <c r="J156" s="50"/>
      <c r="K156" s="67"/>
      <c r="L156" s="67"/>
      <c r="M156" s="4"/>
      <c r="N156" s="4"/>
      <c r="O156" s="4"/>
      <c r="P156" s="38"/>
      <c r="Q156" t="str" cm="1">
        <f t="array" ref="Q156">IF($P156="","",_xlfn._xlws.FILTER(LT_LST[Lot],(LT_LST[Client Id.]=$C156)*(LT_LST[Strategy]=$D156)*(LT_LST[DTE/WTE]=$E156)*(LT_LST[Symbol]=$I156)))</f>
        <v/>
      </c>
    </row>
    <row r="157" spans="3:17" x14ac:dyDescent="0.25">
      <c r="C157" t="str">
        <f t="shared" si="2"/>
        <v/>
      </c>
      <c r="E157" s="4"/>
      <c r="F157" s="4"/>
      <c r="G157" s="4"/>
      <c r="H157" s="4"/>
      <c r="I157" s="4"/>
      <c r="J157" s="50"/>
      <c r="K157" s="67"/>
      <c r="L157" s="67"/>
      <c r="M157" s="4"/>
      <c r="N157" s="4"/>
      <c r="O157" s="4"/>
      <c r="P157" s="38"/>
      <c r="Q157" t="str" cm="1">
        <f t="array" ref="Q157">IF($P157="","",_xlfn._xlws.FILTER(LT_LST[Lot],(LT_LST[Client Id.]=$C157)*(LT_LST[Strategy]=$D157)*(LT_LST[DTE/WTE]=$E157)*(LT_LST[Symbol]=$I157)))</f>
        <v/>
      </c>
    </row>
    <row r="158" spans="3:17" x14ac:dyDescent="0.25">
      <c r="C158" t="str">
        <f t="shared" si="2"/>
        <v/>
      </c>
      <c r="E158" s="4"/>
      <c r="F158" s="4"/>
      <c r="G158" s="4"/>
      <c r="H158" s="4"/>
      <c r="I158" s="4"/>
      <c r="J158" s="50"/>
      <c r="K158" s="67"/>
      <c r="L158" s="67"/>
      <c r="M158" s="4"/>
      <c r="N158" s="4"/>
      <c r="O158" s="4"/>
      <c r="P158" s="38"/>
      <c r="Q158" t="str" cm="1">
        <f t="array" ref="Q158">IF($P158="","",_xlfn._xlws.FILTER(LT_LST[Lot],(LT_LST[Client Id.]=$C158)*(LT_LST[Strategy]=$D158)*(LT_LST[DTE/WTE]=$E158)*(LT_LST[Symbol]=$I158)))</f>
        <v/>
      </c>
    </row>
    <row r="159" spans="3:17" x14ac:dyDescent="0.25">
      <c r="C159" t="str">
        <f t="shared" si="2"/>
        <v/>
      </c>
      <c r="E159" s="4"/>
      <c r="F159" s="4"/>
      <c r="G159" s="4"/>
      <c r="H159" s="4"/>
      <c r="I159" s="4"/>
      <c r="J159" s="50"/>
      <c r="K159" s="67"/>
      <c r="L159" s="67"/>
      <c r="M159" s="4"/>
      <c r="N159" s="4"/>
      <c r="O159" s="4"/>
      <c r="P159" s="38"/>
      <c r="Q159" t="str" cm="1">
        <f t="array" ref="Q159">IF($P159="","",_xlfn._xlws.FILTER(LT_LST[Lot],(LT_LST[Client Id.]=$C159)*(LT_LST[Strategy]=$D159)*(LT_LST[DTE/WTE]=$E159)*(LT_LST[Symbol]=$I159)))</f>
        <v/>
      </c>
    </row>
    <row r="160" spans="3:17" x14ac:dyDescent="0.25">
      <c r="C160" t="str">
        <f t="shared" si="2"/>
        <v/>
      </c>
      <c r="E160" s="4"/>
      <c r="F160" s="4"/>
      <c r="G160" s="4"/>
      <c r="H160" s="4"/>
      <c r="I160" s="4"/>
      <c r="J160" s="50"/>
      <c r="K160" s="67"/>
      <c r="L160" s="67"/>
      <c r="M160" s="4"/>
      <c r="N160" s="4"/>
      <c r="O160" s="4"/>
      <c r="P160" s="38"/>
      <c r="Q160" t="str" cm="1">
        <f t="array" ref="Q160">IF($P160="","",_xlfn._xlws.FILTER(LT_LST[Lot],(LT_LST[Client Id.]=$C160)*(LT_LST[Strategy]=$D160)*(LT_LST[DTE/WTE]=$E160)*(LT_LST[Symbol]=$I160)))</f>
        <v/>
      </c>
    </row>
    <row r="161" spans="3:17" x14ac:dyDescent="0.25">
      <c r="C161" t="str">
        <f t="shared" si="2"/>
        <v/>
      </c>
      <c r="E161" s="4"/>
      <c r="F161" s="4"/>
      <c r="G161" s="4"/>
      <c r="H161" s="4"/>
      <c r="I161" s="4"/>
      <c r="J161" s="50"/>
      <c r="K161" s="67"/>
      <c r="L161" s="67"/>
      <c r="M161" s="4"/>
      <c r="N161" s="4"/>
      <c r="O161" s="4"/>
      <c r="P161" s="38"/>
      <c r="Q161" t="str" cm="1">
        <f t="array" ref="Q161">IF($P161="","",_xlfn._xlws.FILTER(LT_LST[Lot],(LT_LST[Client Id.]=$C161)*(LT_LST[Strategy]=$D161)*(LT_LST[DTE/WTE]=$E161)*(LT_LST[Symbol]=$I161)))</f>
        <v/>
      </c>
    </row>
    <row r="162" spans="3:17" x14ac:dyDescent="0.25">
      <c r="C162" t="str">
        <f t="shared" si="2"/>
        <v/>
      </c>
      <c r="E162" s="4"/>
      <c r="F162" s="4"/>
      <c r="G162" s="4"/>
      <c r="H162" s="4"/>
      <c r="I162" s="4"/>
      <c r="J162" s="50"/>
      <c r="K162" s="67"/>
      <c r="L162" s="67"/>
      <c r="M162" s="4"/>
      <c r="N162" s="4"/>
      <c r="O162" s="4"/>
      <c r="P162" s="38"/>
      <c r="Q162" t="str" cm="1">
        <f t="array" ref="Q162">IF($P162="","",_xlfn._xlws.FILTER(LT_LST[Lot],(LT_LST[Client Id.]=$C162)*(LT_LST[Strategy]=$D162)*(LT_LST[DTE/WTE]=$E162)*(LT_LST[Symbol]=$I162)))</f>
        <v/>
      </c>
    </row>
    <row r="163" spans="3:17" x14ac:dyDescent="0.25">
      <c r="C163" t="str">
        <f t="shared" si="2"/>
        <v/>
      </c>
      <c r="E163" s="4"/>
      <c r="F163" s="4"/>
      <c r="G163" s="4"/>
      <c r="H163" s="4"/>
      <c r="I163" s="4"/>
      <c r="J163" s="50"/>
      <c r="K163" s="67"/>
      <c r="L163" s="67"/>
      <c r="M163" s="4"/>
      <c r="N163" s="4"/>
      <c r="O163" s="4"/>
      <c r="P163" s="38"/>
      <c r="Q163" t="str" cm="1">
        <f t="array" ref="Q163">IF($P163="","",_xlfn._xlws.FILTER(LT_LST[Lot],(LT_LST[Client Id.]=$C163)*(LT_LST[Strategy]=$D163)*(LT_LST[DTE/WTE]=$E163)*(LT_LST[Symbol]=$I163)))</f>
        <v/>
      </c>
    </row>
    <row r="164" spans="3:17" x14ac:dyDescent="0.25">
      <c r="C164" t="str">
        <f t="shared" si="2"/>
        <v/>
      </c>
      <c r="E164" s="4"/>
      <c r="F164" s="4"/>
      <c r="G164" s="4"/>
      <c r="H164" s="4"/>
      <c r="I164" s="4"/>
      <c r="J164" s="50"/>
      <c r="K164" s="67"/>
      <c r="L164" s="67"/>
      <c r="M164" s="4"/>
      <c r="N164" s="4"/>
      <c r="O164" s="4"/>
      <c r="P164" s="38"/>
      <c r="Q164" t="str" cm="1">
        <f t="array" ref="Q164">IF($P164="","",_xlfn._xlws.FILTER(LT_LST[Lot],(LT_LST[Client Id.]=$C164)*(LT_LST[Strategy]=$D164)*(LT_LST[DTE/WTE]=$E164)*(LT_LST[Symbol]=$I164)))</f>
        <v/>
      </c>
    </row>
    <row r="165" spans="3:17" x14ac:dyDescent="0.25">
      <c r="C165" t="str">
        <f t="shared" si="2"/>
        <v/>
      </c>
      <c r="E165" s="4"/>
      <c r="F165" s="4"/>
      <c r="G165" s="4"/>
      <c r="H165" s="4"/>
      <c r="I165" s="4"/>
      <c r="J165" s="50"/>
      <c r="K165" s="67"/>
      <c r="L165" s="67"/>
      <c r="M165" s="4"/>
      <c r="N165" s="4"/>
      <c r="O165" s="4"/>
      <c r="P165" s="38"/>
      <c r="Q165" t="str" cm="1">
        <f t="array" ref="Q165">IF($P165="","",_xlfn._xlws.FILTER(LT_LST[Lot],(LT_LST[Client Id.]=$C165)*(LT_LST[Strategy]=$D165)*(LT_LST[DTE/WTE]=$E165)*(LT_LST[Symbol]=$I165)))</f>
        <v/>
      </c>
    </row>
    <row r="166" spans="3:17" x14ac:dyDescent="0.25">
      <c r="C166" t="str">
        <f t="shared" si="2"/>
        <v/>
      </c>
      <c r="E166" s="4"/>
      <c r="F166" s="4"/>
      <c r="G166" s="4"/>
      <c r="H166" s="4"/>
      <c r="I166" s="4"/>
      <c r="J166" s="50"/>
      <c r="K166" s="67"/>
      <c r="L166" s="67"/>
      <c r="M166" s="4"/>
      <c r="N166" s="4"/>
      <c r="O166" s="4"/>
      <c r="P166" s="38"/>
      <c r="Q166" t="str" cm="1">
        <f t="array" ref="Q166">IF($P166="","",_xlfn._xlws.FILTER(LT_LST[Lot],(LT_LST[Client Id.]=$C166)*(LT_LST[Strategy]=$D166)*(LT_LST[DTE/WTE]=$E166)*(LT_LST[Symbol]=$I166)))</f>
        <v/>
      </c>
    </row>
    <row r="167" spans="3:17" x14ac:dyDescent="0.25">
      <c r="C167" t="str">
        <f t="shared" si="2"/>
        <v/>
      </c>
      <c r="E167" s="4"/>
      <c r="F167" s="4"/>
      <c r="G167" s="4"/>
      <c r="H167" s="4"/>
      <c r="I167" s="4"/>
      <c r="J167" s="50"/>
      <c r="K167" s="67"/>
      <c r="L167" s="67"/>
      <c r="M167" s="4"/>
      <c r="N167" s="4"/>
      <c r="O167" s="4"/>
      <c r="P167" s="38"/>
      <c r="Q167" t="str" cm="1">
        <f t="array" ref="Q167">IF($P167="","",_xlfn._xlws.FILTER(LT_LST[Lot],(LT_LST[Client Id.]=$C167)*(LT_LST[Strategy]=$D167)*(LT_LST[DTE/WTE]=$E167)*(LT_LST[Symbol]=$I167)))</f>
        <v/>
      </c>
    </row>
    <row r="168" spans="3:17" x14ac:dyDescent="0.25">
      <c r="C168" t="str">
        <f t="shared" si="2"/>
        <v/>
      </c>
      <c r="E168" s="4"/>
      <c r="F168" s="4"/>
      <c r="G168" s="4"/>
      <c r="H168" s="4"/>
      <c r="I168" s="4"/>
      <c r="J168" s="50"/>
      <c r="K168" s="67"/>
      <c r="L168" s="67"/>
      <c r="M168" s="4"/>
      <c r="N168" s="4"/>
      <c r="O168" s="4"/>
      <c r="P168" s="38"/>
      <c r="Q168" t="str" cm="1">
        <f t="array" ref="Q168">IF($P168="","",_xlfn._xlws.FILTER(LT_LST[Lot],(LT_LST[Client Id.]=$C168)*(LT_LST[Strategy]=$D168)*(LT_LST[DTE/WTE]=$E168)*(LT_LST[Symbol]=$I168)))</f>
        <v/>
      </c>
    </row>
    <row r="169" spans="3:17" x14ac:dyDescent="0.25">
      <c r="C169" t="str">
        <f t="shared" si="2"/>
        <v/>
      </c>
      <c r="E169" s="4"/>
      <c r="F169" s="4"/>
      <c r="G169" s="4"/>
      <c r="H169" s="4"/>
      <c r="I169" s="4"/>
      <c r="J169" s="50"/>
      <c r="K169" s="67"/>
      <c r="L169" s="67"/>
      <c r="M169" s="4"/>
      <c r="N169" s="4"/>
      <c r="O169" s="4"/>
      <c r="P169" s="38"/>
      <c r="Q169" t="str" cm="1">
        <f t="array" ref="Q169">IF($P169="","",_xlfn._xlws.FILTER(LT_LST[Lot],(LT_LST[Client Id.]=$C169)*(LT_LST[Strategy]=$D169)*(LT_LST[DTE/WTE]=$E169)*(LT_LST[Symbol]=$I169)))</f>
        <v/>
      </c>
    </row>
    <row r="170" spans="3:17" x14ac:dyDescent="0.25">
      <c r="C170" t="str">
        <f t="shared" si="2"/>
        <v/>
      </c>
      <c r="E170" s="4"/>
      <c r="F170" s="4"/>
      <c r="G170" s="4"/>
      <c r="H170" s="4"/>
      <c r="I170" s="4"/>
      <c r="J170" s="50"/>
      <c r="K170" s="67"/>
      <c r="L170" s="67"/>
      <c r="M170" s="4"/>
      <c r="N170" s="4"/>
      <c r="O170" s="4"/>
      <c r="P170" s="38"/>
      <c r="Q170" t="str" cm="1">
        <f t="array" ref="Q170">IF($P170="","",_xlfn._xlws.FILTER(LT_LST[Lot],(LT_LST[Client Id.]=$C170)*(LT_LST[Strategy]=$D170)*(LT_LST[DTE/WTE]=$E170)*(LT_LST[Symbol]=$I170)))</f>
        <v/>
      </c>
    </row>
    <row r="171" spans="3:17" x14ac:dyDescent="0.25">
      <c r="C171" t="str">
        <f t="shared" si="2"/>
        <v/>
      </c>
      <c r="E171" s="4"/>
      <c r="F171" s="4"/>
      <c r="G171" s="4"/>
      <c r="H171" s="4"/>
      <c r="I171" s="4"/>
      <c r="J171" s="50"/>
      <c r="K171" s="67"/>
      <c r="L171" s="67"/>
      <c r="M171" s="4"/>
      <c r="N171" s="4"/>
      <c r="O171" s="4"/>
      <c r="P171" s="38"/>
      <c r="Q171" t="str" cm="1">
        <f t="array" ref="Q171">IF($P171="","",_xlfn._xlws.FILTER(LT_LST[Lot],(LT_LST[Client Id.]=$C171)*(LT_LST[Strategy]=$D171)*(LT_LST[DTE/WTE]=$E171)*(LT_LST[Symbol]=$I171)))</f>
        <v/>
      </c>
    </row>
    <row r="172" spans="3:17" x14ac:dyDescent="0.25">
      <c r="C172" t="str">
        <f t="shared" si="2"/>
        <v/>
      </c>
      <c r="E172" s="4"/>
      <c r="F172" s="4"/>
      <c r="G172" s="4"/>
      <c r="H172" s="4"/>
      <c r="I172" s="4"/>
      <c r="J172" s="50"/>
      <c r="K172" s="67"/>
      <c r="L172" s="67"/>
      <c r="M172" s="4"/>
      <c r="N172" s="4"/>
      <c r="O172" s="4"/>
      <c r="P172" s="38"/>
      <c r="Q172" t="str" cm="1">
        <f t="array" ref="Q172">IF($P172="","",_xlfn._xlws.FILTER(LT_LST[Lot],(LT_LST[Client Id.]=$C172)*(LT_LST[Strategy]=$D172)*(LT_LST[DTE/WTE]=$E172)*(LT_LST[Symbol]=$I172)))</f>
        <v/>
      </c>
    </row>
    <row r="173" spans="3:17" x14ac:dyDescent="0.25">
      <c r="C173" t="str">
        <f t="shared" si="2"/>
        <v/>
      </c>
      <c r="E173" s="4"/>
      <c r="F173" s="4"/>
      <c r="G173" s="4"/>
      <c r="H173" s="4"/>
      <c r="I173" s="4"/>
      <c r="J173" s="50"/>
      <c r="K173" s="67"/>
      <c r="L173" s="67"/>
      <c r="M173" s="4"/>
      <c r="N173" s="4"/>
      <c r="O173" s="4"/>
      <c r="P173" s="38"/>
      <c r="Q173" t="str" cm="1">
        <f t="array" ref="Q173">IF($P173="","",_xlfn._xlws.FILTER(LT_LST[Lot],(LT_LST[Client Id.]=$C173)*(LT_LST[Strategy]=$D173)*(LT_LST[DTE/WTE]=$E173)*(LT_LST[Symbol]=$I173)))</f>
        <v/>
      </c>
    </row>
    <row r="174" spans="3:17" x14ac:dyDescent="0.25">
      <c r="C174" t="str">
        <f t="shared" si="2"/>
        <v/>
      </c>
      <c r="E174" s="4"/>
      <c r="F174" s="4"/>
      <c r="G174" s="4"/>
      <c r="H174" s="4"/>
      <c r="I174" s="4"/>
      <c r="J174" s="50"/>
      <c r="K174" s="67"/>
      <c r="L174" s="67"/>
      <c r="M174" s="4"/>
      <c r="N174" s="4"/>
      <c r="O174" s="4"/>
      <c r="P174" s="38"/>
      <c r="Q174" t="str" cm="1">
        <f t="array" ref="Q174">IF($P174="","",_xlfn._xlws.FILTER(LT_LST[Lot],(LT_LST[Client Id.]=$C174)*(LT_LST[Strategy]=$D174)*(LT_LST[DTE/WTE]=$E174)*(LT_LST[Symbol]=$I174)))</f>
        <v/>
      </c>
    </row>
    <row r="175" spans="3:17" x14ac:dyDescent="0.25">
      <c r="C175" t="str">
        <f t="shared" si="2"/>
        <v/>
      </c>
      <c r="E175" s="4"/>
      <c r="F175" s="4"/>
      <c r="G175" s="4"/>
      <c r="H175" s="4"/>
      <c r="I175" s="4"/>
      <c r="J175" s="50"/>
      <c r="K175" s="67"/>
      <c r="L175" s="67"/>
      <c r="M175" s="4"/>
      <c r="N175" s="4"/>
      <c r="O175" s="4"/>
      <c r="P175" s="38"/>
      <c r="Q175" t="str" cm="1">
        <f t="array" ref="Q175">IF($P175="","",_xlfn._xlws.FILTER(LT_LST[Lot],(LT_LST[Client Id.]=$C175)*(LT_LST[Strategy]=$D175)*(LT_LST[DTE/WTE]=$E175)*(LT_LST[Symbol]=$I175)))</f>
        <v/>
      </c>
    </row>
    <row r="176" spans="3:17" x14ac:dyDescent="0.25">
      <c r="C176" t="str">
        <f t="shared" si="2"/>
        <v/>
      </c>
      <c r="E176" s="4"/>
      <c r="F176" s="4"/>
      <c r="G176" s="4"/>
      <c r="H176" s="4"/>
      <c r="I176" s="4"/>
      <c r="J176" s="50"/>
      <c r="K176" s="67"/>
      <c r="L176" s="67"/>
      <c r="M176" s="4"/>
      <c r="N176" s="4"/>
      <c r="O176" s="4"/>
      <c r="P176" s="38"/>
      <c r="Q176" t="str" cm="1">
        <f t="array" ref="Q176">IF($P176="","",_xlfn._xlws.FILTER(LT_LST[Lot],(LT_LST[Client Id.]=$C176)*(LT_LST[Strategy]=$D176)*(LT_LST[DTE/WTE]=$E176)*(LT_LST[Symbol]=$I176)))</f>
        <v/>
      </c>
    </row>
    <row r="177" spans="3:17" x14ac:dyDescent="0.25">
      <c r="C177" t="str">
        <f t="shared" si="2"/>
        <v/>
      </c>
      <c r="E177" s="4"/>
      <c r="F177" s="4"/>
      <c r="G177" s="4"/>
      <c r="H177" s="4"/>
      <c r="I177" s="4"/>
      <c r="J177" s="50"/>
      <c r="K177" s="67"/>
      <c r="L177" s="67"/>
      <c r="M177" s="4"/>
      <c r="N177" s="4"/>
      <c r="O177" s="4"/>
      <c r="P177" s="38"/>
      <c r="Q177" t="str" cm="1">
        <f t="array" ref="Q177">IF($P177="","",_xlfn._xlws.FILTER(LT_LST[Lot],(LT_LST[Client Id.]=$C177)*(LT_LST[Strategy]=$D177)*(LT_LST[DTE/WTE]=$E177)*(LT_LST[Symbol]=$I177)))</f>
        <v/>
      </c>
    </row>
    <row r="178" spans="3:17" x14ac:dyDescent="0.25">
      <c r="C178" t="str">
        <f t="shared" si="2"/>
        <v/>
      </c>
      <c r="E178" s="4"/>
      <c r="F178" s="4"/>
      <c r="G178" s="4"/>
      <c r="H178" s="4"/>
      <c r="I178" s="4"/>
      <c r="J178" s="50"/>
      <c r="K178" s="67"/>
      <c r="L178" s="67"/>
      <c r="M178" s="4"/>
      <c r="N178" s="4"/>
      <c r="O178" s="4"/>
      <c r="P178" s="38"/>
      <c r="Q178" t="str" cm="1">
        <f t="array" ref="Q178">IF($P178="","",_xlfn._xlws.FILTER(LT_LST[Lot],(LT_LST[Client Id.]=$C178)*(LT_LST[Strategy]=$D178)*(LT_LST[DTE/WTE]=$E178)*(LT_LST[Symbol]=$I178)))</f>
        <v/>
      </c>
    </row>
    <row r="179" spans="3:17" x14ac:dyDescent="0.25">
      <c r="C179" t="str">
        <f t="shared" si="2"/>
        <v/>
      </c>
      <c r="E179" s="4"/>
      <c r="F179" s="4"/>
      <c r="G179" s="4"/>
      <c r="H179" s="4"/>
      <c r="I179" s="4"/>
      <c r="J179" s="50"/>
      <c r="K179" s="67"/>
      <c r="L179" s="67"/>
      <c r="M179" s="4"/>
      <c r="N179" s="4"/>
      <c r="O179" s="4"/>
      <c r="P179" s="38"/>
      <c r="Q179" t="str" cm="1">
        <f t="array" ref="Q179">IF($P179="","",_xlfn._xlws.FILTER(LT_LST[Lot],(LT_LST[Client Id.]=$C179)*(LT_LST[Strategy]=$D179)*(LT_LST[DTE/WTE]=$E179)*(LT_LST[Symbol]=$I179)))</f>
        <v/>
      </c>
    </row>
    <row r="180" spans="3:17" x14ac:dyDescent="0.25">
      <c r="C180" t="str">
        <f t="shared" si="2"/>
        <v/>
      </c>
      <c r="E180" s="4"/>
      <c r="F180" s="4"/>
      <c r="G180" s="4"/>
      <c r="H180" s="4"/>
      <c r="I180" s="4"/>
      <c r="J180" s="50"/>
      <c r="K180" s="67"/>
      <c r="L180" s="67"/>
      <c r="M180" s="4"/>
      <c r="N180" s="4"/>
      <c r="O180" s="4"/>
      <c r="P180" s="38"/>
      <c r="Q180" t="str" cm="1">
        <f t="array" ref="Q180">IF($P180="","",_xlfn._xlws.FILTER(LT_LST[Lot],(LT_LST[Client Id.]=$C180)*(LT_LST[Strategy]=$D180)*(LT_LST[DTE/WTE]=$E180)*(LT_LST[Symbol]=$I180)))</f>
        <v/>
      </c>
    </row>
    <row r="181" spans="3:17" x14ac:dyDescent="0.25">
      <c r="C181" t="str">
        <f t="shared" si="2"/>
        <v/>
      </c>
      <c r="E181" s="4"/>
      <c r="F181" s="4"/>
      <c r="G181" s="4"/>
      <c r="H181" s="4"/>
      <c r="I181" s="4"/>
      <c r="J181" s="50"/>
      <c r="K181" s="67"/>
      <c r="L181" s="67"/>
      <c r="M181" s="4"/>
      <c r="N181" s="4"/>
      <c r="O181" s="4"/>
      <c r="P181" s="38"/>
      <c r="Q181" t="str" cm="1">
        <f t="array" ref="Q181">IF($P181="","",_xlfn._xlws.FILTER(LT_LST[Lot],(LT_LST[Client Id.]=$C181)*(LT_LST[Strategy]=$D181)*(LT_LST[DTE/WTE]=$E181)*(LT_LST[Symbol]=$I181)))</f>
        <v/>
      </c>
    </row>
    <row r="182" spans="3:17" x14ac:dyDescent="0.25">
      <c r="C182" t="str">
        <f t="shared" si="2"/>
        <v/>
      </c>
      <c r="E182" s="4"/>
      <c r="F182" s="4"/>
      <c r="G182" s="4"/>
      <c r="H182" s="4"/>
      <c r="I182" s="4"/>
      <c r="J182" s="50"/>
      <c r="K182" s="67"/>
      <c r="L182" s="67"/>
      <c r="M182" s="4"/>
      <c r="N182" s="4"/>
      <c r="O182" s="4"/>
      <c r="P182" s="38"/>
      <c r="Q182" t="str" cm="1">
        <f t="array" ref="Q182">IF($P182="","",_xlfn._xlws.FILTER(LT_LST[Lot],(LT_LST[Client Id.]=$C182)*(LT_LST[Strategy]=$D182)*(LT_LST[DTE/WTE]=$E182)*(LT_LST[Symbol]=$I182)))</f>
        <v/>
      </c>
    </row>
    <row r="183" spans="3:17" x14ac:dyDescent="0.25">
      <c r="C183" t="str">
        <f t="shared" si="2"/>
        <v/>
      </c>
      <c r="E183" s="4"/>
      <c r="F183" s="4"/>
      <c r="G183" s="4"/>
      <c r="H183" s="4"/>
      <c r="I183" s="4"/>
      <c r="J183" s="50"/>
      <c r="K183" s="67"/>
      <c r="L183" s="67"/>
      <c r="M183" s="4"/>
      <c r="N183" s="4"/>
      <c r="O183" s="4"/>
      <c r="P183" s="38"/>
      <c r="Q183" t="str" cm="1">
        <f t="array" ref="Q183">IF($P183="","",_xlfn._xlws.FILTER(LT_LST[Lot],(LT_LST[Client Id.]=$C183)*(LT_LST[Strategy]=$D183)*(LT_LST[DTE/WTE]=$E183)*(LT_LST[Symbol]=$I183)))</f>
        <v/>
      </c>
    </row>
    <row r="184" spans="3:17" x14ac:dyDescent="0.25">
      <c r="C184" t="str">
        <f t="shared" si="2"/>
        <v/>
      </c>
      <c r="E184" s="4"/>
      <c r="F184" s="4"/>
      <c r="G184" s="4"/>
      <c r="H184" s="4"/>
      <c r="I184" s="4"/>
      <c r="J184" s="50"/>
      <c r="K184" s="67"/>
      <c r="L184" s="67"/>
      <c r="M184" s="4"/>
      <c r="N184" s="4"/>
      <c r="O184" s="4"/>
      <c r="P184" s="38"/>
      <c r="Q184" t="str" cm="1">
        <f t="array" ref="Q184">IF($P184="","",_xlfn._xlws.FILTER(LT_LST[Lot],(LT_LST[Client Id.]=$C184)*(LT_LST[Strategy]=$D184)*(LT_LST[DTE/WTE]=$E184)*(LT_LST[Symbol]=$I184)))</f>
        <v/>
      </c>
    </row>
    <row r="185" spans="3:17" x14ac:dyDescent="0.25">
      <c r="C185" t="str">
        <f t="shared" si="2"/>
        <v/>
      </c>
      <c r="E185" s="4"/>
      <c r="F185" s="4"/>
      <c r="G185" s="4"/>
      <c r="H185" s="4"/>
      <c r="I185" s="4"/>
      <c r="J185" s="50"/>
      <c r="K185" s="67"/>
      <c r="L185" s="67"/>
      <c r="M185" s="4"/>
      <c r="N185" s="4"/>
      <c r="O185" s="4"/>
      <c r="P185" s="38"/>
      <c r="Q185" t="str" cm="1">
        <f t="array" ref="Q185">IF($P185="","",_xlfn._xlws.FILTER(LT_LST[Lot],(LT_LST[Client Id.]=$C185)*(LT_LST[Strategy]=$D185)*(LT_LST[DTE/WTE]=$E185)*(LT_LST[Symbol]=$I185)))</f>
        <v/>
      </c>
    </row>
    <row r="186" spans="3:17" x14ac:dyDescent="0.25">
      <c r="C186" t="str">
        <f t="shared" si="2"/>
        <v/>
      </c>
      <c r="E186" s="4"/>
      <c r="F186" s="4"/>
      <c r="G186" s="4"/>
      <c r="H186" s="4"/>
      <c r="I186" s="4"/>
      <c r="J186" s="50"/>
      <c r="K186" s="67"/>
      <c r="L186" s="67"/>
      <c r="M186" s="4"/>
      <c r="N186" s="4"/>
      <c r="O186" s="4"/>
      <c r="P186" s="38"/>
      <c r="Q186" t="str" cm="1">
        <f t="array" ref="Q186">IF($P186="","",_xlfn._xlws.FILTER(LT_LST[Lot],(LT_LST[Client Id.]=$C186)*(LT_LST[Strategy]=$D186)*(LT_LST[DTE/WTE]=$E186)*(LT_LST[Symbol]=$I186)))</f>
        <v/>
      </c>
    </row>
    <row r="187" spans="3:17" x14ac:dyDescent="0.25">
      <c r="C187" t="str">
        <f t="shared" si="2"/>
        <v/>
      </c>
      <c r="E187" s="4"/>
      <c r="F187" s="4"/>
      <c r="G187" s="4"/>
      <c r="H187" s="4"/>
      <c r="I187" s="4"/>
      <c r="J187" s="50"/>
      <c r="K187" s="67"/>
      <c r="L187" s="67"/>
      <c r="M187" s="4"/>
      <c r="N187" s="4"/>
      <c r="O187" s="4"/>
      <c r="P187" s="38"/>
      <c r="Q187" t="str" cm="1">
        <f t="array" ref="Q187">IF($P187="","",_xlfn._xlws.FILTER(LT_LST[Lot],(LT_LST[Client Id.]=$C187)*(LT_LST[Strategy]=$D187)*(LT_LST[DTE/WTE]=$E187)*(LT_LST[Symbol]=$I187)))</f>
        <v/>
      </c>
    </row>
    <row r="188" spans="3:17" x14ac:dyDescent="0.25">
      <c r="C188" t="str">
        <f t="shared" si="2"/>
        <v/>
      </c>
      <c r="E188" s="4"/>
      <c r="F188" s="4"/>
      <c r="G188" s="4"/>
      <c r="H188" s="4"/>
      <c r="I188" s="4"/>
      <c r="J188" s="50"/>
      <c r="K188" s="67"/>
      <c r="L188" s="67"/>
      <c r="M188" s="4"/>
      <c r="N188" s="4"/>
      <c r="O188" s="4"/>
      <c r="P188" s="38"/>
      <c r="Q188" t="str" cm="1">
        <f t="array" ref="Q188">IF($P188="","",_xlfn._xlws.FILTER(LT_LST[Lot],(LT_LST[Client Id.]=$C188)*(LT_LST[Strategy]=$D188)*(LT_LST[DTE/WTE]=$E188)*(LT_LST[Symbol]=$I188)))</f>
        <v/>
      </c>
    </row>
    <row r="189" spans="3:17" x14ac:dyDescent="0.25">
      <c r="C189" t="str">
        <f t="shared" si="2"/>
        <v/>
      </c>
      <c r="E189" s="4"/>
      <c r="F189" s="4"/>
      <c r="G189" s="4"/>
      <c r="H189" s="4"/>
      <c r="I189" s="4"/>
      <c r="J189" s="50"/>
      <c r="K189" s="67"/>
      <c r="L189" s="67"/>
      <c r="M189" s="4"/>
      <c r="N189" s="4"/>
      <c r="O189" s="4"/>
      <c r="P189" s="38"/>
      <c r="Q189" t="str" cm="1">
        <f t="array" ref="Q189">IF($P189="","",_xlfn._xlws.FILTER(LT_LST[Lot],(LT_LST[Client Id.]=$C189)*(LT_LST[Strategy]=$D189)*(LT_LST[DTE/WTE]=$E189)*(LT_LST[Symbol]=$I189)))</f>
        <v/>
      </c>
    </row>
    <row r="190" spans="3:17" x14ac:dyDescent="0.25">
      <c r="C190" t="str">
        <f t="shared" si="2"/>
        <v/>
      </c>
      <c r="E190" s="4"/>
      <c r="F190" s="4"/>
      <c r="G190" s="4"/>
      <c r="H190" s="4"/>
      <c r="I190" s="4"/>
      <c r="J190" s="50"/>
      <c r="K190" s="67"/>
      <c r="L190" s="67"/>
      <c r="M190" s="4"/>
      <c r="N190" s="4"/>
      <c r="O190" s="4"/>
      <c r="P190" s="38"/>
      <c r="Q190" t="str" cm="1">
        <f t="array" ref="Q190">IF($P190="","",_xlfn._xlws.FILTER(LT_LST[Lot],(LT_LST[Client Id.]=$C190)*(LT_LST[Strategy]=$D190)*(LT_LST[DTE/WTE]=$E190)*(LT_LST[Symbol]=$I190)))</f>
        <v/>
      </c>
    </row>
    <row r="191" spans="3:17" x14ac:dyDescent="0.25">
      <c r="C191" t="str">
        <f t="shared" si="2"/>
        <v/>
      </c>
      <c r="E191" s="4"/>
      <c r="F191" s="4"/>
      <c r="G191" s="4"/>
      <c r="H191" s="4"/>
      <c r="I191" s="4"/>
      <c r="J191" s="50"/>
      <c r="K191" s="67"/>
      <c r="L191" s="67"/>
      <c r="M191" s="4"/>
      <c r="N191" s="4"/>
      <c r="O191" s="4"/>
      <c r="P191" s="38"/>
      <c r="Q191" t="str" cm="1">
        <f t="array" ref="Q191">IF($P191="","",_xlfn._xlws.FILTER(LT_LST[Lot],(LT_LST[Client Id.]=$C191)*(LT_LST[Strategy]=$D191)*(LT_LST[DTE/WTE]=$E191)*(LT_LST[Symbol]=$I191)))</f>
        <v/>
      </c>
    </row>
    <row r="192" spans="3:17" x14ac:dyDescent="0.25">
      <c r="C192" t="str">
        <f t="shared" si="2"/>
        <v/>
      </c>
      <c r="E192" s="4"/>
      <c r="F192" s="4"/>
      <c r="G192" s="4"/>
      <c r="H192" s="4"/>
      <c r="I192" s="4"/>
      <c r="J192" s="50"/>
      <c r="K192" s="67"/>
      <c r="L192" s="67"/>
      <c r="M192" s="4"/>
      <c r="N192" s="4"/>
      <c r="O192" s="4"/>
      <c r="P192" s="38"/>
      <c r="Q192" t="str" cm="1">
        <f t="array" ref="Q192">IF($P192="","",_xlfn._xlws.FILTER(LT_LST[Lot],(LT_LST[Client Id.]=$C192)*(LT_LST[Strategy]=$D192)*(LT_LST[DTE/WTE]=$E192)*(LT_LST[Symbol]=$I192)))</f>
        <v/>
      </c>
    </row>
    <row r="193" spans="3:17" x14ac:dyDescent="0.25">
      <c r="C193" t="str">
        <f t="shared" si="2"/>
        <v/>
      </c>
      <c r="E193" s="4"/>
      <c r="F193" s="4"/>
      <c r="G193" s="4"/>
      <c r="H193" s="4"/>
      <c r="I193" s="4"/>
      <c r="J193" s="50"/>
      <c r="K193" s="67"/>
      <c r="L193" s="67"/>
      <c r="M193" s="4"/>
      <c r="N193" s="4"/>
      <c r="O193" s="4"/>
      <c r="P193" s="38"/>
      <c r="Q193" t="str" cm="1">
        <f t="array" ref="Q193">IF($P193="","",_xlfn._xlws.FILTER(LT_LST[Lot],(LT_LST[Client Id.]=$C193)*(LT_LST[Strategy]=$D193)*(LT_LST[DTE/WTE]=$E193)*(LT_LST[Symbol]=$I193)))</f>
        <v/>
      </c>
    </row>
    <row r="194" spans="3:17" x14ac:dyDescent="0.25">
      <c r="C194" t="str">
        <f t="shared" si="2"/>
        <v/>
      </c>
      <c r="E194" s="4"/>
      <c r="F194" s="4"/>
      <c r="G194" s="4"/>
      <c r="H194" s="4"/>
      <c r="I194" s="4"/>
      <c r="J194" s="50"/>
      <c r="K194" s="67"/>
      <c r="L194" s="67"/>
      <c r="M194" s="4"/>
      <c r="N194" s="4"/>
      <c r="O194" s="4"/>
      <c r="P194" s="38"/>
      <c r="Q194" t="str" cm="1">
        <f t="array" ref="Q194">IF($P194="","",_xlfn._xlws.FILTER(LT_LST[Lot],(LT_LST[Client Id.]=$C194)*(LT_LST[Strategy]=$D194)*(LT_LST[DTE/WTE]=$E194)*(LT_LST[Symbol]=$I194)))</f>
        <v/>
      </c>
    </row>
    <row r="195" spans="3:17" x14ac:dyDescent="0.25">
      <c r="C195" t="str">
        <f t="shared" si="2"/>
        <v/>
      </c>
      <c r="E195" s="4"/>
      <c r="F195" s="4"/>
      <c r="G195" s="4"/>
      <c r="H195" s="4"/>
      <c r="I195" s="4"/>
      <c r="J195" s="50"/>
      <c r="K195" s="67"/>
      <c r="L195" s="67"/>
      <c r="M195" s="4"/>
      <c r="N195" s="4"/>
      <c r="O195" s="4"/>
      <c r="P195" s="38"/>
      <c r="Q195" t="str" cm="1">
        <f t="array" ref="Q195">IF($P195="","",_xlfn._xlws.FILTER(LT_LST[Lot],(LT_LST[Client Id.]=$C195)*(LT_LST[Strategy]=$D195)*(LT_LST[DTE/WTE]=$E195)*(LT_LST[Symbol]=$I195)))</f>
        <v/>
      </c>
    </row>
    <row r="196" spans="3:17" x14ac:dyDescent="0.25">
      <c r="C196" t="str">
        <f t="shared" ref="C196:C259" si="3">IF(D196="","",$A$1)</f>
        <v/>
      </c>
      <c r="E196" s="4"/>
      <c r="F196" s="4"/>
      <c r="G196" s="4"/>
      <c r="H196" s="4"/>
      <c r="I196" s="4"/>
      <c r="J196" s="50"/>
      <c r="K196" s="67"/>
      <c r="L196" s="67"/>
      <c r="M196" s="4"/>
      <c r="N196" s="4"/>
      <c r="O196" s="4"/>
      <c r="P196" s="38"/>
      <c r="Q196" t="str" cm="1">
        <f t="array" ref="Q196">IF($P196="","",_xlfn._xlws.FILTER(LT_LST[Lot],(LT_LST[Client Id.]=$C196)*(LT_LST[Strategy]=$D196)*(LT_LST[DTE/WTE]=$E196)*(LT_LST[Symbol]=$I196)))</f>
        <v/>
      </c>
    </row>
    <row r="197" spans="3:17" x14ac:dyDescent="0.25">
      <c r="C197" t="str">
        <f t="shared" si="3"/>
        <v/>
      </c>
      <c r="E197" s="4"/>
      <c r="F197" s="4"/>
      <c r="G197" s="4"/>
      <c r="H197" s="4"/>
      <c r="I197" s="4"/>
      <c r="J197" s="50"/>
      <c r="K197" s="67"/>
      <c r="L197" s="67"/>
      <c r="M197" s="4"/>
      <c r="N197" s="4"/>
      <c r="O197" s="4"/>
      <c r="P197" s="38"/>
      <c r="Q197" t="str" cm="1">
        <f t="array" ref="Q197">IF($P197="","",_xlfn._xlws.FILTER(LT_LST[Lot],(LT_LST[Client Id.]=$C197)*(LT_LST[Strategy]=$D197)*(LT_LST[DTE/WTE]=$E197)*(LT_LST[Symbol]=$I197)))</f>
        <v/>
      </c>
    </row>
    <row r="198" spans="3:17" x14ac:dyDescent="0.25">
      <c r="C198" t="str">
        <f t="shared" si="3"/>
        <v/>
      </c>
      <c r="E198" s="4"/>
      <c r="F198" s="4"/>
      <c r="G198" s="4"/>
      <c r="H198" s="4"/>
      <c r="I198" s="4"/>
      <c r="J198" s="50"/>
      <c r="K198" s="67"/>
      <c r="L198" s="67"/>
      <c r="M198" s="4"/>
      <c r="N198" s="4"/>
      <c r="O198" s="4"/>
      <c r="P198" s="38"/>
      <c r="Q198" t="str" cm="1">
        <f t="array" ref="Q198">IF($P198="","",_xlfn._xlws.FILTER(LT_LST[Lot],(LT_LST[Client Id.]=$C198)*(LT_LST[Strategy]=$D198)*(LT_LST[DTE/WTE]=$E198)*(LT_LST[Symbol]=$I198)))</f>
        <v/>
      </c>
    </row>
    <row r="199" spans="3:17" x14ac:dyDescent="0.25">
      <c r="C199" t="str">
        <f t="shared" si="3"/>
        <v/>
      </c>
      <c r="E199" s="4"/>
      <c r="F199" s="4"/>
      <c r="G199" s="4"/>
      <c r="H199" s="4"/>
      <c r="I199" s="4"/>
      <c r="J199" s="50"/>
      <c r="K199" s="67"/>
      <c r="L199" s="67"/>
      <c r="M199" s="4"/>
      <c r="N199" s="4"/>
      <c r="O199" s="4"/>
      <c r="P199" s="38"/>
      <c r="Q199" t="str" cm="1">
        <f t="array" ref="Q199">IF($P199="","",_xlfn._xlws.FILTER(LT_LST[Lot],(LT_LST[Client Id.]=$C199)*(LT_LST[Strategy]=$D199)*(LT_LST[DTE/WTE]=$E199)*(LT_LST[Symbol]=$I199)))</f>
        <v/>
      </c>
    </row>
    <row r="200" spans="3:17" x14ac:dyDescent="0.25">
      <c r="C200" t="str">
        <f t="shared" si="3"/>
        <v/>
      </c>
      <c r="E200" s="4"/>
      <c r="F200" s="4"/>
      <c r="G200" s="4"/>
      <c r="H200" s="4"/>
      <c r="I200" s="4"/>
      <c r="J200" s="50"/>
      <c r="K200" s="67"/>
      <c r="L200" s="67"/>
      <c r="M200" s="4"/>
      <c r="N200" s="4"/>
      <c r="O200" s="4"/>
      <c r="P200" s="38"/>
      <c r="Q200" t="str" cm="1">
        <f t="array" ref="Q200">IF($P200="","",_xlfn._xlws.FILTER(LT_LST[Lot],(LT_LST[Client Id.]=$C200)*(LT_LST[Strategy]=$D200)*(LT_LST[DTE/WTE]=$E200)*(LT_LST[Symbol]=$I200)))</f>
        <v/>
      </c>
    </row>
    <row r="201" spans="3:17" x14ac:dyDescent="0.25">
      <c r="C201" t="str">
        <f t="shared" si="3"/>
        <v/>
      </c>
      <c r="E201" s="4"/>
      <c r="F201" s="4"/>
      <c r="G201" s="4"/>
      <c r="H201" s="4"/>
      <c r="I201" s="4"/>
      <c r="J201" s="50"/>
      <c r="K201" s="67"/>
      <c r="L201" s="67"/>
      <c r="M201" s="4"/>
      <c r="N201" s="4"/>
      <c r="O201" s="4"/>
      <c r="P201" s="38"/>
      <c r="Q201" t="str" cm="1">
        <f t="array" ref="Q201">IF($P201="","",_xlfn._xlws.FILTER(LT_LST[Lot],(LT_LST[Client Id.]=$C201)*(LT_LST[Strategy]=$D201)*(LT_LST[DTE/WTE]=$E201)*(LT_LST[Symbol]=$I201)))</f>
        <v/>
      </c>
    </row>
    <row r="202" spans="3:17" x14ac:dyDescent="0.25">
      <c r="C202" t="str">
        <f t="shared" si="3"/>
        <v/>
      </c>
      <c r="E202" s="4"/>
      <c r="F202" s="4"/>
      <c r="G202" s="4"/>
      <c r="H202" s="4"/>
      <c r="I202" s="4"/>
      <c r="J202" s="50"/>
      <c r="K202" s="67"/>
      <c r="L202" s="67"/>
      <c r="M202" s="4"/>
      <c r="N202" s="4"/>
      <c r="O202" s="4"/>
      <c r="P202" s="38"/>
      <c r="Q202" t="str" cm="1">
        <f t="array" ref="Q202">IF($P202="","",_xlfn._xlws.FILTER(LT_LST[Lot],(LT_LST[Client Id.]=$C202)*(LT_LST[Strategy]=$D202)*(LT_LST[DTE/WTE]=$E202)*(LT_LST[Symbol]=$I202)))</f>
        <v/>
      </c>
    </row>
    <row r="203" spans="3:17" x14ac:dyDescent="0.25">
      <c r="C203" t="str">
        <f t="shared" si="3"/>
        <v/>
      </c>
      <c r="E203" s="4"/>
      <c r="F203" s="4"/>
      <c r="G203" s="4"/>
      <c r="H203" s="4"/>
      <c r="I203" s="4"/>
      <c r="J203" s="50"/>
      <c r="K203" s="67"/>
      <c r="L203" s="67"/>
      <c r="M203" s="4"/>
      <c r="N203" s="4"/>
      <c r="O203" s="4"/>
      <c r="P203" s="38"/>
      <c r="Q203" t="str" cm="1">
        <f t="array" ref="Q203">IF($P203="","",_xlfn._xlws.FILTER(LT_LST[Lot],(LT_LST[Client Id.]=$C203)*(LT_LST[Strategy]=$D203)*(LT_LST[DTE/WTE]=$E203)*(LT_LST[Symbol]=$I203)))</f>
        <v/>
      </c>
    </row>
    <row r="204" spans="3:17" x14ac:dyDescent="0.25">
      <c r="C204" t="str">
        <f t="shared" si="3"/>
        <v/>
      </c>
      <c r="E204" s="4"/>
      <c r="F204" s="4"/>
      <c r="G204" s="4"/>
      <c r="H204" s="4"/>
      <c r="I204" s="4"/>
      <c r="J204" s="50"/>
      <c r="K204" s="67"/>
      <c r="L204" s="67"/>
      <c r="M204" s="4"/>
      <c r="N204" s="4"/>
      <c r="O204" s="4"/>
      <c r="P204" s="38"/>
      <c r="Q204" t="str" cm="1">
        <f t="array" ref="Q204">IF($P204="","",_xlfn._xlws.FILTER(LT_LST[Lot],(LT_LST[Client Id.]=$C204)*(LT_LST[Strategy]=$D204)*(LT_LST[DTE/WTE]=$E204)*(LT_LST[Symbol]=$I204)))</f>
        <v/>
      </c>
    </row>
    <row r="205" spans="3:17" x14ac:dyDescent="0.25">
      <c r="C205" t="str">
        <f t="shared" si="3"/>
        <v/>
      </c>
      <c r="E205" s="4"/>
      <c r="F205" s="4"/>
      <c r="G205" s="4"/>
      <c r="H205" s="4"/>
      <c r="I205" s="4"/>
      <c r="J205" s="50"/>
      <c r="K205" s="67"/>
      <c r="L205" s="67"/>
      <c r="M205" s="4"/>
      <c r="N205" s="4"/>
      <c r="O205" s="4"/>
      <c r="P205" s="38"/>
      <c r="Q205" t="str" cm="1">
        <f t="array" ref="Q205">IF($P205="","",_xlfn._xlws.FILTER(LT_LST[Lot],(LT_LST[Client Id.]=$C205)*(LT_LST[Strategy]=$D205)*(LT_LST[DTE/WTE]=$E205)*(LT_LST[Symbol]=$I205)))</f>
        <v/>
      </c>
    </row>
    <row r="206" spans="3:17" x14ac:dyDescent="0.25">
      <c r="C206" t="str">
        <f t="shared" si="3"/>
        <v/>
      </c>
      <c r="E206" s="4"/>
      <c r="F206" s="4"/>
      <c r="G206" s="4"/>
      <c r="H206" s="4"/>
      <c r="I206" s="4"/>
      <c r="J206" s="50"/>
      <c r="K206" s="67"/>
      <c r="L206" s="67"/>
      <c r="M206" s="4"/>
      <c r="N206" s="4"/>
      <c r="O206" s="4"/>
      <c r="P206" s="38"/>
      <c r="Q206" t="str" cm="1">
        <f t="array" ref="Q206">IF($P206="","",_xlfn._xlws.FILTER(LT_LST[Lot],(LT_LST[Client Id.]=$C206)*(LT_LST[Strategy]=$D206)*(LT_LST[DTE/WTE]=$E206)*(LT_LST[Symbol]=$I206)))</f>
        <v/>
      </c>
    </row>
    <row r="207" spans="3:17" x14ac:dyDescent="0.25">
      <c r="C207" t="str">
        <f t="shared" si="3"/>
        <v/>
      </c>
      <c r="E207" s="4"/>
      <c r="F207" s="4"/>
      <c r="G207" s="4"/>
      <c r="H207" s="4"/>
      <c r="I207" s="4"/>
      <c r="J207" s="50"/>
      <c r="K207" s="67"/>
      <c r="L207" s="67"/>
      <c r="M207" s="4"/>
      <c r="N207" s="4"/>
      <c r="O207" s="4"/>
      <c r="P207" s="38"/>
      <c r="Q207" t="str" cm="1">
        <f t="array" ref="Q207">IF($P207="","",_xlfn._xlws.FILTER(LT_LST[Lot],(LT_LST[Client Id.]=$C207)*(LT_LST[Strategy]=$D207)*(LT_LST[DTE/WTE]=$E207)*(LT_LST[Symbol]=$I207)))</f>
        <v/>
      </c>
    </row>
    <row r="208" spans="3:17" x14ac:dyDescent="0.25">
      <c r="C208" t="str">
        <f t="shared" si="3"/>
        <v/>
      </c>
      <c r="E208" s="4"/>
      <c r="F208" s="4"/>
      <c r="G208" s="4"/>
      <c r="H208" s="4"/>
      <c r="I208" s="4"/>
      <c r="J208" s="50"/>
      <c r="K208" s="67"/>
      <c r="L208" s="67"/>
      <c r="M208" s="4"/>
      <c r="N208" s="4"/>
      <c r="O208" s="4"/>
      <c r="P208" s="38"/>
      <c r="Q208" t="str" cm="1">
        <f t="array" ref="Q208">IF($P208="","",_xlfn._xlws.FILTER(LT_LST[Lot],(LT_LST[Client Id.]=$C208)*(LT_LST[Strategy]=$D208)*(LT_LST[DTE/WTE]=$E208)*(LT_LST[Symbol]=$I208)))</f>
        <v/>
      </c>
    </row>
    <row r="209" spans="3:17" x14ac:dyDescent="0.25">
      <c r="C209" t="str">
        <f t="shared" si="3"/>
        <v/>
      </c>
      <c r="E209" s="4"/>
      <c r="F209" s="4"/>
      <c r="G209" s="4"/>
      <c r="H209" s="4"/>
      <c r="I209" s="4"/>
      <c r="J209" s="50"/>
      <c r="K209" s="67"/>
      <c r="L209" s="67"/>
      <c r="M209" s="4"/>
      <c r="N209" s="4"/>
      <c r="O209" s="4"/>
      <c r="P209" s="38"/>
      <c r="Q209" t="str" cm="1">
        <f t="array" ref="Q209">IF($P209="","",_xlfn._xlws.FILTER(LT_LST[Lot],(LT_LST[Client Id.]=$C209)*(LT_LST[Strategy]=$D209)*(LT_LST[DTE/WTE]=$E209)*(LT_LST[Symbol]=$I209)))</f>
        <v/>
      </c>
    </row>
    <row r="210" spans="3:17" x14ac:dyDescent="0.25">
      <c r="C210" t="str">
        <f t="shared" si="3"/>
        <v/>
      </c>
      <c r="E210" s="4"/>
      <c r="F210" s="4"/>
      <c r="G210" s="4"/>
      <c r="H210" s="4"/>
      <c r="I210" s="4"/>
      <c r="J210" s="50"/>
      <c r="K210" s="67"/>
      <c r="L210" s="67"/>
      <c r="M210" s="4"/>
      <c r="N210" s="4"/>
      <c r="O210" s="4"/>
      <c r="P210" s="38"/>
      <c r="Q210" t="str" cm="1">
        <f t="array" ref="Q210">IF($P210="","",_xlfn._xlws.FILTER(LT_LST[Lot],(LT_LST[Client Id.]=$C210)*(LT_LST[Strategy]=$D210)*(LT_LST[DTE/WTE]=$E210)*(LT_LST[Symbol]=$I210)))</f>
        <v/>
      </c>
    </row>
    <row r="211" spans="3:17" x14ac:dyDescent="0.25">
      <c r="C211" t="str">
        <f t="shared" si="3"/>
        <v/>
      </c>
      <c r="E211" s="4"/>
      <c r="F211" s="4"/>
      <c r="G211" s="4"/>
      <c r="H211" s="4"/>
      <c r="I211" s="4"/>
      <c r="J211" s="50"/>
      <c r="K211" s="67"/>
      <c r="L211" s="67"/>
      <c r="M211" s="4"/>
      <c r="N211" s="4"/>
      <c r="O211" s="4"/>
      <c r="P211" s="38"/>
      <c r="Q211" t="str" cm="1">
        <f t="array" ref="Q211">IF($P211="","",_xlfn._xlws.FILTER(LT_LST[Lot],(LT_LST[Client Id.]=$C211)*(LT_LST[Strategy]=$D211)*(LT_LST[DTE/WTE]=$E211)*(LT_LST[Symbol]=$I211)))</f>
        <v/>
      </c>
    </row>
    <row r="212" spans="3:17" x14ac:dyDescent="0.25">
      <c r="C212" t="str">
        <f t="shared" si="3"/>
        <v/>
      </c>
      <c r="E212" s="4"/>
      <c r="F212" s="4"/>
      <c r="G212" s="4"/>
      <c r="H212" s="4"/>
      <c r="I212" s="4"/>
      <c r="J212" s="50"/>
      <c r="K212" s="67"/>
      <c r="L212" s="67"/>
      <c r="M212" s="4"/>
      <c r="N212" s="4"/>
      <c r="O212" s="4"/>
      <c r="P212" s="38"/>
      <c r="Q212" t="str" cm="1">
        <f t="array" ref="Q212">IF($P212="","",_xlfn._xlws.FILTER(LT_LST[Lot],(LT_LST[Client Id.]=$C212)*(LT_LST[Strategy]=$D212)*(LT_LST[DTE/WTE]=$E212)*(LT_LST[Symbol]=$I212)))</f>
        <v/>
      </c>
    </row>
    <row r="213" spans="3:17" x14ac:dyDescent="0.25">
      <c r="C213" t="str">
        <f t="shared" si="3"/>
        <v/>
      </c>
      <c r="E213" s="4"/>
      <c r="F213" s="4"/>
      <c r="G213" s="4"/>
      <c r="H213" s="4"/>
      <c r="I213" s="4"/>
      <c r="J213" s="50"/>
      <c r="K213" s="67"/>
      <c r="L213" s="67"/>
      <c r="M213" s="4"/>
      <c r="N213" s="4"/>
      <c r="O213" s="4"/>
      <c r="P213" s="38"/>
      <c r="Q213" t="str" cm="1">
        <f t="array" ref="Q213">IF($P213="","",_xlfn._xlws.FILTER(LT_LST[Lot],(LT_LST[Client Id.]=$C213)*(LT_LST[Strategy]=$D213)*(LT_LST[DTE/WTE]=$E213)*(LT_LST[Symbol]=$I213)))</f>
        <v/>
      </c>
    </row>
    <row r="214" spans="3:17" x14ac:dyDescent="0.25">
      <c r="C214" t="str">
        <f t="shared" si="3"/>
        <v/>
      </c>
      <c r="E214" s="4"/>
      <c r="F214" s="4"/>
      <c r="G214" s="4"/>
      <c r="H214" s="4"/>
      <c r="I214" s="4"/>
      <c r="J214" s="50"/>
      <c r="K214" s="67"/>
      <c r="L214" s="67"/>
      <c r="M214" s="4"/>
      <c r="N214" s="4"/>
      <c r="O214" s="4"/>
      <c r="P214" s="38"/>
      <c r="Q214" t="str" cm="1">
        <f t="array" ref="Q214">IF($P214="","",_xlfn._xlws.FILTER(LT_LST[Lot],(LT_LST[Client Id.]=$C214)*(LT_LST[Strategy]=$D214)*(LT_LST[DTE/WTE]=$E214)*(LT_LST[Symbol]=$I214)))</f>
        <v/>
      </c>
    </row>
    <row r="215" spans="3:17" x14ac:dyDescent="0.25">
      <c r="C215" t="str">
        <f t="shared" si="3"/>
        <v/>
      </c>
      <c r="E215" s="4"/>
      <c r="F215" s="4"/>
      <c r="G215" s="4"/>
      <c r="H215" s="4"/>
      <c r="I215" s="4"/>
      <c r="J215" s="50"/>
      <c r="K215" s="67"/>
      <c r="L215" s="67"/>
      <c r="M215" s="4"/>
      <c r="N215" s="4"/>
      <c r="O215" s="4"/>
      <c r="P215" s="38"/>
      <c r="Q215" t="str" cm="1">
        <f t="array" ref="Q215">IF($P215="","",_xlfn._xlws.FILTER(LT_LST[Lot],(LT_LST[Client Id.]=$C215)*(LT_LST[Strategy]=$D215)*(LT_LST[DTE/WTE]=$E215)*(LT_LST[Symbol]=$I215)))</f>
        <v/>
      </c>
    </row>
    <row r="216" spans="3:17" x14ac:dyDescent="0.25">
      <c r="C216" t="str">
        <f t="shared" si="3"/>
        <v/>
      </c>
      <c r="E216" s="4"/>
      <c r="F216" s="4"/>
      <c r="G216" s="4"/>
      <c r="H216" s="4"/>
      <c r="I216" s="4"/>
      <c r="J216" s="50"/>
      <c r="K216" s="67"/>
      <c r="L216" s="67"/>
      <c r="M216" s="4"/>
      <c r="N216" s="4"/>
      <c r="O216" s="4"/>
      <c r="P216" s="38"/>
      <c r="Q216" t="str" cm="1">
        <f t="array" ref="Q216">IF($P216="","",_xlfn._xlws.FILTER(LT_LST[Lot],(LT_LST[Client Id.]=$C216)*(LT_LST[Strategy]=$D216)*(LT_LST[DTE/WTE]=$E216)*(LT_LST[Symbol]=$I216)))</f>
        <v/>
      </c>
    </row>
    <row r="217" spans="3:17" x14ac:dyDescent="0.25">
      <c r="C217" t="str">
        <f t="shared" si="3"/>
        <v/>
      </c>
      <c r="E217" s="4"/>
      <c r="F217" s="4"/>
      <c r="G217" s="4"/>
      <c r="H217" s="4"/>
      <c r="I217" s="4"/>
      <c r="J217" s="50"/>
      <c r="K217" s="67"/>
      <c r="L217" s="67"/>
      <c r="M217" s="4"/>
      <c r="N217" s="4"/>
      <c r="O217" s="4"/>
      <c r="P217" s="38"/>
      <c r="Q217" t="str" cm="1">
        <f t="array" ref="Q217">IF($P217="","",_xlfn._xlws.FILTER(LT_LST[Lot],(LT_LST[Client Id.]=$C217)*(LT_LST[Strategy]=$D217)*(LT_LST[DTE/WTE]=$E217)*(LT_LST[Symbol]=$I217)))</f>
        <v/>
      </c>
    </row>
    <row r="218" spans="3:17" x14ac:dyDescent="0.25">
      <c r="C218" t="str">
        <f t="shared" si="3"/>
        <v/>
      </c>
      <c r="E218" s="4"/>
      <c r="F218" s="4"/>
      <c r="G218" s="4"/>
      <c r="H218" s="4"/>
      <c r="I218" s="4"/>
      <c r="J218" s="50"/>
      <c r="K218" s="67"/>
      <c r="L218" s="67"/>
      <c r="M218" s="4"/>
      <c r="N218" s="4"/>
      <c r="O218" s="4"/>
      <c r="P218" s="38"/>
      <c r="Q218" t="str" cm="1">
        <f t="array" ref="Q218">IF($P218="","",_xlfn._xlws.FILTER(LT_LST[Lot],(LT_LST[Client Id.]=$C218)*(LT_LST[Strategy]=$D218)*(LT_LST[DTE/WTE]=$E218)*(LT_LST[Symbol]=$I218)))</f>
        <v/>
      </c>
    </row>
    <row r="219" spans="3:17" x14ac:dyDescent="0.25">
      <c r="C219" t="str">
        <f t="shared" si="3"/>
        <v/>
      </c>
      <c r="E219" s="4"/>
      <c r="F219" s="4"/>
      <c r="G219" s="4"/>
      <c r="H219" s="4"/>
      <c r="I219" s="4"/>
      <c r="J219" s="50"/>
      <c r="K219" s="67"/>
      <c r="L219" s="67"/>
      <c r="M219" s="4"/>
      <c r="N219" s="4"/>
      <c r="O219" s="4"/>
      <c r="P219" s="38"/>
      <c r="Q219" t="str" cm="1">
        <f t="array" ref="Q219">IF($P219="","",_xlfn._xlws.FILTER(LT_LST[Lot],(LT_LST[Client Id.]=$C219)*(LT_LST[Strategy]=$D219)*(LT_LST[DTE/WTE]=$E219)*(LT_LST[Symbol]=$I219)))</f>
        <v/>
      </c>
    </row>
    <row r="220" spans="3:17" x14ac:dyDescent="0.25">
      <c r="C220" t="str">
        <f t="shared" si="3"/>
        <v/>
      </c>
      <c r="E220" s="4"/>
      <c r="F220" s="4"/>
      <c r="G220" s="4"/>
      <c r="H220" s="4"/>
      <c r="I220" s="4"/>
      <c r="J220" s="50"/>
      <c r="K220" s="67"/>
      <c r="L220" s="67"/>
      <c r="M220" s="4"/>
      <c r="N220" s="4"/>
      <c r="O220" s="4"/>
      <c r="P220" s="38"/>
      <c r="Q220" t="str" cm="1">
        <f t="array" ref="Q220">IF($P220="","",_xlfn._xlws.FILTER(LT_LST[Lot],(LT_LST[Client Id.]=$C220)*(LT_LST[Strategy]=$D220)*(LT_LST[DTE/WTE]=$E220)*(LT_LST[Symbol]=$I220)))</f>
        <v/>
      </c>
    </row>
    <row r="221" spans="3:17" x14ac:dyDescent="0.25">
      <c r="C221" t="str">
        <f t="shared" si="3"/>
        <v/>
      </c>
      <c r="E221" s="4"/>
      <c r="F221" s="4"/>
      <c r="G221" s="4"/>
      <c r="H221" s="4"/>
      <c r="I221" s="4"/>
      <c r="J221" s="50"/>
      <c r="K221" s="67"/>
      <c r="L221" s="67"/>
      <c r="M221" s="4"/>
      <c r="N221" s="4"/>
      <c r="O221" s="4"/>
      <c r="P221" s="38"/>
      <c r="Q221" t="str" cm="1">
        <f t="array" ref="Q221">IF($P221="","",_xlfn._xlws.FILTER(LT_LST[Lot],(LT_LST[Client Id.]=$C221)*(LT_LST[Strategy]=$D221)*(LT_LST[DTE/WTE]=$E221)*(LT_LST[Symbol]=$I221)))</f>
        <v/>
      </c>
    </row>
    <row r="222" spans="3:17" x14ac:dyDescent="0.25">
      <c r="C222" t="str">
        <f t="shared" si="3"/>
        <v/>
      </c>
      <c r="E222" s="4"/>
      <c r="F222" s="4"/>
      <c r="G222" s="4"/>
      <c r="H222" s="4"/>
      <c r="I222" s="4"/>
      <c r="J222" s="50"/>
      <c r="K222" s="67"/>
      <c r="L222" s="67"/>
      <c r="M222" s="4"/>
      <c r="N222" s="4"/>
      <c r="O222" s="4"/>
      <c r="P222" s="38"/>
      <c r="Q222" t="str" cm="1">
        <f t="array" ref="Q222">IF($P222="","",_xlfn._xlws.FILTER(LT_LST[Lot],(LT_LST[Client Id.]=$C222)*(LT_LST[Strategy]=$D222)*(LT_LST[DTE/WTE]=$E222)*(LT_LST[Symbol]=$I222)))</f>
        <v/>
      </c>
    </row>
    <row r="223" spans="3:17" x14ac:dyDescent="0.25">
      <c r="C223" t="str">
        <f t="shared" si="3"/>
        <v/>
      </c>
      <c r="E223" s="4"/>
      <c r="F223" s="4"/>
      <c r="G223" s="4"/>
      <c r="H223" s="4"/>
      <c r="I223" s="4"/>
      <c r="J223" s="50"/>
      <c r="K223" s="67"/>
      <c r="L223" s="67"/>
      <c r="M223" s="4"/>
      <c r="N223" s="4"/>
      <c r="O223" s="4"/>
      <c r="P223" s="38"/>
      <c r="Q223" t="str" cm="1">
        <f t="array" ref="Q223">IF($P223="","",_xlfn._xlws.FILTER(LT_LST[Lot],(LT_LST[Client Id.]=$C223)*(LT_LST[Strategy]=$D223)*(LT_LST[DTE/WTE]=$E223)*(LT_LST[Symbol]=$I223)))</f>
        <v/>
      </c>
    </row>
    <row r="224" spans="3:17" x14ac:dyDescent="0.25">
      <c r="C224" t="str">
        <f t="shared" si="3"/>
        <v/>
      </c>
      <c r="E224" s="4"/>
      <c r="F224" s="4"/>
      <c r="G224" s="4"/>
      <c r="H224" s="4"/>
      <c r="I224" s="4"/>
      <c r="J224" s="50"/>
      <c r="K224" s="67"/>
      <c r="L224" s="67"/>
      <c r="M224" s="4"/>
      <c r="N224" s="4"/>
      <c r="O224" s="4"/>
      <c r="P224" s="38"/>
      <c r="Q224" t="str" cm="1">
        <f t="array" ref="Q224">IF($P224="","",_xlfn._xlws.FILTER(LT_LST[Lot],(LT_LST[Client Id.]=$C224)*(LT_LST[Strategy]=$D224)*(LT_LST[DTE/WTE]=$E224)*(LT_LST[Symbol]=$I224)))</f>
        <v/>
      </c>
    </row>
    <row r="225" spans="3:17" x14ac:dyDescent="0.25">
      <c r="C225" t="str">
        <f t="shared" si="3"/>
        <v/>
      </c>
      <c r="E225" s="4"/>
      <c r="F225" s="4"/>
      <c r="G225" s="4"/>
      <c r="H225" s="4"/>
      <c r="I225" s="4"/>
      <c r="J225" s="50"/>
      <c r="K225" s="67"/>
      <c r="L225" s="67"/>
      <c r="M225" s="4"/>
      <c r="N225" s="4"/>
      <c r="O225" s="4"/>
      <c r="P225" s="38"/>
      <c r="Q225" t="str" cm="1">
        <f t="array" ref="Q225">IF($P225="","",_xlfn._xlws.FILTER(LT_LST[Lot],(LT_LST[Client Id.]=$C225)*(LT_LST[Strategy]=$D225)*(LT_LST[DTE/WTE]=$E225)*(LT_LST[Symbol]=$I225)))</f>
        <v/>
      </c>
    </row>
    <row r="226" spans="3:17" x14ac:dyDescent="0.25">
      <c r="C226" t="str">
        <f t="shared" si="3"/>
        <v/>
      </c>
      <c r="E226" s="4"/>
      <c r="F226" s="4"/>
      <c r="G226" s="4"/>
      <c r="H226" s="4"/>
      <c r="I226" s="4"/>
      <c r="J226" s="50"/>
      <c r="K226" s="67"/>
      <c r="L226" s="67"/>
      <c r="M226" s="4"/>
      <c r="N226" s="4"/>
      <c r="O226" s="4"/>
      <c r="P226" s="38"/>
      <c r="Q226" t="str" cm="1">
        <f t="array" ref="Q226">IF($P226="","",_xlfn._xlws.FILTER(LT_LST[Lot],(LT_LST[Client Id.]=$C226)*(LT_LST[Strategy]=$D226)*(LT_LST[DTE/WTE]=$E226)*(LT_LST[Symbol]=$I226)))</f>
        <v/>
      </c>
    </row>
    <row r="227" spans="3:17" x14ac:dyDescent="0.25">
      <c r="C227" t="str">
        <f t="shared" si="3"/>
        <v/>
      </c>
      <c r="E227" s="4"/>
      <c r="F227" s="4"/>
      <c r="G227" s="4"/>
      <c r="H227" s="4"/>
      <c r="I227" s="4"/>
      <c r="J227" s="50"/>
      <c r="K227" s="67"/>
      <c r="L227" s="67"/>
      <c r="M227" s="4"/>
      <c r="N227" s="4"/>
      <c r="O227" s="4"/>
      <c r="P227" s="38"/>
      <c r="Q227" t="str" cm="1">
        <f t="array" ref="Q227">IF($P227="","",_xlfn._xlws.FILTER(LT_LST[Lot],(LT_LST[Client Id.]=$C227)*(LT_LST[Strategy]=$D227)*(LT_LST[DTE/WTE]=$E227)*(LT_LST[Symbol]=$I227)))</f>
        <v/>
      </c>
    </row>
    <row r="228" spans="3:17" x14ac:dyDescent="0.25">
      <c r="C228" t="str">
        <f t="shared" si="3"/>
        <v/>
      </c>
      <c r="E228" s="4"/>
      <c r="F228" s="4"/>
      <c r="G228" s="4"/>
      <c r="H228" s="4"/>
      <c r="I228" s="4"/>
      <c r="J228" s="50"/>
      <c r="K228" s="67"/>
      <c r="L228" s="67"/>
      <c r="M228" s="4"/>
      <c r="N228" s="4"/>
      <c r="O228" s="4"/>
      <c r="P228" s="38"/>
      <c r="Q228" t="str" cm="1">
        <f t="array" ref="Q228">IF($P228="","",_xlfn._xlws.FILTER(LT_LST[Lot],(LT_LST[Client Id.]=$C228)*(LT_LST[Strategy]=$D228)*(LT_LST[DTE/WTE]=$E228)*(LT_LST[Symbol]=$I228)))</f>
        <v/>
      </c>
    </row>
    <row r="229" spans="3:17" x14ac:dyDescent="0.25">
      <c r="C229" t="str">
        <f t="shared" si="3"/>
        <v/>
      </c>
      <c r="E229" s="4"/>
      <c r="F229" s="4"/>
      <c r="G229" s="4"/>
      <c r="H229" s="4"/>
      <c r="I229" s="4"/>
      <c r="J229" s="50"/>
      <c r="K229" s="67"/>
      <c r="L229" s="67"/>
      <c r="M229" s="4"/>
      <c r="N229" s="4"/>
      <c r="O229" s="4"/>
      <c r="P229" s="38"/>
      <c r="Q229" t="str" cm="1">
        <f t="array" ref="Q229">IF($P229="","",_xlfn._xlws.FILTER(LT_LST[Lot],(LT_LST[Client Id.]=$C229)*(LT_LST[Strategy]=$D229)*(LT_LST[DTE/WTE]=$E229)*(LT_LST[Symbol]=$I229)))</f>
        <v/>
      </c>
    </row>
    <row r="230" spans="3:17" x14ac:dyDescent="0.25">
      <c r="C230" t="str">
        <f t="shared" si="3"/>
        <v/>
      </c>
      <c r="E230" s="4"/>
      <c r="F230" s="4"/>
      <c r="G230" s="4"/>
      <c r="H230" s="4"/>
      <c r="I230" s="4"/>
      <c r="J230" s="50"/>
      <c r="K230" s="67"/>
      <c r="L230" s="67"/>
      <c r="M230" s="4"/>
      <c r="N230" s="4"/>
      <c r="O230" s="4"/>
      <c r="P230" s="38"/>
      <c r="Q230" t="str" cm="1">
        <f t="array" ref="Q230">IF($P230="","",_xlfn._xlws.FILTER(LT_LST[Lot],(LT_LST[Client Id.]=$C230)*(LT_LST[Strategy]=$D230)*(LT_LST[DTE/WTE]=$E230)*(LT_LST[Symbol]=$I230)))</f>
        <v/>
      </c>
    </row>
    <row r="231" spans="3:17" x14ac:dyDescent="0.25">
      <c r="C231" t="str">
        <f t="shared" si="3"/>
        <v/>
      </c>
      <c r="E231" s="4"/>
      <c r="F231" s="4"/>
      <c r="G231" s="4"/>
      <c r="H231" s="4"/>
      <c r="I231" s="4"/>
      <c r="J231" s="50"/>
      <c r="K231" s="67"/>
      <c r="L231" s="67"/>
      <c r="M231" s="4"/>
      <c r="N231" s="4"/>
      <c r="O231" s="4"/>
      <c r="P231" s="38"/>
      <c r="Q231" t="str" cm="1">
        <f t="array" ref="Q231">IF($P231="","",_xlfn._xlws.FILTER(LT_LST[Lot],(LT_LST[Client Id.]=$C231)*(LT_LST[Strategy]=$D231)*(LT_LST[DTE/WTE]=$E231)*(LT_LST[Symbol]=$I231)))</f>
        <v/>
      </c>
    </row>
    <row r="232" spans="3:17" x14ac:dyDescent="0.25">
      <c r="C232" t="str">
        <f t="shared" si="3"/>
        <v/>
      </c>
      <c r="E232" s="4"/>
      <c r="F232" s="4"/>
      <c r="G232" s="4"/>
      <c r="H232" s="4"/>
      <c r="I232" s="4"/>
      <c r="J232" s="50"/>
      <c r="K232" s="67"/>
      <c r="L232" s="67"/>
      <c r="M232" s="4"/>
      <c r="N232" s="4"/>
      <c r="O232" s="4"/>
      <c r="P232" s="38"/>
      <c r="Q232" t="str" cm="1">
        <f t="array" ref="Q232">IF($P232="","",_xlfn._xlws.FILTER(LT_LST[Lot],(LT_LST[Client Id.]=$C232)*(LT_LST[Strategy]=$D232)*(LT_LST[DTE/WTE]=$E232)*(LT_LST[Symbol]=$I232)))</f>
        <v/>
      </c>
    </row>
    <row r="233" spans="3:17" x14ac:dyDescent="0.25">
      <c r="C233" t="str">
        <f t="shared" si="3"/>
        <v/>
      </c>
      <c r="E233" s="4"/>
      <c r="F233" s="4"/>
      <c r="G233" s="4"/>
      <c r="H233" s="4"/>
      <c r="I233" s="4"/>
      <c r="J233" s="50"/>
      <c r="K233" s="67"/>
      <c r="L233" s="67"/>
      <c r="M233" s="4"/>
      <c r="N233" s="4"/>
      <c r="O233" s="4"/>
      <c r="P233" s="38"/>
      <c r="Q233" t="str" cm="1">
        <f t="array" ref="Q233">IF($P233="","",_xlfn._xlws.FILTER(LT_LST[Lot],(LT_LST[Client Id.]=$C233)*(LT_LST[Strategy]=$D233)*(LT_LST[DTE/WTE]=$E233)*(LT_LST[Symbol]=$I233)))</f>
        <v/>
      </c>
    </row>
    <row r="234" spans="3:17" x14ac:dyDescent="0.25">
      <c r="C234" t="str">
        <f t="shared" si="3"/>
        <v/>
      </c>
      <c r="E234" s="4"/>
      <c r="F234" s="4"/>
      <c r="G234" s="4"/>
      <c r="H234" s="4"/>
      <c r="I234" s="4"/>
      <c r="J234" s="50"/>
      <c r="K234" s="67"/>
      <c r="L234" s="67"/>
      <c r="M234" s="4"/>
      <c r="N234" s="4"/>
      <c r="O234" s="4"/>
      <c r="P234" s="38"/>
      <c r="Q234" t="str" cm="1">
        <f t="array" ref="Q234">IF($P234="","",_xlfn._xlws.FILTER(LT_LST[Lot],(LT_LST[Client Id.]=$C234)*(LT_LST[Strategy]=$D234)*(LT_LST[DTE/WTE]=$E234)*(LT_LST[Symbol]=$I234)))</f>
        <v/>
      </c>
    </row>
    <row r="235" spans="3:17" x14ac:dyDescent="0.25">
      <c r="C235" t="str">
        <f t="shared" si="3"/>
        <v/>
      </c>
      <c r="E235" s="4"/>
      <c r="F235" s="4"/>
      <c r="G235" s="4"/>
      <c r="H235" s="4"/>
      <c r="I235" s="4"/>
      <c r="J235" s="50"/>
      <c r="K235" s="67"/>
      <c r="L235" s="67"/>
      <c r="M235" s="4"/>
      <c r="N235" s="4"/>
      <c r="O235" s="4"/>
      <c r="P235" s="38"/>
      <c r="Q235" t="str" cm="1">
        <f t="array" ref="Q235">IF($P235="","",_xlfn._xlws.FILTER(LT_LST[Lot],(LT_LST[Client Id.]=$C235)*(LT_LST[Strategy]=$D235)*(LT_LST[DTE/WTE]=$E235)*(LT_LST[Symbol]=$I235)))</f>
        <v/>
      </c>
    </row>
    <row r="236" spans="3:17" x14ac:dyDescent="0.25">
      <c r="C236" t="str">
        <f t="shared" si="3"/>
        <v/>
      </c>
      <c r="E236" s="4"/>
      <c r="F236" s="4"/>
      <c r="G236" s="4"/>
      <c r="H236" s="4"/>
      <c r="I236" s="4"/>
      <c r="J236" s="50"/>
      <c r="K236" s="67"/>
      <c r="L236" s="67"/>
      <c r="M236" s="4"/>
      <c r="N236" s="4"/>
      <c r="O236" s="4"/>
      <c r="P236" s="38"/>
      <c r="Q236" t="str" cm="1">
        <f t="array" ref="Q236">IF($P236="","",_xlfn._xlws.FILTER(LT_LST[Lot],(LT_LST[Client Id.]=$C236)*(LT_LST[Strategy]=$D236)*(LT_LST[DTE/WTE]=$E236)*(LT_LST[Symbol]=$I236)))</f>
        <v/>
      </c>
    </row>
    <row r="237" spans="3:17" x14ac:dyDescent="0.25">
      <c r="C237" t="str">
        <f t="shared" si="3"/>
        <v/>
      </c>
      <c r="E237" s="4"/>
      <c r="F237" s="4"/>
      <c r="G237" s="4"/>
      <c r="H237" s="4"/>
      <c r="I237" s="4"/>
      <c r="J237" s="50"/>
      <c r="K237" s="67"/>
      <c r="L237" s="67"/>
      <c r="M237" s="4"/>
      <c r="N237" s="4"/>
      <c r="O237" s="4"/>
      <c r="P237" s="38"/>
      <c r="Q237" t="str" cm="1">
        <f t="array" ref="Q237">IF($P237="","",_xlfn._xlws.FILTER(LT_LST[Lot],(LT_LST[Client Id.]=$C237)*(LT_LST[Strategy]=$D237)*(LT_LST[DTE/WTE]=$E237)*(LT_LST[Symbol]=$I237)))</f>
        <v/>
      </c>
    </row>
    <row r="238" spans="3:17" x14ac:dyDescent="0.25">
      <c r="C238" t="str">
        <f t="shared" si="3"/>
        <v/>
      </c>
      <c r="E238" s="4"/>
      <c r="F238" s="4"/>
      <c r="G238" s="4"/>
      <c r="H238" s="4"/>
      <c r="I238" s="4"/>
      <c r="J238" s="50"/>
      <c r="K238" s="67"/>
      <c r="L238" s="67"/>
      <c r="M238" s="4"/>
      <c r="N238" s="4"/>
      <c r="O238" s="4"/>
      <c r="P238" s="38"/>
      <c r="Q238" t="str" cm="1">
        <f t="array" ref="Q238">IF($P238="","",_xlfn._xlws.FILTER(LT_LST[Lot],(LT_LST[Client Id.]=$C238)*(LT_LST[Strategy]=$D238)*(LT_LST[DTE/WTE]=$E238)*(LT_LST[Symbol]=$I238)))</f>
        <v/>
      </c>
    </row>
    <row r="239" spans="3:17" x14ac:dyDescent="0.25">
      <c r="C239" t="str">
        <f t="shared" si="3"/>
        <v/>
      </c>
      <c r="E239" s="4"/>
      <c r="F239" s="4"/>
      <c r="G239" s="4"/>
      <c r="H239" s="4"/>
      <c r="I239" s="4"/>
      <c r="J239" s="50"/>
      <c r="K239" s="67"/>
      <c r="L239" s="67"/>
      <c r="M239" s="4"/>
      <c r="N239" s="4"/>
      <c r="O239" s="4"/>
      <c r="P239" s="38"/>
      <c r="Q239" t="str" cm="1">
        <f t="array" ref="Q239">IF($P239="","",_xlfn._xlws.FILTER(LT_LST[Lot],(LT_LST[Client Id.]=$C239)*(LT_LST[Strategy]=$D239)*(LT_LST[DTE/WTE]=$E239)*(LT_LST[Symbol]=$I239)))</f>
        <v/>
      </c>
    </row>
    <row r="240" spans="3:17" x14ac:dyDescent="0.25">
      <c r="C240" t="str">
        <f t="shared" si="3"/>
        <v/>
      </c>
      <c r="E240" s="4"/>
      <c r="F240" s="4"/>
      <c r="G240" s="4"/>
      <c r="H240" s="4"/>
      <c r="I240" s="4"/>
      <c r="J240" s="50"/>
      <c r="K240" s="67"/>
      <c r="L240" s="67"/>
      <c r="M240" s="4"/>
      <c r="N240" s="4"/>
      <c r="O240" s="4"/>
      <c r="P240" s="38"/>
      <c r="Q240" t="str" cm="1">
        <f t="array" ref="Q240">IF($P240="","",_xlfn._xlws.FILTER(LT_LST[Lot],(LT_LST[Client Id.]=$C240)*(LT_LST[Strategy]=$D240)*(LT_LST[DTE/WTE]=$E240)*(LT_LST[Symbol]=$I240)))</f>
        <v/>
      </c>
    </row>
    <row r="241" spans="3:17" x14ac:dyDescent="0.25">
      <c r="C241" t="str">
        <f t="shared" si="3"/>
        <v/>
      </c>
      <c r="E241" s="4"/>
      <c r="F241" s="4"/>
      <c r="G241" s="4"/>
      <c r="H241" s="4"/>
      <c r="I241" s="4"/>
      <c r="J241" s="50"/>
      <c r="K241" s="67"/>
      <c r="L241" s="67"/>
      <c r="M241" s="4"/>
      <c r="N241" s="4"/>
      <c r="O241" s="4"/>
      <c r="P241" s="38"/>
      <c r="Q241" t="str" cm="1">
        <f t="array" ref="Q241">IF($P241="","",_xlfn._xlws.FILTER(LT_LST[Lot],(LT_LST[Client Id.]=$C241)*(LT_LST[Strategy]=$D241)*(LT_LST[DTE/WTE]=$E241)*(LT_LST[Symbol]=$I241)))</f>
        <v/>
      </c>
    </row>
    <row r="242" spans="3:17" x14ac:dyDescent="0.25">
      <c r="C242" t="str">
        <f t="shared" si="3"/>
        <v/>
      </c>
      <c r="E242" s="4"/>
      <c r="F242" s="4"/>
      <c r="G242" s="4"/>
      <c r="H242" s="4"/>
      <c r="I242" s="4"/>
      <c r="J242" s="50"/>
      <c r="K242" s="67"/>
      <c r="L242" s="67"/>
      <c r="M242" s="4"/>
      <c r="N242" s="4"/>
      <c r="O242" s="4"/>
      <c r="P242" s="38"/>
      <c r="Q242" t="str" cm="1">
        <f t="array" ref="Q242">IF($P242="","",_xlfn._xlws.FILTER(LT_LST[Lot],(LT_LST[Client Id.]=$C242)*(LT_LST[Strategy]=$D242)*(LT_LST[DTE/WTE]=$E242)*(LT_LST[Symbol]=$I242)))</f>
        <v/>
      </c>
    </row>
    <row r="243" spans="3:17" x14ac:dyDescent="0.25">
      <c r="C243" t="str">
        <f t="shared" si="3"/>
        <v/>
      </c>
      <c r="E243" s="4"/>
      <c r="F243" s="4"/>
      <c r="G243" s="4"/>
      <c r="H243" s="4"/>
      <c r="I243" s="4"/>
      <c r="J243" s="50"/>
      <c r="K243" s="67"/>
      <c r="L243" s="67"/>
      <c r="M243" s="4"/>
      <c r="N243" s="4"/>
      <c r="O243" s="4"/>
      <c r="P243" s="38"/>
      <c r="Q243" t="str" cm="1">
        <f t="array" ref="Q243">IF($P243="","",_xlfn._xlws.FILTER(LT_LST[Lot],(LT_LST[Client Id.]=$C243)*(LT_LST[Strategy]=$D243)*(LT_LST[DTE/WTE]=$E243)*(LT_LST[Symbol]=$I243)))</f>
        <v/>
      </c>
    </row>
    <row r="244" spans="3:17" x14ac:dyDescent="0.25">
      <c r="C244" t="str">
        <f t="shared" si="3"/>
        <v/>
      </c>
      <c r="E244" s="4"/>
      <c r="F244" s="4"/>
      <c r="G244" s="4"/>
      <c r="H244" s="4"/>
      <c r="I244" s="4"/>
      <c r="J244" s="50"/>
      <c r="K244" s="67"/>
      <c r="L244" s="67"/>
      <c r="M244" s="4"/>
      <c r="N244" s="4"/>
      <c r="O244" s="4"/>
      <c r="P244" s="38"/>
      <c r="Q244" t="str" cm="1">
        <f t="array" ref="Q244">IF($P244="","",_xlfn._xlws.FILTER(LT_LST[Lot],(LT_LST[Client Id.]=$C244)*(LT_LST[Strategy]=$D244)*(LT_LST[DTE/WTE]=$E244)*(LT_LST[Symbol]=$I244)))</f>
        <v/>
      </c>
    </row>
    <row r="245" spans="3:17" x14ac:dyDescent="0.25">
      <c r="C245" t="str">
        <f t="shared" si="3"/>
        <v/>
      </c>
      <c r="E245" s="4"/>
      <c r="F245" s="4"/>
      <c r="G245" s="4"/>
      <c r="H245" s="4"/>
      <c r="I245" s="4"/>
      <c r="J245" s="50"/>
      <c r="K245" s="67"/>
      <c r="L245" s="67"/>
      <c r="M245" s="4"/>
      <c r="N245" s="4"/>
      <c r="O245" s="4"/>
      <c r="P245" s="38"/>
      <c r="Q245" t="str" cm="1">
        <f t="array" ref="Q245">IF($P245="","",_xlfn._xlws.FILTER(LT_LST[Lot],(LT_LST[Client Id.]=$C245)*(LT_LST[Strategy]=$D245)*(LT_LST[DTE/WTE]=$E245)*(LT_LST[Symbol]=$I245)))</f>
        <v/>
      </c>
    </row>
    <row r="246" spans="3:17" x14ac:dyDescent="0.25">
      <c r="C246" t="str">
        <f t="shared" si="3"/>
        <v/>
      </c>
      <c r="E246" s="4"/>
      <c r="F246" s="4"/>
      <c r="G246" s="4"/>
      <c r="H246" s="4"/>
      <c r="I246" s="4"/>
      <c r="J246" s="50"/>
      <c r="K246" s="67"/>
      <c r="L246" s="67"/>
      <c r="M246" s="4"/>
      <c r="N246" s="4"/>
      <c r="O246" s="4"/>
      <c r="P246" s="38"/>
      <c r="Q246" t="str" cm="1">
        <f t="array" ref="Q246">IF($P246="","",_xlfn._xlws.FILTER(LT_LST[Lot],(LT_LST[Client Id.]=$C246)*(LT_LST[Strategy]=$D246)*(LT_LST[DTE/WTE]=$E246)*(LT_LST[Symbol]=$I246)))</f>
        <v/>
      </c>
    </row>
    <row r="247" spans="3:17" x14ac:dyDescent="0.25">
      <c r="C247" t="str">
        <f t="shared" si="3"/>
        <v/>
      </c>
      <c r="E247" s="4"/>
      <c r="F247" s="4"/>
      <c r="G247" s="4"/>
      <c r="H247" s="4"/>
      <c r="I247" s="4"/>
      <c r="J247" s="50"/>
      <c r="K247" s="67"/>
      <c r="L247" s="67"/>
      <c r="M247" s="4"/>
      <c r="N247" s="4"/>
      <c r="O247" s="4"/>
      <c r="P247" s="38"/>
      <c r="Q247" t="str" cm="1">
        <f t="array" ref="Q247">IF($P247="","",_xlfn._xlws.FILTER(LT_LST[Lot],(LT_LST[Client Id.]=$C247)*(LT_LST[Strategy]=$D247)*(LT_LST[DTE/WTE]=$E247)*(LT_LST[Symbol]=$I247)))</f>
        <v/>
      </c>
    </row>
    <row r="248" spans="3:17" x14ac:dyDescent="0.25">
      <c r="C248" t="str">
        <f t="shared" si="3"/>
        <v/>
      </c>
      <c r="E248" s="4"/>
      <c r="F248" s="4"/>
      <c r="G248" s="4"/>
      <c r="H248" s="4"/>
      <c r="I248" s="4"/>
      <c r="J248" s="50"/>
      <c r="K248" s="67"/>
      <c r="L248" s="67"/>
      <c r="M248" s="4"/>
      <c r="N248" s="4"/>
      <c r="O248" s="4"/>
      <c r="P248" s="38"/>
      <c r="Q248" t="str" cm="1">
        <f t="array" ref="Q248">IF($P248="","",_xlfn._xlws.FILTER(LT_LST[Lot],(LT_LST[Client Id.]=$C248)*(LT_LST[Strategy]=$D248)*(LT_LST[DTE/WTE]=$E248)*(LT_LST[Symbol]=$I248)))</f>
        <v/>
      </c>
    </row>
    <row r="249" spans="3:17" x14ac:dyDescent="0.25">
      <c r="C249" t="str">
        <f t="shared" si="3"/>
        <v/>
      </c>
      <c r="E249" s="4"/>
      <c r="F249" s="4"/>
      <c r="G249" s="4"/>
      <c r="H249" s="4"/>
      <c r="I249" s="4"/>
      <c r="J249" s="50"/>
      <c r="K249" s="67"/>
      <c r="L249" s="67"/>
      <c r="M249" s="4"/>
      <c r="N249" s="4"/>
      <c r="O249" s="4"/>
      <c r="P249" s="38"/>
      <c r="Q249" t="str" cm="1">
        <f t="array" ref="Q249">IF($P249="","",_xlfn._xlws.FILTER(LT_LST[Lot],(LT_LST[Client Id.]=$C249)*(LT_LST[Strategy]=$D249)*(LT_LST[DTE/WTE]=$E249)*(LT_LST[Symbol]=$I249)))</f>
        <v/>
      </c>
    </row>
    <row r="250" spans="3:17" x14ac:dyDescent="0.25">
      <c r="C250" t="str">
        <f t="shared" si="3"/>
        <v/>
      </c>
      <c r="E250" s="4"/>
      <c r="F250" s="4"/>
      <c r="G250" s="4"/>
      <c r="H250" s="4"/>
      <c r="I250" s="4"/>
      <c r="J250" s="50"/>
      <c r="K250" s="67"/>
      <c r="L250" s="67"/>
      <c r="M250" s="4"/>
      <c r="N250" s="4"/>
      <c r="O250" s="4"/>
      <c r="P250" s="38"/>
      <c r="Q250" t="str" cm="1">
        <f t="array" ref="Q250">IF($P250="","",_xlfn._xlws.FILTER(LT_LST[Lot],(LT_LST[Client Id.]=$C250)*(LT_LST[Strategy]=$D250)*(LT_LST[DTE/WTE]=$E250)*(LT_LST[Symbol]=$I250)))</f>
        <v/>
      </c>
    </row>
    <row r="251" spans="3:17" x14ac:dyDescent="0.25">
      <c r="C251" t="str">
        <f t="shared" si="3"/>
        <v/>
      </c>
      <c r="E251" s="4"/>
      <c r="F251" s="4"/>
      <c r="G251" s="4"/>
      <c r="H251" s="4"/>
      <c r="I251" s="4"/>
      <c r="J251" s="50"/>
      <c r="K251" s="67"/>
      <c r="L251" s="67"/>
      <c r="M251" s="4"/>
      <c r="N251" s="4"/>
      <c r="O251" s="4"/>
      <c r="P251" s="38"/>
      <c r="Q251" t="str" cm="1">
        <f t="array" ref="Q251">IF($P251="","",_xlfn._xlws.FILTER(LT_LST[Lot],(LT_LST[Client Id.]=$C251)*(LT_LST[Strategy]=$D251)*(LT_LST[DTE/WTE]=$E251)*(LT_LST[Symbol]=$I251)))</f>
        <v/>
      </c>
    </row>
    <row r="252" spans="3:17" x14ac:dyDescent="0.25">
      <c r="C252" t="str">
        <f t="shared" si="3"/>
        <v/>
      </c>
      <c r="E252" s="4"/>
      <c r="F252" s="4"/>
      <c r="G252" s="4"/>
      <c r="H252" s="4"/>
      <c r="I252" s="4"/>
      <c r="J252" s="50"/>
      <c r="K252" s="67"/>
      <c r="L252" s="67"/>
      <c r="M252" s="4"/>
      <c r="N252" s="4"/>
      <c r="O252" s="4"/>
      <c r="P252" s="38"/>
      <c r="Q252" t="str" cm="1">
        <f t="array" ref="Q252">IF($P252="","",_xlfn._xlws.FILTER(LT_LST[Lot],(LT_LST[Client Id.]=$C252)*(LT_LST[Strategy]=$D252)*(LT_LST[DTE/WTE]=$E252)*(LT_LST[Symbol]=$I252)))</f>
        <v/>
      </c>
    </row>
    <row r="253" spans="3:17" x14ac:dyDescent="0.25">
      <c r="C253" t="str">
        <f t="shared" si="3"/>
        <v/>
      </c>
      <c r="E253" s="4"/>
      <c r="F253" s="4"/>
      <c r="G253" s="4"/>
      <c r="H253" s="4"/>
      <c r="I253" s="4"/>
      <c r="J253" s="50"/>
      <c r="K253" s="67"/>
      <c r="L253" s="67"/>
      <c r="M253" s="4"/>
      <c r="N253" s="4"/>
      <c r="O253" s="4"/>
      <c r="P253" s="38"/>
      <c r="Q253" t="str" cm="1">
        <f t="array" ref="Q253">IF($P253="","",_xlfn._xlws.FILTER(LT_LST[Lot],(LT_LST[Client Id.]=$C253)*(LT_LST[Strategy]=$D253)*(LT_LST[DTE/WTE]=$E253)*(LT_LST[Symbol]=$I253)))</f>
        <v/>
      </c>
    </row>
    <row r="254" spans="3:17" x14ac:dyDescent="0.25">
      <c r="C254" t="str">
        <f t="shared" si="3"/>
        <v/>
      </c>
      <c r="E254" s="4"/>
      <c r="F254" s="4"/>
      <c r="G254" s="4"/>
      <c r="H254" s="4"/>
      <c r="I254" s="4"/>
      <c r="J254" s="50"/>
      <c r="K254" s="67"/>
      <c r="L254" s="67"/>
      <c r="M254" s="4"/>
      <c r="N254" s="4"/>
      <c r="O254" s="4"/>
      <c r="P254" s="38"/>
      <c r="Q254" t="str" cm="1">
        <f t="array" ref="Q254">IF($P254="","",_xlfn._xlws.FILTER(LT_LST[Lot],(LT_LST[Client Id.]=$C254)*(LT_LST[Strategy]=$D254)*(LT_LST[DTE/WTE]=$E254)*(LT_LST[Symbol]=$I254)))</f>
        <v/>
      </c>
    </row>
    <row r="255" spans="3:17" x14ac:dyDescent="0.25">
      <c r="C255" t="str">
        <f t="shared" si="3"/>
        <v/>
      </c>
      <c r="E255" s="4"/>
      <c r="F255" s="4"/>
      <c r="G255" s="4"/>
      <c r="H255" s="4"/>
      <c r="I255" s="4"/>
      <c r="J255" s="50"/>
      <c r="K255" s="67"/>
      <c r="L255" s="67"/>
      <c r="M255" s="4"/>
      <c r="N255" s="4"/>
      <c r="O255" s="4"/>
      <c r="P255" s="38"/>
      <c r="Q255" t="str" cm="1">
        <f t="array" ref="Q255">IF($P255="","",_xlfn._xlws.FILTER(LT_LST[Lot],(LT_LST[Client Id.]=$C255)*(LT_LST[Strategy]=$D255)*(LT_LST[DTE/WTE]=$E255)*(LT_LST[Symbol]=$I255)))</f>
        <v/>
      </c>
    </row>
    <row r="256" spans="3:17" x14ac:dyDescent="0.25">
      <c r="C256" t="str">
        <f t="shared" si="3"/>
        <v/>
      </c>
      <c r="E256" s="4"/>
      <c r="F256" s="4"/>
      <c r="G256" s="4"/>
      <c r="H256" s="4"/>
      <c r="I256" s="4"/>
      <c r="J256" s="50"/>
      <c r="K256" s="67"/>
      <c r="L256" s="67"/>
      <c r="M256" s="4"/>
      <c r="N256" s="4"/>
      <c r="O256" s="4"/>
      <c r="P256" s="38"/>
      <c r="Q256" t="str" cm="1">
        <f t="array" ref="Q256">IF($P256="","",_xlfn._xlws.FILTER(LT_LST[Lot],(LT_LST[Client Id.]=$C256)*(LT_LST[Strategy]=$D256)*(LT_LST[DTE/WTE]=$E256)*(LT_LST[Symbol]=$I256)))</f>
        <v/>
      </c>
    </row>
    <row r="257" spans="3:17" x14ac:dyDescent="0.25">
      <c r="C257" t="str">
        <f t="shared" si="3"/>
        <v/>
      </c>
      <c r="E257" s="4"/>
      <c r="F257" s="4"/>
      <c r="G257" s="4"/>
      <c r="H257" s="4"/>
      <c r="I257" s="4"/>
      <c r="J257" s="50"/>
      <c r="K257" s="67"/>
      <c r="L257" s="67"/>
      <c r="M257" s="4"/>
      <c r="N257" s="4"/>
      <c r="O257" s="4"/>
      <c r="P257" s="38"/>
      <c r="Q257" t="str" cm="1">
        <f t="array" ref="Q257">IF($P257="","",_xlfn._xlws.FILTER(LT_LST[Lot],(LT_LST[Client Id.]=$C257)*(LT_LST[Strategy]=$D257)*(LT_LST[DTE/WTE]=$E257)*(LT_LST[Symbol]=$I257)))</f>
        <v/>
      </c>
    </row>
    <row r="258" spans="3:17" x14ac:dyDescent="0.25">
      <c r="C258" t="str">
        <f t="shared" si="3"/>
        <v/>
      </c>
      <c r="E258" s="4"/>
      <c r="F258" s="4"/>
      <c r="G258" s="4"/>
      <c r="H258" s="4"/>
      <c r="I258" s="4"/>
      <c r="J258" s="50"/>
      <c r="K258" s="67"/>
      <c r="L258" s="67"/>
      <c r="M258" s="4"/>
      <c r="N258" s="4"/>
      <c r="O258" s="4"/>
      <c r="P258" s="38"/>
      <c r="Q258" t="str" cm="1">
        <f t="array" ref="Q258">IF($P258="","",_xlfn._xlws.FILTER(LT_LST[Lot],(LT_LST[Client Id.]=$C258)*(LT_LST[Strategy]=$D258)*(LT_LST[DTE/WTE]=$E258)*(LT_LST[Symbol]=$I258)))</f>
        <v/>
      </c>
    </row>
    <row r="259" spans="3:17" x14ac:dyDescent="0.25">
      <c r="C259" t="str">
        <f t="shared" si="3"/>
        <v/>
      </c>
      <c r="E259" s="4"/>
      <c r="F259" s="4"/>
      <c r="G259" s="4"/>
      <c r="H259" s="4"/>
      <c r="I259" s="4"/>
      <c r="J259" s="50"/>
      <c r="K259" s="67"/>
      <c r="L259" s="67"/>
      <c r="M259" s="4"/>
      <c r="N259" s="4"/>
      <c r="O259" s="4"/>
      <c r="P259" s="38"/>
      <c r="Q259" t="str" cm="1">
        <f t="array" ref="Q259">IF($P259="","",_xlfn._xlws.FILTER(LT_LST[Lot],(LT_LST[Client Id.]=$C259)*(LT_LST[Strategy]=$D259)*(LT_LST[DTE/WTE]=$E259)*(LT_LST[Symbol]=$I259)))</f>
        <v/>
      </c>
    </row>
    <row r="260" spans="3:17" x14ac:dyDescent="0.25">
      <c r="C260" t="str">
        <f t="shared" ref="C260:C323" si="4">IF(D260="","",$A$1)</f>
        <v/>
      </c>
      <c r="E260" s="4"/>
      <c r="F260" s="4"/>
      <c r="G260" s="4"/>
      <c r="H260" s="4"/>
      <c r="I260" s="4"/>
      <c r="J260" s="50"/>
      <c r="K260" s="67"/>
      <c r="L260" s="67"/>
      <c r="M260" s="4"/>
      <c r="N260" s="4"/>
      <c r="O260" s="4"/>
      <c r="P260" s="38"/>
      <c r="Q260" t="str" cm="1">
        <f t="array" ref="Q260">IF($P260="","",_xlfn._xlws.FILTER(LT_LST[Lot],(LT_LST[Client Id.]=$C260)*(LT_LST[Strategy]=$D260)*(LT_LST[DTE/WTE]=$E260)*(LT_LST[Symbol]=$I260)))</f>
        <v/>
      </c>
    </row>
    <row r="261" spans="3:17" x14ac:dyDescent="0.25">
      <c r="C261" t="str">
        <f t="shared" si="4"/>
        <v/>
      </c>
      <c r="E261" s="4"/>
      <c r="F261" s="4"/>
      <c r="G261" s="4"/>
      <c r="H261" s="4"/>
      <c r="I261" s="4"/>
      <c r="J261" s="50"/>
      <c r="K261" s="67"/>
      <c r="L261" s="67"/>
      <c r="M261" s="4"/>
      <c r="N261" s="4"/>
      <c r="O261" s="4"/>
      <c r="P261" s="38"/>
      <c r="Q261" t="str" cm="1">
        <f t="array" ref="Q261">IF($P261="","",_xlfn._xlws.FILTER(LT_LST[Lot],(LT_LST[Client Id.]=$C261)*(LT_LST[Strategy]=$D261)*(LT_LST[DTE/WTE]=$E261)*(LT_LST[Symbol]=$I261)))</f>
        <v/>
      </c>
    </row>
    <row r="262" spans="3:17" x14ac:dyDescent="0.25">
      <c r="C262" t="str">
        <f t="shared" si="4"/>
        <v/>
      </c>
      <c r="E262" s="4"/>
      <c r="F262" s="4"/>
      <c r="G262" s="4"/>
      <c r="H262" s="4"/>
      <c r="I262" s="4"/>
      <c r="J262" s="50"/>
      <c r="K262" s="67"/>
      <c r="L262" s="67"/>
      <c r="M262" s="4"/>
      <c r="N262" s="4"/>
      <c r="O262" s="4"/>
      <c r="P262" s="38"/>
      <c r="Q262" t="str" cm="1">
        <f t="array" ref="Q262">IF($P262="","",_xlfn._xlws.FILTER(LT_LST[Lot],(LT_LST[Client Id.]=$C262)*(LT_LST[Strategy]=$D262)*(LT_LST[DTE/WTE]=$E262)*(LT_LST[Symbol]=$I262)))</f>
        <v/>
      </c>
    </row>
    <row r="263" spans="3:17" x14ac:dyDescent="0.25">
      <c r="C263" t="str">
        <f t="shared" si="4"/>
        <v/>
      </c>
      <c r="E263" s="4"/>
      <c r="F263" s="4"/>
      <c r="G263" s="4"/>
      <c r="H263" s="4"/>
      <c r="I263" s="4"/>
      <c r="J263" s="50"/>
      <c r="K263" s="67"/>
      <c r="L263" s="67"/>
      <c r="M263" s="4"/>
      <c r="N263" s="4"/>
      <c r="O263" s="4"/>
      <c r="P263" s="38"/>
      <c r="Q263" t="str" cm="1">
        <f t="array" ref="Q263">IF($P263="","",_xlfn._xlws.FILTER(LT_LST[Lot],(LT_LST[Client Id.]=$C263)*(LT_LST[Strategy]=$D263)*(LT_LST[DTE/WTE]=$E263)*(LT_LST[Symbol]=$I263)))</f>
        <v/>
      </c>
    </row>
    <row r="264" spans="3:17" x14ac:dyDescent="0.25">
      <c r="C264" t="str">
        <f t="shared" si="4"/>
        <v/>
      </c>
      <c r="E264" s="4"/>
      <c r="F264" s="4"/>
      <c r="G264" s="4"/>
      <c r="H264" s="4"/>
      <c r="I264" s="4"/>
      <c r="J264" s="50"/>
      <c r="K264" s="67"/>
      <c r="L264" s="67"/>
      <c r="M264" s="4"/>
      <c r="N264" s="4"/>
      <c r="O264" s="4"/>
      <c r="P264" s="38"/>
      <c r="Q264" t="str" cm="1">
        <f t="array" ref="Q264">IF($P264="","",_xlfn._xlws.FILTER(LT_LST[Lot],(LT_LST[Client Id.]=$C264)*(LT_LST[Strategy]=$D264)*(LT_LST[DTE/WTE]=$E264)*(LT_LST[Symbol]=$I264)))</f>
        <v/>
      </c>
    </row>
    <row r="265" spans="3:17" x14ac:dyDescent="0.25">
      <c r="C265" t="str">
        <f t="shared" si="4"/>
        <v/>
      </c>
      <c r="E265" s="4"/>
      <c r="F265" s="4"/>
      <c r="G265" s="4"/>
      <c r="H265" s="4"/>
      <c r="I265" s="4"/>
      <c r="J265" s="50"/>
      <c r="K265" s="67"/>
      <c r="L265" s="67"/>
      <c r="M265" s="4"/>
      <c r="N265" s="4"/>
      <c r="O265" s="4"/>
      <c r="P265" s="38"/>
      <c r="Q265" t="str" cm="1">
        <f t="array" ref="Q265">IF($P265="","",_xlfn._xlws.FILTER(LT_LST[Lot],(LT_LST[Client Id.]=$C265)*(LT_LST[Strategy]=$D265)*(LT_LST[DTE/WTE]=$E265)*(LT_LST[Symbol]=$I265)))</f>
        <v/>
      </c>
    </row>
    <row r="266" spans="3:17" x14ac:dyDescent="0.25">
      <c r="C266" t="str">
        <f t="shared" si="4"/>
        <v/>
      </c>
      <c r="E266" s="4"/>
      <c r="F266" s="4"/>
      <c r="G266" s="4"/>
      <c r="H266" s="4"/>
      <c r="I266" s="4"/>
      <c r="J266" s="50"/>
      <c r="K266" s="67"/>
      <c r="L266" s="67"/>
      <c r="M266" s="4"/>
      <c r="N266" s="4"/>
      <c r="O266" s="4"/>
      <c r="P266" s="38"/>
      <c r="Q266" t="str" cm="1">
        <f t="array" ref="Q266">IF($P266="","",_xlfn._xlws.FILTER(LT_LST[Lot],(LT_LST[Client Id.]=$C266)*(LT_LST[Strategy]=$D266)*(LT_LST[DTE/WTE]=$E266)*(LT_LST[Symbol]=$I266)))</f>
        <v/>
      </c>
    </row>
    <row r="267" spans="3:17" x14ac:dyDescent="0.25">
      <c r="C267" t="str">
        <f t="shared" si="4"/>
        <v/>
      </c>
      <c r="E267" s="4"/>
      <c r="F267" s="4"/>
      <c r="G267" s="4"/>
      <c r="H267" s="4"/>
      <c r="I267" s="4"/>
      <c r="J267" s="50"/>
      <c r="K267" s="67"/>
      <c r="L267" s="67"/>
      <c r="M267" s="4"/>
      <c r="N267" s="4"/>
      <c r="O267" s="4"/>
      <c r="P267" s="38"/>
      <c r="Q267" t="str" cm="1">
        <f t="array" ref="Q267">IF($P267="","",_xlfn._xlws.FILTER(LT_LST[Lot],(LT_LST[Client Id.]=$C267)*(LT_LST[Strategy]=$D267)*(LT_LST[DTE/WTE]=$E267)*(LT_LST[Symbol]=$I267)))</f>
        <v/>
      </c>
    </row>
    <row r="268" spans="3:17" x14ac:dyDescent="0.25">
      <c r="C268" t="str">
        <f t="shared" si="4"/>
        <v/>
      </c>
      <c r="E268" s="4"/>
      <c r="F268" s="4"/>
      <c r="G268" s="4"/>
      <c r="H268" s="4"/>
      <c r="I268" s="4"/>
      <c r="J268" s="50"/>
      <c r="K268" s="67"/>
      <c r="L268" s="67"/>
      <c r="M268" s="4"/>
      <c r="N268" s="4"/>
      <c r="O268" s="4"/>
      <c r="P268" s="38"/>
      <c r="Q268" t="str" cm="1">
        <f t="array" ref="Q268">IF($P268="","",_xlfn._xlws.FILTER(LT_LST[Lot],(LT_LST[Client Id.]=$C268)*(LT_LST[Strategy]=$D268)*(LT_LST[DTE/WTE]=$E268)*(LT_LST[Symbol]=$I268)))</f>
        <v/>
      </c>
    </row>
    <row r="269" spans="3:17" x14ac:dyDescent="0.25">
      <c r="C269" t="str">
        <f t="shared" si="4"/>
        <v/>
      </c>
      <c r="E269" s="4"/>
      <c r="F269" s="4"/>
      <c r="G269" s="4"/>
      <c r="H269" s="4"/>
      <c r="I269" s="4"/>
      <c r="J269" s="50"/>
      <c r="K269" s="67"/>
      <c r="L269" s="67"/>
      <c r="M269" s="4"/>
      <c r="N269" s="4"/>
      <c r="O269" s="4"/>
      <c r="P269" s="38"/>
      <c r="Q269" t="str" cm="1">
        <f t="array" ref="Q269">IF($P269="","",_xlfn._xlws.FILTER(LT_LST[Lot],(LT_LST[Client Id.]=$C269)*(LT_LST[Strategy]=$D269)*(LT_LST[DTE/WTE]=$E269)*(LT_LST[Symbol]=$I269)))</f>
        <v/>
      </c>
    </row>
    <row r="270" spans="3:17" x14ac:dyDescent="0.25">
      <c r="C270" t="str">
        <f t="shared" si="4"/>
        <v/>
      </c>
      <c r="E270" s="4"/>
      <c r="F270" s="4"/>
      <c r="G270" s="4"/>
      <c r="H270" s="4"/>
      <c r="I270" s="4"/>
      <c r="J270" s="50"/>
      <c r="K270" s="67"/>
      <c r="L270" s="67"/>
      <c r="M270" s="4"/>
      <c r="N270" s="4"/>
      <c r="O270" s="4"/>
      <c r="P270" s="38"/>
      <c r="Q270" t="str" cm="1">
        <f t="array" ref="Q270">IF($P270="","",_xlfn._xlws.FILTER(LT_LST[Lot],(LT_LST[Client Id.]=$C270)*(LT_LST[Strategy]=$D270)*(LT_LST[DTE/WTE]=$E270)*(LT_LST[Symbol]=$I270)))</f>
        <v/>
      </c>
    </row>
    <row r="271" spans="3:17" x14ac:dyDescent="0.25">
      <c r="C271" t="str">
        <f t="shared" si="4"/>
        <v/>
      </c>
      <c r="E271" s="4"/>
      <c r="F271" s="4"/>
      <c r="G271" s="4"/>
      <c r="H271" s="4"/>
      <c r="I271" s="4"/>
      <c r="J271" s="50"/>
      <c r="K271" s="67"/>
      <c r="L271" s="67"/>
      <c r="M271" s="4"/>
      <c r="N271" s="4"/>
      <c r="O271" s="4"/>
      <c r="P271" s="38"/>
      <c r="Q271" t="str" cm="1">
        <f t="array" ref="Q271">IF($P271="","",_xlfn._xlws.FILTER(LT_LST[Lot],(LT_LST[Client Id.]=$C271)*(LT_LST[Strategy]=$D271)*(LT_LST[DTE/WTE]=$E271)*(LT_LST[Symbol]=$I271)))</f>
        <v/>
      </c>
    </row>
    <row r="272" spans="3:17" x14ac:dyDescent="0.25">
      <c r="C272" t="str">
        <f t="shared" si="4"/>
        <v/>
      </c>
      <c r="E272" s="4"/>
      <c r="F272" s="4"/>
      <c r="G272" s="4"/>
      <c r="H272" s="4"/>
      <c r="I272" s="4"/>
      <c r="J272" s="50"/>
      <c r="K272" s="67"/>
      <c r="L272" s="67"/>
      <c r="M272" s="4"/>
      <c r="N272" s="4"/>
      <c r="O272" s="4"/>
      <c r="P272" s="38"/>
      <c r="Q272" t="str" cm="1">
        <f t="array" ref="Q272">IF($P272="","",_xlfn._xlws.FILTER(LT_LST[Lot],(LT_LST[Client Id.]=$C272)*(LT_LST[Strategy]=$D272)*(LT_LST[DTE/WTE]=$E272)*(LT_LST[Symbol]=$I272)))</f>
        <v/>
      </c>
    </row>
    <row r="273" spans="3:17" x14ac:dyDescent="0.25">
      <c r="C273" t="str">
        <f t="shared" si="4"/>
        <v/>
      </c>
      <c r="E273" s="4"/>
      <c r="F273" s="4"/>
      <c r="G273" s="4"/>
      <c r="H273" s="4"/>
      <c r="I273" s="4"/>
      <c r="J273" s="50"/>
      <c r="K273" s="67"/>
      <c r="L273" s="67"/>
      <c r="M273" s="4"/>
      <c r="N273" s="4"/>
      <c r="O273" s="4"/>
      <c r="P273" s="38"/>
      <c r="Q273" t="str" cm="1">
        <f t="array" ref="Q273">IF($P273="","",_xlfn._xlws.FILTER(LT_LST[Lot],(LT_LST[Client Id.]=$C273)*(LT_LST[Strategy]=$D273)*(LT_LST[DTE/WTE]=$E273)*(LT_LST[Symbol]=$I273)))</f>
        <v/>
      </c>
    </row>
    <row r="274" spans="3:17" x14ac:dyDescent="0.25">
      <c r="C274" t="str">
        <f t="shared" si="4"/>
        <v/>
      </c>
      <c r="E274" s="4"/>
      <c r="F274" s="4"/>
      <c r="G274" s="4"/>
      <c r="H274" s="4"/>
      <c r="I274" s="4"/>
      <c r="J274" s="50"/>
      <c r="K274" s="67"/>
      <c r="L274" s="67"/>
      <c r="M274" s="4"/>
      <c r="N274" s="4"/>
      <c r="O274" s="4"/>
      <c r="P274" s="38"/>
      <c r="Q274" t="str" cm="1">
        <f t="array" ref="Q274">IF($P274="","",_xlfn._xlws.FILTER(LT_LST[Lot],(LT_LST[Client Id.]=$C274)*(LT_LST[Strategy]=$D274)*(LT_LST[DTE/WTE]=$E274)*(LT_LST[Symbol]=$I274)))</f>
        <v/>
      </c>
    </row>
    <row r="275" spans="3:17" x14ac:dyDescent="0.25">
      <c r="C275" t="str">
        <f t="shared" si="4"/>
        <v/>
      </c>
      <c r="E275" s="4"/>
      <c r="F275" s="4"/>
      <c r="G275" s="4"/>
      <c r="H275" s="4"/>
      <c r="I275" s="4"/>
      <c r="J275" s="50"/>
      <c r="K275" s="67"/>
      <c r="L275" s="67"/>
      <c r="M275" s="4"/>
      <c r="N275" s="4"/>
      <c r="O275" s="4"/>
      <c r="P275" s="38"/>
      <c r="Q275" t="str" cm="1">
        <f t="array" ref="Q275">IF($P275="","",_xlfn._xlws.FILTER(LT_LST[Lot],(LT_LST[Client Id.]=$C275)*(LT_LST[Strategy]=$D275)*(LT_LST[DTE/WTE]=$E275)*(LT_LST[Symbol]=$I275)))</f>
        <v/>
      </c>
    </row>
    <row r="276" spans="3:17" x14ac:dyDescent="0.25">
      <c r="C276" t="str">
        <f t="shared" si="4"/>
        <v/>
      </c>
      <c r="E276" s="4"/>
      <c r="F276" s="4"/>
      <c r="G276" s="4"/>
      <c r="H276" s="4"/>
      <c r="I276" s="4"/>
      <c r="J276" s="50"/>
      <c r="K276" s="67"/>
      <c r="L276" s="67"/>
      <c r="M276" s="4"/>
      <c r="N276" s="4"/>
      <c r="O276" s="4"/>
      <c r="P276" s="38"/>
      <c r="Q276" t="str" cm="1">
        <f t="array" ref="Q276">IF($P276="","",_xlfn._xlws.FILTER(LT_LST[Lot],(LT_LST[Client Id.]=$C276)*(LT_LST[Strategy]=$D276)*(LT_LST[DTE/WTE]=$E276)*(LT_LST[Symbol]=$I276)))</f>
        <v/>
      </c>
    </row>
    <row r="277" spans="3:17" x14ac:dyDescent="0.25">
      <c r="C277" t="str">
        <f t="shared" si="4"/>
        <v/>
      </c>
      <c r="E277" s="4"/>
      <c r="F277" s="4"/>
      <c r="G277" s="4"/>
      <c r="H277" s="4"/>
      <c r="I277" s="4"/>
      <c r="J277" s="50"/>
      <c r="K277" s="67"/>
      <c r="L277" s="67"/>
      <c r="M277" s="4"/>
      <c r="N277" s="4"/>
      <c r="O277" s="4"/>
      <c r="P277" s="38"/>
      <c r="Q277" t="str" cm="1">
        <f t="array" ref="Q277">IF($P277="","",_xlfn._xlws.FILTER(LT_LST[Lot],(LT_LST[Client Id.]=$C277)*(LT_LST[Strategy]=$D277)*(LT_LST[DTE/WTE]=$E277)*(LT_LST[Symbol]=$I277)))</f>
        <v/>
      </c>
    </row>
    <row r="278" spans="3:17" x14ac:dyDescent="0.25">
      <c r="C278" t="str">
        <f t="shared" si="4"/>
        <v/>
      </c>
      <c r="E278" s="4"/>
      <c r="F278" s="4"/>
      <c r="G278" s="4"/>
      <c r="H278" s="4"/>
      <c r="I278" s="4"/>
      <c r="J278" s="50"/>
      <c r="K278" s="67"/>
      <c r="L278" s="67"/>
      <c r="M278" s="4"/>
      <c r="N278" s="4"/>
      <c r="O278" s="4"/>
      <c r="P278" s="38"/>
      <c r="Q278" t="str" cm="1">
        <f t="array" ref="Q278">IF($P278="","",_xlfn._xlws.FILTER(LT_LST[Lot],(LT_LST[Client Id.]=$C278)*(LT_LST[Strategy]=$D278)*(LT_LST[DTE/WTE]=$E278)*(LT_LST[Symbol]=$I278)))</f>
        <v/>
      </c>
    </row>
    <row r="279" spans="3:17" x14ac:dyDescent="0.25">
      <c r="C279" t="str">
        <f t="shared" si="4"/>
        <v/>
      </c>
      <c r="E279" s="4"/>
      <c r="F279" s="4"/>
      <c r="G279" s="4"/>
      <c r="H279" s="4"/>
      <c r="I279" s="4"/>
      <c r="J279" s="50"/>
      <c r="K279" s="67"/>
      <c r="L279" s="67"/>
      <c r="M279" s="4"/>
      <c r="N279" s="4"/>
      <c r="O279" s="4"/>
      <c r="P279" s="38"/>
      <c r="Q279" t="str" cm="1">
        <f t="array" ref="Q279">IF($P279="","",_xlfn._xlws.FILTER(LT_LST[Lot],(LT_LST[Client Id.]=$C279)*(LT_LST[Strategy]=$D279)*(LT_LST[DTE/WTE]=$E279)*(LT_LST[Symbol]=$I279)))</f>
        <v/>
      </c>
    </row>
    <row r="280" spans="3:17" x14ac:dyDescent="0.25">
      <c r="C280" t="str">
        <f t="shared" si="4"/>
        <v/>
      </c>
      <c r="E280" s="4"/>
      <c r="F280" s="4"/>
      <c r="G280" s="4"/>
      <c r="H280" s="4"/>
      <c r="I280" s="4"/>
      <c r="J280" s="50"/>
      <c r="K280" s="67"/>
      <c r="L280" s="67"/>
      <c r="M280" s="4"/>
      <c r="N280" s="4"/>
      <c r="O280" s="4"/>
      <c r="P280" s="38"/>
      <c r="Q280" t="str" cm="1">
        <f t="array" ref="Q280">IF($P280="","",_xlfn._xlws.FILTER(LT_LST[Lot],(LT_LST[Client Id.]=$C280)*(LT_LST[Strategy]=$D280)*(LT_LST[DTE/WTE]=$E280)*(LT_LST[Symbol]=$I280)))</f>
        <v/>
      </c>
    </row>
    <row r="281" spans="3:17" x14ac:dyDescent="0.25">
      <c r="C281" t="str">
        <f t="shared" si="4"/>
        <v/>
      </c>
      <c r="E281" s="4"/>
      <c r="F281" s="4"/>
      <c r="G281" s="4"/>
      <c r="H281" s="4"/>
      <c r="I281" s="4"/>
      <c r="J281" s="50"/>
      <c r="K281" s="67"/>
      <c r="L281" s="67"/>
      <c r="M281" s="4"/>
      <c r="N281" s="4"/>
      <c r="O281" s="4"/>
      <c r="P281" s="38"/>
      <c r="Q281" t="str" cm="1">
        <f t="array" ref="Q281">IF($P281="","",_xlfn._xlws.FILTER(LT_LST[Lot],(LT_LST[Client Id.]=$C281)*(LT_LST[Strategy]=$D281)*(LT_LST[DTE/WTE]=$E281)*(LT_LST[Symbol]=$I281)))</f>
        <v/>
      </c>
    </row>
    <row r="282" spans="3:17" x14ac:dyDescent="0.25">
      <c r="C282" t="str">
        <f t="shared" si="4"/>
        <v/>
      </c>
      <c r="E282" s="4"/>
      <c r="F282" s="4"/>
      <c r="G282" s="4"/>
      <c r="H282" s="4"/>
      <c r="I282" s="4"/>
      <c r="J282" s="50"/>
      <c r="K282" s="67"/>
      <c r="L282" s="67"/>
      <c r="M282" s="4"/>
      <c r="N282" s="4"/>
      <c r="O282" s="4"/>
      <c r="P282" s="38"/>
      <c r="Q282" t="str" cm="1">
        <f t="array" ref="Q282">IF($P282="","",_xlfn._xlws.FILTER(LT_LST[Lot],(LT_LST[Client Id.]=$C282)*(LT_LST[Strategy]=$D282)*(LT_LST[DTE/WTE]=$E282)*(LT_LST[Symbol]=$I282)))</f>
        <v/>
      </c>
    </row>
    <row r="283" spans="3:17" x14ac:dyDescent="0.25">
      <c r="C283" t="str">
        <f t="shared" si="4"/>
        <v/>
      </c>
      <c r="E283" s="4"/>
      <c r="F283" s="4"/>
      <c r="G283" s="4"/>
      <c r="H283" s="4"/>
      <c r="I283" s="4"/>
      <c r="J283" s="50"/>
      <c r="K283" s="67"/>
      <c r="L283" s="67"/>
      <c r="M283" s="4"/>
      <c r="N283" s="4"/>
      <c r="O283" s="4"/>
      <c r="P283" s="38"/>
      <c r="Q283" t="str" cm="1">
        <f t="array" ref="Q283">IF($P283="","",_xlfn._xlws.FILTER(LT_LST[Lot],(LT_LST[Client Id.]=$C283)*(LT_LST[Strategy]=$D283)*(LT_LST[DTE/WTE]=$E283)*(LT_LST[Symbol]=$I283)))</f>
        <v/>
      </c>
    </row>
    <row r="284" spans="3:17" x14ac:dyDescent="0.25">
      <c r="C284" t="str">
        <f t="shared" si="4"/>
        <v/>
      </c>
      <c r="E284" s="4"/>
      <c r="F284" s="4"/>
      <c r="G284" s="4"/>
      <c r="H284" s="4"/>
      <c r="I284" s="4"/>
      <c r="J284" s="50"/>
      <c r="K284" s="67"/>
      <c r="L284" s="67"/>
      <c r="M284" s="4"/>
      <c r="N284" s="4"/>
      <c r="O284" s="4"/>
      <c r="P284" s="38"/>
      <c r="Q284" t="str" cm="1">
        <f t="array" ref="Q284">IF($P284="","",_xlfn._xlws.FILTER(LT_LST[Lot],(LT_LST[Client Id.]=$C284)*(LT_LST[Strategy]=$D284)*(LT_LST[DTE/WTE]=$E284)*(LT_LST[Symbol]=$I284)))</f>
        <v/>
      </c>
    </row>
    <row r="285" spans="3:17" x14ac:dyDescent="0.25">
      <c r="C285" t="str">
        <f t="shared" si="4"/>
        <v/>
      </c>
      <c r="E285" s="4"/>
      <c r="F285" s="4"/>
      <c r="G285" s="4"/>
      <c r="H285" s="4"/>
      <c r="I285" s="4"/>
      <c r="J285" s="50"/>
      <c r="K285" s="67"/>
      <c r="L285" s="67"/>
      <c r="M285" s="4"/>
      <c r="N285" s="4"/>
      <c r="O285" s="4"/>
      <c r="P285" s="38"/>
      <c r="Q285" t="str" cm="1">
        <f t="array" ref="Q285">IF($P285="","",_xlfn._xlws.FILTER(LT_LST[Lot],(LT_LST[Client Id.]=$C285)*(LT_LST[Strategy]=$D285)*(LT_LST[DTE/WTE]=$E285)*(LT_LST[Symbol]=$I285)))</f>
        <v/>
      </c>
    </row>
    <row r="286" spans="3:17" x14ac:dyDescent="0.25">
      <c r="C286" t="str">
        <f t="shared" si="4"/>
        <v/>
      </c>
      <c r="E286" s="4"/>
      <c r="F286" s="4"/>
      <c r="G286" s="4"/>
      <c r="H286" s="4"/>
      <c r="I286" s="4"/>
      <c r="J286" s="50"/>
      <c r="K286" s="67"/>
      <c r="L286" s="67"/>
      <c r="M286" s="4"/>
      <c r="N286" s="4"/>
      <c r="O286" s="4"/>
      <c r="P286" s="38"/>
      <c r="Q286" t="str" cm="1">
        <f t="array" ref="Q286">IF($P286="","",_xlfn._xlws.FILTER(LT_LST[Lot],(LT_LST[Client Id.]=$C286)*(LT_LST[Strategy]=$D286)*(LT_LST[DTE/WTE]=$E286)*(LT_LST[Symbol]=$I286)))</f>
        <v/>
      </c>
    </row>
    <row r="287" spans="3:17" x14ac:dyDescent="0.25">
      <c r="C287" t="str">
        <f t="shared" si="4"/>
        <v/>
      </c>
      <c r="E287" s="4"/>
      <c r="F287" s="4"/>
      <c r="G287" s="4"/>
      <c r="H287" s="4"/>
      <c r="I287" s="4"/>
      <c r="J287" s="50"/>
      <c r="K287" s="67"/>
      <c r="L287" s="67"/>
      <c r="M287" s="4"/>
      <c r="N287" s="4"/>
      <c r="O287" s="4"/>
      <c r="P287" s="38"/>
      <c r="Q287" t="str" cm="1">
        <f t="array" ref="Q287">IF($P287="","",_xlfn._xlws.FILTER(LT_LST[Lot],(LT_LST[Client Id.]=$C287)*(LT_LST[Strategy]=$D287)*(LT_LST[DTE/WTE]=$E287)*(LT_LST[Symbol]=$I287)))</f>
        <v/>
      </c>
    </row>
    <row r="288" spans="3:17" x14ac:dyDescent="0.25">
      <c r="C288" t="str">
        <f t="shared" si="4"/>
        <v/>
      </c>
      <c r="E288" s="4"/>
      <c r="F288" s="4"/>
      <c r="G288" s="4"/>
      <c r="H288" s="4"/>
      <c r="I288" s="4"/>
      <c r="J288" s="50"/>
      <c r="K288" s="67"/>
      <c r="L288" s="67"/>
      <c r="M288" s="4"/>
      <c r="N288" s="4"/>
      <c r="O288" s="4"/>
      <c r="P288" s="38"/>
      <c r="Q288" t="str" cm="1">
        <f t="array" ref="Q288">IF($P288="","",_xlfn._xlws.FILTER(LT_LST[Lot],(LT_LST[Client Id.]=$C288)*(LT_LST[Strategy]=$D288)*(LT_LST[DTE/WTE]=$E288)*(LT_LST[Symbol]=$I288)))</f>
        <v/>
      </c>
    </row>
    <row r="289" spans="3:17" x14ac:dyDescent="0.25">
      <c r="C289" t="str">
        <f t="shared" si="4"/>
        <v/>
      </c>
      <c r="E289" s="4"/>
      <c r="F289" s="4"/>
      <c r="G289" s="4"/>
      <c r="H289" s="4"/>
      <c r="I289" s="4"/>
      <c r="J289" s="50"/>
      <c r="K289" s="67"/>
      <c r="L289" s="67"/>
      <c r="M289" s="4"/>
      <c r="N289" s="4"/>
      <c r="O289" s="4"/>
      <c r="P289" s="38"/>
      <c r="Q289" t="str" cm="1">
        <f t="array" ref="Q289">IF($P289="","",_xlfn._xlws.FILTER(LT_LST[Lot],(LT_LST[Client Id.]=$C289)*(LT_LST[Strategy]=$D289)*(LT_LST[DTE/WTE]=$E289)*(LT_LST[Symbol]=$I289)))</f>
        <v/>
      </c>
    </row>
    <row r="290" spans="3:17" x14ac:dyDescent="0.25">
      <c r="C290" t="str">
        <f t="shared" si="4"/>
        <v/>
      </c>
      <c r="E290" s="4"/>
      <c r="F290" s="4"/>
      <c r="G290" s="4"/>
      <c r="H290" s="4"/>
      <c r="I290" s="4"/>
      <c r="J290" s="50"/>
      <c r="K290" s="67"/>
      <c r="L290" s="67"/>
      <c r="M290" s="4"/>
      <c r="N290" s="4"/>
      <c r="O290" s="4"/>
      <c r="P290" s="38"/>
      <c r="Q290" t="str" cm="1">
        <f t="array" ref="Q290">IF($P290="","",_xlfn._xlws.FILTER(LT_LST[Lot],(LT_LST[Client Id.]=$C290)*(LT_LST[Strategy]=$D290)*(LT_LST[DTE/WTE]=$E290)*(LT_LST[Symbol]=$I290)))</f>
        <v/>
      </c>
    </row>
    <row r="291" spans="3:17" x14ac:dyDescent="0.25">
      <c r="C291" t="str">
        <f t="shared" si="4"/>
        <v/>
      </c>
      <c r="E291" s="4"/>
      <c r="F291" s="4"/>
      <c r="G291" s="4"/>
      <c r="H291" s="4"/>
      <c r="I291" s="4"/>
      <c r="J291" s="50"/>
      <c r="K291" s="67"/>
      <c r="L291" s="67"/>
      <c r="M291" s="4"/>
      <c r="N291" s="4"/>
      <c r="O291" s="4"/>
      <c r="P291" s="38"/>
      <c r="Q291" t="str" cm="1">
        <f t="array" ref="Q291">IF($P291="","",_xlfn._xlws.FILTER(LT_LST[Lot],(LT_LST[Client Id.]=$C291)*(LT_LST[Strategy]=$D291)*(LT_LST[DTE/WTE]=$E291)*(LT_LST[Symbol]=$I291)))</f>
        <v/>
      </c>
    </row>
    <row r="292" spans="3:17" x14ac:dyDescent="0.25">
      <c r="C292" t="str">
        <f t="shared" si="4"/>
        <v/>
      </c>
      <c r="E292" s="4"/>
      <c r="F292" s="4"/>
      <c r="G292" s="4"/>
      <c r="H292" s="4"/>
      <c r="I292" s="4"/>
      <c r="J292" s="50"/>
      <c r="K292" s="67"/>
      <c r="L292" s="67"/>
      <c r="M292" s="4"/>
      <c r="N292" s="4"/>
      <c r="O292" s="4"/>
      <c r="P292" s="38"/>
      <c r="Q292" t="str" cm="1">
        <f t="array" ref="Q292">IF($P292="","",_xlfn._xlws.FILTER(LT_LST[Lot],(LT_LST[Client Id.]=$C292)*(LT_LST[Strategy]=$D292)*(LT_LST[DTE/WTE]=$E292)*(LT_LST[Symbol]=$I292)))</f>
        <v/>
      </c>
    </row>
    <row r="293" spans="3:17" x14ac:dyDescent="0.25">
      <c r="C293" t="str">
        <f t="shared" si="4"/>
        <v/>
      </c>
      <c r="E293" s="4"/>
      <c r="F293" s="4"/>
      <c r="G293" s="4"/>
      <c r="H293" s="4"/>
      <c r="I293" s="4"/>
      <c r="J293" s="50"/>
      <c r="K293" s="67"/>
      <c r="L293" s="67"/>
      <c r="M293" s="4"/>
      <c r="N293" s="4"/>
      <c r="O293" s="4"/>
      <c r="P293" s="38"/>
      <c r="Q293" t="str" cm="1">
        <f t="array" ref="Q293">IF($P293="","",_xlfn._xlws.FILTER(LT_LST[Lot],(LT_LST[Client Id.]=$C293)*(LT_LST[Strategy]=$D293)*(LT_LST[DTE/WTE]=$E293)*(LT_LST[Symbol]=$I293)))</f>
        <v/>
      </c>
    </row>
    <row r="294" spans="3:17" x14ac:dyDescent="0.25">
      <c r="C294" t="str">
        <f t="shared" si="4"/>
        <v/>
      </c>
      <c r="E294" s="4"/>
      <c r="F294" s="4"/>
      <c r="G294" s="4"/>
      <c r="H294" s="4"/>
      <c r="I294" s="4"/>
      <c r="J294" s="50"/>
      <c r="K294" s="67"/>
      <c r="L294" s="67"/>
      <c r="M294" s="4"/>
      <c r="N294" s="4"/>
      <c r="O294" s="4"/>
      <c r="P294" s="38"/>
      <c r="Q294" t="str" cm="1">
        <f t="array" ref="Q294">IF($P294="","",_xlfn._xlws.FILTER(LT_LST[Lot],(LT_LST[Client Id.]=$C294)*(LT_LST[Strategy]=$D294)*(LT_LST[DTE/WTE]=$E294)*(LT_LST[Symbol]=$I294)))</f>
        <v/>
      </c>
    </row>
    <row r="295" spans="3:17" x14ac:dyDescent="0.25">
      <c r="C295" t="str">
        <f t="shared" si="4"/>
        <v/>
      </c>
      <c r="E295" s="4"/>
      <c r="F295" s="4"/>
      <c r="G295" s="4"/>
      <c r="H295" s="4"/>
      <c r="I295" s="4"/>
      <c r="J295" s="50"/>
      <c r="K295" s="67"/>
      <c r="L295" s="67"/>
      <c r="M295" s="4"/>
      <c r="N295" s="4"/>
      <c r="O295" s="4"/>
      <c r="P295" s="38"/>
      <c r="Q295" t="str" cm="1">
        <f t="array" ref="Q295">IF($P295="","",_xlfn._xlws.FILTER(LT_LST[Lot],(LT_LST[Client Id.]=$C295)*(LT_LST[Strategy]=$D295)*(LT_LST[DTE/WTE]=$E295)*(LT_LST[Symbol]=$I295)))</f>
        <v/>
      </c>
    </row>
    <row r="296" spans="3:17" x14ac:dyDescent="0.25">
      <c r="C296" t="str">
        <f t="shared" si="4"/>
        <v/>
      </c>
      <c r="E296" s="4"/>
      <c r="F296" s="4"/>
      <c r="G296" s="4"/>
      <c r="H296" s="4"/>
      <c r="I296" s="4"/>
      <c r="J296" s="50"/>
      <c r="K296" s="67"/>
      <c r="L296" s="67"/>
      <c r="M296" s="4"/>
      <c r="N296" s="4"/>
      <c r="O296" s="4"/>
      <c r="P296" s="38"/>
      <c r="Q296" t="str" cm="1">
        <f t="array" ref="Q296">IF($P296="","",_xlfn._xlws.FILTER(LT_LST[Lot],(LT_LST[Client Id.]=$C296)*(LT_LST[Strategy]=$D296)*(LT_LST[DTE/WTE]=$E296)*(LT_LST[Symbol]=$I296)))</f>
        <v/>
      </c>
    </row>
    <row r="297" spans="3:17" x14ac:dyDescent="0.25">
      <c r="C297" t="str">
        <f t="shared" si="4"/>
        <v/>
      </c>
      <c r="E297" s="4"/>
      <c r="F297" s="4"/>
      <c r="G297" s="4"/>
      <c r="H297" s="4"/>
      <c r="I297" s="4"/>
      <c r="J297" s="50"/>
      <c r="K297" s="67"/>
      <c r="L297" s="67"/>
      <c r="M297" s="4"/>
      <c r="N297" s="4"/>
      <c r="O297" s="4"/>
      <c r="P297" s="38"/>
      <c r="Q297" t="str" cm="1">
        <f t="array" ref="Q297">IF($P297="","",_xlfn._xlws.FILTER(LT_LST[Lot],(LT_LST[Client Id.]=$C297)*(LT_LST[Strategy]=$D297)*(LT_LST[DTE/WTE]=$E297)*(LT_LST[Symbol]=$I297)))</f>
        <v/>
      </c>
    </row>
    <row r="298" spans="3:17" x14ac:dyDescent="0.25">
      <c r="C298" t="str">
        <f t="shared" si="4"/>
        <v/>
      </c>
      <c r="E298" s="4"/>
      <c r="F298" s="4"/>
      <c r="G298" s="4"/>
      <c r="H298" s="4"/>
      <c r="I298" s="4"/>
      <c r="J298" s="50"/>
      <c r="K298" s="67"/>
      <c r="L298" s="67"/>
      <c r="M298" s="4"/>
      <c r="N298" s="4"/>
      <c r="O298" s="4"/>
      <c r="P298" s="38"/>
      <c r="Q298" t="str" cm="1">
        <f t="array" ref="Q298">IF($P298="","",_xlfn._xlws.FILTER(LT_LST[Lot],(LT_LST[Client Id.]=$C298)*(LT_LST[Strategy]=$D298)*(LT_LST[DTE/WTE]=$E298)*(LT_LST[Symbol]=$I298)))</f>
        <v/>
      </c>
    </row>
    <row r="299" spans="3:17" x14ac:dyDescent="0.25">
      <c r="C299" t="str">
        <f t="shared" si="4"/>
        <v/>
      </c>
      <c r="E299" s="4"/>
      <c r="F299" s="4"/>
      <c r="G299" s="4"/>
      <c r="H299" s="4"/>
      <c r="I299" s="4"/>
      <c r="J299" s="50"/>
      <c r="K299" s="67"/>
      <c r="L299" s="67"/>
      <c r="M299" s="4"/>
      <c r="N299" s="4"/>
      <c r="O299" s="4"/>
      <c r="P299" s="38"/>
      <c r="Q299" t="str" cm="1">
        <f t="array" ref="Q299">IF($P299="","",_xlfn._xlws.FILTER(LT_LST[Lot],(LT_LST[Client Id.]=$C299)*(LT_LST[Strategy]=$D299)*(LT_LST[DTE/WTE]=$E299)*(LT_LST[Symbol]=$I299)))</f>
        <v/>
      </c>
    </row>
    <row r="300" spans="3:17" x14ac:dyDescent="0.25">
      <c r="C300" t="str">
        <f t="shared" si="4"/>
        <v/>
      </c>
      <c r="E300" s="4"/>
      <c r="F300" s="4"/>
      <c r="G300" s="4"/>
      <c r="H300" s="4"/>
      <c r="I300" s="4"/>
      <c r="J300" s="50"/>
      <c r="K300" s="67"/>
      <c r="L300" s="67"/>
      <c r="M300" s="4"/>
      <c r="N300" s="4"/>
      <c r="O300" s="4"/>
      <c r="P300" s="38"/>
      <c r="Q300" t="str" cm="1">
        <f t="array" ref="Q300">IF($P300="","",_xlfn._xlws.FILTER(LT_LST[Lot],(LT_LST[Client Id.]=$C300)*(LT_LST[Strategy]=$D300)*(LT_LST[DTE/WTE]=$E300)*(LT_LST[Symbol]=$I300)))</f>
        <v/>
      </c>
    </row>
    <row r="301" spans="3:17" x14ac:dyDescent="0.25">
      <c r="C301" t="str">
        <f t="shared" si="4"/>
        <v/>
      </c>
      <c r="E301" s="4"/>
      <c r="F301" s="4"/>
      <c r="G301" s="4"/>
      <c r="H301" s="4"/>
      <c r="I301" s="4"/>
      <c r="J301" s="50"/>
      <c r="K301" s="67"/>
      <c r="L301" s="67"/>
      <c r="M301" s="4"/>
      <c r="N301" s="4"/>
      <c r="O301" s="4"/>
      <c r="P301" s="38"/>
      <c r="Q301" t="str" cm="1">
        <f t="array" ref="Q301">IF($P301="","",_xlfn._xlws.FILTER(LT_LST[Lot],(LT_LST[Client Id.]=$C301)*(LT_LST[Strategy]=$D301)*(LT_LST[DTE/WTE]=$E301)*(LT_LST[Symbol]=$I301)))</f>
        <v/>
      </c>
    </row>
    <row r="302" spans="3:17" x14ac:dyDescent="0.25">
      <c r="C302" t="str">
        <f t="shared" si="4"/>
        <v/>
      </c>
      <c r="E302" s="4"/>
      <c r="F302" s="4"/>
      <c r="G302" s="4"/>
      <c r="H302" s="4"/>
      <c r="I302" s="4"/>
      <c r="J302" s="50"/>
      <c r="K302" s="67"/>
      <c r="L302" s="67"/>
      <c r="M302" s="4"/>
      <c r="N302" s="4"/>
      <c r="O302" s="4"/>
      <c r="P302" s="38"/>
      <c r="Q302" t="str" cm="1">
        <f t="array" ref="Q302">IF($P302="","",_xlfn._xlws.FILTER(LT_LST[Lot],(LT_LST[Client Id.]=$C302)*(LT_LST[Strategy]=$D302)*(LT_LST[DTE/WTE]=$E302)*(LT_LST[Symbol]=$I302)))</f>
        <v/>
      </c>
    </row>
    <row r="303" spans="3:17" x14ac:dyDescent="0.25">
      <c r="C303" t="str">
        <f t="shared" si="4"/>
        <v/>
      </c>
      <c r="E303" s="4"/>
      <c r="F303" s="4"/>
      <c r="G303" s="4"/>
      <c r="H303" s="4"/>
      <c r="I303" s="4"/>
      <c r="J303" s="50"/>
      <c r="K303" s="67"/>
      <c r="L303" s="67"/>
      <c r="M303" s="4"/>
      <c r="N303" s="4"/>
      <c r="O303" s="4"/>
      <c r="P303" s="38"/>
      <c r="Q303" t="str" cm="1">
        <f t="array" ref="Q303">IF($P303="","",_xlfn._xlws.FILTER(LT_LST[Lot],(LT_LST[Client Id.]=$C303)*(LT_LST[Strategy]=$D303)*(LT_LST[DTE/WTE]=$E303)*(LT_LST[Symbol]=$I303)))</f>
        <v/>
      </c>
    </row>
    <row r="304" spans="3:17" x14ac:dyDescent="0.25">
      <c r="C304" t="str">
        <f t="shared" si="4"/>
        <v/>
      </c>
      <c r="E304" s="4"/>
      <c r="F304" s="4"/>
      <c r="G304" s="4"/>
      <c r="H304" s="4"/>
      <c r="I304" s="4"/>
      <c r="J304" s="50"/>
      <c r="K304" s="67"/>
      <c r="L304" s="67"/>
      <c r="M304" s="4"/>
      <c r="N304" s="4"/>
      <c r="O304" s="4"/>
      <c r="P304" s="38"/>
      <c r="Q304" t="str" cm="1">
        <f t="array" ref="Q304">IF($P304="","",_xlfn._xlws.FILTER(LT_LST[Lot],(LT_LST[Client Id.]=$C304)*(LT_LST[Strategy]=$D304)*(LT_LST[DTE/WTE]=$E304)*(LT_LST[Symbol]=$I304)))</f>
        <v/>
      </c>
    </row>
    <row r="305" spans="3:17" x14ac:dyDescent="0.25">
      <c r="C305" t="str">
        <f t="shared" si="4"/>
        <v/>
      </c>
      <c r="E305" s="4"/>
      <c r="F305" s="4"/>
      <c r="G305" s="4"/>
      <c r="H305" s="4"/>
      <c r="I305" s="4"/>
      <c r="J305" s="50"/>
      <c r="K305" s="67"/>
      <c r="L305" s="67"/>
      <c r="M305" s="4"/>
      <c r="N305" s="4"/>
      <c r="O305" s="4"/>
      <c r="P305" s="38"/>
      <c r="Q305" t="str" cm="1">
        <f t="array" ref="Q305">IF($P305="","",_xlfn._xlws.FILTER(LT_LST[Lot],(LT_LST[Client Id.]=$C305)*(LT_LST[Strategy]=$D305)*(LT_LST[DTE/WTE]=$E305)*(LT_LST[Symbol]=$I305)))</f>
        <v/>
      </c>
    </row>
    <row r="306" spans="3:17" x14ac:dyDescent="0.25">
      <c r="C306" t="str">
        <f t="shared" si="4"/>
        <v/>
      </c>
      <c r="E306" s="4"/>
      <c r="F306" s="4"/>
      <c r="G306" s="4"/>
      <c r="H306" s="4"/>
      <c r="I306" s="4"/>
      <c r="J306" s="50"/>
      <c r="K306" s="67"/>
      <c r="L306" s="67"/>
      <c r="M306" s="4"/>
      <c r="N306" s="4"/>
      <c r="O306" s="4"/>
      <c r="P306" s="38"/>
      <c r="Q306" t="str" cm="1">
        <f t="array" ref="Q306">IF($P306="","",_xlfn._xlws.FILTER(LT_LST[Lot],(LT_LST[Client Id.]=$C306)*(LT_LST[Strategy]=$D306)*(LT_LST[DTE/WTE]=$E306)*(LT_LST[Symbol]=$I306)))</f>
        <v/>
      </c>
    </row>
    <row r="307" spans="3:17" x14ac:dyDescent="0.25">
      <c r="C307" t="str">
        <f t="shared" si="4"/>
        <v/>
      </c>
      <c r="E307" s="4"/>
      <c r="F307" s="4"/>
      <c r="G307" s="4"/>
      <c r="H307" s="4"/>
      <c r="I307" s="4"/>
      <c r="J307" s="50"/>
      <c r="K307" s="67"/>
      <c r="L307" s="67"/>
      <c r="M307" s="4"/>
      <c r="N307" s="4"/>
      <c r="O307" s="4"/>
      <c r="P307" s="38"/>
      <c r="Q307" t="str" cm="1">
        <f t="array" ref="Q307">IF($P307="","",_xlfn._xlws.FILTER(LT_LST[Lot],(LT_LST[Client Id.]=$C307)*(LT_LST[Strategy]=$D307)*(LT_LST[DTE/WTE]=$E307)*(LT_LST[Symbol]=$I307)))</f>
        <v/>
      </c>
    </row>
    <row r="308" spans="3:17" x14ac:dyDescent="0.25">
      <c r="C308" t="str">
        <f t="shared" si="4"/>
        <v/>
      </c>
      <c r="E308" s="4"/>
      <c r="F308" s="4"/>
      <c r="G308" s="4"/>
      <c r="H308" s="4"/>
      <c r="I308" s="4"/>
      <c r="J308" s="50"/>
      <c r="K308" s="67"/>
      <c r="L308" s="67"/>
      <c r="M308" s="4"/>
      <c r="N308" s="4"/>
      <c r="O308" s="4"/>
      <c r="P308" s="38"/>
      <c r="Q308" t="str" cm="1">
        <f t="array" ref="Q308">IF($P308="","",_xlfn._xlws.FILTER(LT_LST[Lot],(LT_LST[Client Id.]=$C308)*(LT_LST[Strategy]=$D308)*(LT_LST[DTE/WTE]=$E308)*(LT_LST[Symbol]=$I308)))</f>
        <v/>
      </c>
    </row>
    <row r="309" spans="3:17" x14ac:dyDescent="0.25">
      <c r="C309" t="str">
        <f t="shared" si="4"/>
        <v/>
      </c>
      <c r="E309" s="4"/>
      <c r="F309" s="4"/>
      <c r="G309" s="4"/>
      <c r="H309" s="4"/>
      <c r="I309" s="4"/>
      <c r="J309" s="50"/>
      <c r="K309" s="67"/>
      <c r="L309" s="67"/>
      <c r="M309" s="4"/>
      <c r="N309" s="4"/>
      <c r="O309" s="4"/>
      <c r="P309" s="38"/>
      <c r="Q309" t="str" cm="1">
        <f t="array" ref="Q309">IF($P309="","",_xlfn._xlws.FILTER(LT_LST[Lot],(LT_LST[Client Id.]=$C309)*(LT_LST[Strategy]=$D309)*(LT_LST[DTE/WTE]=$E309)*(LT_LST[Symbol]=$I309)))</f>
        <v/>
      </c>
    </row>
    <row r="310" spans="3:17" x14ac:dyDescent="0.25">
      <c r="C310" t="str">
        <f t="shared" si="4"/>
        <v/>
      </c>
      <c r="E310" s="4"/>
      <c r="F310" s="4"/>
      <c r="G310" s="4"/>
      <c r="H310" s="4"/>
      <c r="I310" s="4"/>
      <c r="J310" s="50"/>
      <c r="K310" s="67"/>
      <c r="L310" s="67"/>
      <c r="M310" s="4"/>
      <c r="N310" s="4"/>
      <c r="O310" s="4"/>
      <c r="P310" s="38"/>
      <c r="Q310" t="str" cm="1">
        <f t="array" ref="Q310">IF($P310="","",_xlfn._xlws.FILTER(LT_LST[Lot],(LT_LST[Client Id.]=$C310)*(LT_LST[Strategy]=$D310)*(LT_LST[DTE/WTE]=$E310)*(LT_LST[Symbol]=$I310)))</f>
        <v/>
      </c>
    </row>
    <row r="311" spans="3:17" x14ac:dyDescent="0.25">
      <c r="C311" t="str">
        <f t="shared" si="4"/>
        <v/>
      </c>
      <c r="E311" s="4"/>
      <c r="F311" s="4"/>
      <c r="G311" s="4"/>
      <c r="H311" s="4"/>
      <c r="I311" s="4"/>
      <c r="J311" s="50"/>
      <c r="K311" s="67"/>
      <c r="L311" s="67"/>
      <c r="M311" s="4"/>
      <c r="N311" s="4"/>
      <c r="O311" s="4"/>
      <c r="P311" s="38"/>
      <c r="Q311" t="str" cm="1">
        <f t="array" ref="Q311">IF($P311="","",_xlfn._xlws.FILTER(LT_LST[Lot],(LT_LST[Client Id.]=$C311)*(LT_LST[Strategy]=$D311)*(LT_LST[DTE/WTE]=$E311)*(LT_LST[Symbol]=$I311)))</f>
        <v/>
      </c>
    </row>
    <row r="312" spans="3:17" x14ac:dyDescent="0.25">
      <c r="C312" t="str">
        <f t="shared" si="4"/>
        <v/>
      </c>
      <c r="E312" s="4"/>
      <c r="F312" s="4"/>
      <c r="G312" s="4"/>
      <c r="H312" s="4"/>
      <c r="I312" s="4"/>
      <c r="J312" s="50"/>
      <c r="K312" s="67"/>
      <c r="L312" s="67"/>
      <c r="M312" s="4"/>
      <c r="N312" s="4"/>
      <c r="O312" s="4"/>
      <c r="P312" s="38"/>
      <c r="Q312" t="str" cm="1">
        <f t="array" ref="Q312">IF($P312="","",_xlfn._xlws.FILTER(LT_LST[Lot],(LT_LST[Client Id.]=$C312)*(LT_LST[Strategy]=$D312)*(LT_LST[DTE/WTE]=$E312)*(LT_LST[Symbol]=$I312)))</f>
        <v/>
      </c>
    </row>
    <row r="313" spans="3:17" x14ac:dyDescent="0.25">
      <c r="C313" t="str">
        <f t="shared" si="4"/>
        <v/>
      </c>
      <c r="E313" s="4"/>
      <c r="F313" s="4"/>
      <c r="G313" s="4"/>
      <c r="H313" s="4"/>
      <c r="I313" s="4"/>
      <c r="J313" s="50"/>
      <c r="K313" s="67"/>
      <c r="L313" s="67"/>
      <c r="M313" s="4"/>
      <c r="N313" s="4"/>
      <c r="O313" s="4"/>
      <c r="P313" s="38"/>
      <c r="Q313" t="str" cm="1">
        <f t="array" ref="Q313">IF($P313="","",_xlfn._xlws.FILTER(LT_LST[Lot],(LT_LST[Client Id.]=$C313)*(LT_LST[Strategy]=$D313)*(LT_LST[DTE/WTE]=$E313)*(LT_LST[Symbol]=$I313)))</f>
        <v/>
      </c>
    </row>
    <row r="314" spans="3:17" x14ac:dyDescent="0.25">
      <c r="C314" t="str">
        <f t="shared" si="4"/>
        <v/>
      </c>
      <c r="E314" s="4"/>
      <c r="F314" s="4"/>
      <c r="G314" s="4"/>
      <c r="H314" s="4"/>
      <c r="I314" s="4"/>
      <c r="J314" s="50"/>
      <c r="K314" s="67"/>
      <c r="L314" s="67"/>
      <c r="M314" s="4"/>
      <c r="N314" s="4"/>
      <c r="O314" s="4"/>
      <c r="P314" s="38"/>
      <c r="Q314" t="str" cm="1">
        <f t="array" ref="Q314">IF($P314="","",_xlfn._xlws.FILTER(LT_LST[Lot],(LT_LST[Client Id.]=$C314)*(LT_LST[Strategy]=$D314)*(LT_LST[DTE/WTE]=$E314)*(LT_LST[Symbol]=$I314)))</f>
        <v/>
      </c>
    </row>
    <row r="315" spans="3:17" x14ac:dyDescent="0.25">
      <c r="C315" t="str">
        <f t="shared" si="4"/>
        <v/>
      </c>
      <c r="E315" s="4"/>
      <c r="F315" s="4"/>
      <c r="G315" s="4"/>
      <c r="H315" s="4"/>
      <c r="I315" s="4"/>
      <c r="J315" s="50"/>
      <c r="K315" s="67"/>
      <c r="L315" s="67"/>
      <c r="M315" s="4"/>
      <c r="N315" s="4"/>
      <c r="O315" s="4"/>
      <c r="P315" s="38"/>
      <c r="Q315" t="str" cm="1">
        <f t="array" ref="Q315">IF($P315="","",_xlfn._xlws.FILTER(LT_LST[Lot],(LT_LST[Client Id.]=$C315)*(LT_LST[Strategy]=$D315)*(LT_LST[DTE/WTE]=$E315)*(LT_LST[Symbol]=$I315)))</f>
        <v/>
      </c>
    </row>
    <row r="316" spans="3:17" x14ac:dyDescent="0.25">
      <c r="C316" t="str">
        <f t="shared" si="4"/>
        <v/>
      </c>
      <c r="E316" s="4"/>
      <c r="F316" s="4"/>
      <c r="G316" s="4"/>
      <c r="H316" s="4"/>
      <c r="I316" s="4"/>
      <c r="J316" s="50"/>
      <c r="K316" s="67"/>
      <c r="L316" s="67"/>
      <c r="M316" s="4"/>
      <c r="N316" s="4"/>
      <c r="O316" s="4"/>
      <c r="P316" s="38"/>
      <c r="Q316" t="str" cm="1">
        <f t="array" ref="Q316">IF($P316="","",_xlfn._xlws.FILTER(LT_LST[Lot],(LT_LST[Client Id.]=$C316)*(LT_LST[Strategy]=$D316)*(LT_LST[DTE/WTE]=$E316)*(LT_LST[Symbol]=$I316)))</f>
        <v/>
      </c>
    </row>
    <row r="317" spans="3:17" x14ac:dyDescent="0.25">
      <c r="C317" t="str">
        <f t="shared" si="4"/>
        <v/>
      </c>
      <c r="E317" s="4"/>
      <c r="F317" s="4"/>
      <c r="G317" s="4"/>
      <c r="H317" s="4"/>
      <c r="I317" s="4"/>
      <c r="J317" s="50"/>
      <c r="K317" s="67"/>
      <c r="L317" s="67"/>
      <c r="M317" s="4"/>
      <c r="N317" s="4"/>
      <c r="O317" s="4"/>
      <c r="P317" s="38"/>
      <c r="Q317" t="str" cm="1">
        <f t="array" ref="Q317">IF($P317="","",_xlfn._xlws.FILTER(LT_LST[Lot],(LT_LST[Client Id.]=$C317)*(LT_LST[Strategy]=$D317)*(LT_LST[DTE/WTE]=$E317)*(LT_LST[Symbol]=$I317)))</f>
        <v/>
      </c>
    </row>
    <row r="318" spans="3:17" x14ac:dyDescent="0.25">
      <c r="C318" t="str">
        <f t="shared" si="4"/>
        <v/>
      </c>
      <c r="E318" s="4"/>
      <c r="F318" s="4"/>
      <c r="G318" s="4"/>
      <c r="H318" s="4"/>
      <c r="I318" s="4"/>
      <c r="J318" s="50"/>
      <c r="K318" s="67"/>
      <c r="L318" s="67"/>
      <c r="M318" s="4"/>
      <c r="N318" s="4"/>
      <c r="O318" s="4"/>
      <c r="P318" s="38"/>
      <c r="Q318" t="str" cm="1">
        <f t="array" ref="Q318">IF($P318="","",_xlfn._xlws.FILTER(LT_LST[Lot],(LT_LST[Client Id.]=$C318)*(LT_LST[Strategy]=$D318)*(LT_LST[DTE/WTE]=$E318)*(LT_LST[Symbol]=$I318)))</f>
        <v/>
      </c>
    </row>
    <row r="319" spans="3:17" x14ac:dyDescent="0.25">
      <c r="C319" t="str">
        <f t="shared" si="4"/>
        <v/>
      </c>
      <c r="E319" s="4"/>
      <c r="F319" s="4"/>
      <c r="G319" s="4"/>
      <c r="H319" s="4"/>
      <c r="I319" s="4"/>
      <c r="J319" s="50"/>
      <c r="K319" s="67"/>
      <c r="L319" s="67"/>
      <c r="M319" s="4"/>
      <c r="N319" s="4"/>
      <c r="O319" s="4"/>
      <c r="P319" s="38"/>
      <c r="Q319" t="str" cm="1">
        <f t="array" ref="Q319">IF($P319="","",_xlfn._xlws.FILTER(LT_LST[Lot],(LT_LST[Client Id.]=$C319)*(LT_LST[Strategy]=$D319)*(LT_LST[DTE/WTE]=$E319)*(LT_LST[Symbol]=$I319)))</f>
        <v/>
      </c>
    </row>
    <row r="320" spans="3:17" x14ac:dyDescent="0.25">
      <c r="C320" t="str">
        <f t="shared" si="4"/>
        <v/>
      </c>
      <c r="E320" s="4"/>
      <c r="F320" s="4"/>
      <c r="G320" s="4"/>
      <c r="H320" s="4"/>
      <c r="I320" s="4"/>
      <c r="J320" s="50"/>
      <c r="K320" s="67"/>
      <c r="L320" s="67"/>
      <c r="M320" s="4"/>
      <c r="N320" s="4"/>
      <c r="O320" s="4"/>
      <c r="P320" s="38"/>
      <c r="Q320" t="str" cm="1">
        <f t="array" ref="Q320">IF($P320="","",_xlfn._xlws.FILTER(LT_LST[Lot],(LT_LST[Client Id.]=$C320)*(LT_LST[Strategy]=$D320)*(LT_LST[DTE/WTE]=$E320)*(LT_LST[Symbol]=$I320)))</f>
        <v/>
      </c>
    </row>
    <row r="321" spans="3:17" x14ac:dyDescent="0.25">
      <c r="C321" t="str">
        <f t="shared" si="4"/>
        <v/>
      </c>
      <c r="E321" s="4"/>
      <c r="F321" s="4"/>
      <c r="G321" s="4"/>
      <c r="H321" s="4"/>
      <c r="I321" s="4"/>
      <c r="J321" s="50"/>
      <c r="K321" s="67"/>
      <c r="L321" s="67"/>
      <c r="M321" s="4"/>
      <c r="N321" s="4"/>
      <c r="O321" s="4"/>
      <c r="P321" s="38"/>
      <c r="Q321" t="str" cm="1">
        <f t="array" ref="Q321">IF($P321="","",_xlfn._xlws.FILTER(LT_LST[Lot],(LT_LST[Client Id.]=$C321)*(LT_LST[Strategy]=$D321)*(LT_LST[DTE/WTE]=$E321)*(LT_LST[Symbol]=$I321)))</f>
        <v/>
      </c>
    </row>
    <row r="322" spans="3:17" x14ac:dyDescent="0.25">
      <c r="C322" t="str">
        <f t="shared" si="4"/>
        <v/>
      </c>
      <c r="E322" s="4"/>
      <c r="F322" s="4"/>
      <c r="G322" s="4"/>
      <c r="H322" s="4"/>
      <c r="I322" s="4"/>
      <c r="J322" s="50"/>
      <c r="K322" s="67"/>
      <c r="L322" s="67"/>
      <c r="M322" s="4"/>
      <c r="N322" s="4"/>
      <c r="O322" s="4"/>
      <c r="P322" s="38"/>
      <c r="Q322" t="str" cm="1">
        <f t="array" ref="Q322">IF($P322="","",_xlfn._xlws.FILTER(LT_LST[Lot],(LT_LST[Client Id.]=$C322)*(LT_LST[Strategy]=$D322)*(LT_LST[DTE/WTE]=$E322)*(LT_LST[Symbol]=$I322)))</f>
        <v/>
      </c>
    </row>
    <row r="323" spans="3:17" x14ac:dyDescent="0.25">
      <c r="C323" t="str">
        <f t="shared" si="4"/>
        <v/>
      </c>
      <c r="E323" s="4"/>
      <c r="F323" s="4"/>
      <c r="G323" s="4"/>
      <c r="H323" s="4"/>
      <c r="I323" s="4"/>
      <c r="J323" s="50"/>
      <c r="K323" s="67"/>
      <c r="L323" s="67"/>
      <c r="M323" s="4"/>
      <c r="N323" s="4"/>
      <c r="O323" s="4"/>
      <c r="P323" s="38"/>
      <c r="Q323" t="str" cm="1">
        <f t="array" ref="Q323">IF($P323="","",_xlfn._xlws.FILTER(LT_LST[Lot],(LT_LST[Client Id.]=$C323)*(LT_LST[Strategy]=$D323)*(LT_LST[DTE/WTE]=$E323)*(LT_LST[Symbol]=$I323)))</f>
        <v/>
      </c>
    </row>
    <row r="324" spans="3:17" x14ac:dyDescent="0.25">
      <c r="C324" t="str">
        <f t="shared" ref="C324:C387" si="5">IF(D324="","",$A$1)</f>
        <v/>
      </c>
      <c r="E324" s="4"/>
      <c r="F324" s="4"/>
      <c r="G324" s="4"/>
      <c r="H324" s="4"/>
      <c r="I324" s="4"/>
      <c r="J324" s="50"/>
      <c r="K324" s="67"/>
      <c r="L324" s="67"/>
      <c r="M324" s="4"/>
      <c r="N324" s="4"/>
      <c r="O324" s="4"/>
      <c r="P324" s="38"/>
      <c r="Q324" t="str" cm="1">
        <f t="array" ref="Q324">IF($P324="","",_xlfn._xlws.FILTER(LT_LST[Lot],(LT_LST[Client Id.]=$C324)*(LT_LST[Strategy]=$D324)*(LT_LST[DTE/WTE]=$E324)*(LT_LST[Symbol]=$I324)))</f>
        <v/>
      </c>
    </row>
    <row r="325" spans="3:17" x14ac:dyDescent="0.25">
      <c r="C325" t="str">
        <f t="shared" si="5"/>
        <v/>
      </c>
      <c r="E325" s="4"/>
      <c r="F325" s="4"/>
      <c r="G325" s="4"/>
      <c r="H325" s="4"/>
      <c r="I325" s="4"/>
      <c r="J325" s="50"/>
      <c r="K325" s="67"/>
      <c r="L325" s="67"/>
      <c r="M325" s="4"/>
      <c r="N325" s="4"/>
      <c r="O325" s="4"/>
      <c r="P325" s="38"/>
      <c r="Q325" t="str" cm="1">
        <f t="array" ref="Q325">IF($P325="","",_xlfn._xlws.FILTER(LT_LST[Lot],(LT_LST[Client Id.]=$C325)*(LT_LST[Strategy]=$D325)*(LT_LST[DTE/WTE]=$E325)*(LT_LST[Symbol]=$I325)))</f>
        <v/>
      </c>
    </row>
    <row r="326" spans="3:17" x14ac:dyDescent="0.25">
      <c r="C326" t="str">
        <f t="shared" si="5"/>
        <v/>
      </c>
      <c r="E326" s="4"/>
      <c r="F326" s="4"/>
      <c r="G326" s="4"/>
      <c r="H326" s="4"/>
      <c r="I326" s="4"/>
      <c r="J326" s="50"/>
      <c r="K326" s="67"/>
      <c r="L326" s="67"/>
      <c r="M326" s="4"/>
      <c r="N326" s="4"/>
      <c r="O326" s="4"/>
      <c r="P326" s="38"/>
      <c r="Q326" t="str" cm="1">
        <f t="array" ref="Q326">IF($P326="","",_xlfn._xlws.FILTER(LT_LST[Lot],(LT_LST[Client Id.]=$C326)*(LT_LST[Strategy]=$D326)*(LT_LST[DTE/WTE]=$E326)*(LT_LST[Symbol]=$I326)))</f>
        <v/>
      </c>
    </row>
    <row r="327" spans="3:17" x14ac:dyDescent="0.25">
      <c r="C327" t="str">
        <f t="shared" si="5"/>
        <v/>
      </c>
      <c r="E327" s="4"/>
      <c r="F327" s="4"/>
      <c r="G327" s="4"/>
      <c r="H327" s="4"/>
      <c r="I327" s="4"/>
      <c r="J327" s="50"/>
      <c r="K327" s="67"/>
      <c r="L327" s="67"/>
      <c r="M327" s="4"/>
      <c r="N327" s="4"/>
      <c r="O327" s="4"/>
      <c r="P327" s="38"/>
      <c r="Q327" t="str" cm="1">
        <f t="array" ref="Q327">IF($P327="","",_xlfn._xlws.FILTER(LT_LST[Lot],(LT_LST[Client Id.]=$C327)*(LT_LST[Strategy]=$D327)*(LT_LST[DTE/WTE]=$E327)*(LT_LST[Symbol]=$I327)))</f>
        <v/>
      </c>
    </row>
    <row r="328" spans="3:17" x14ac:dyDescent="0.25">
      <c r="C328" t="str">
        <f t="shared" si="5"/>
        <v/>
      </c>
      <c r="E328" s="4"/>
      <c r="F328" s="4"/>
      <c r="G328" s="4"/>
      <c r="H328" s="4"/>
      <c r="I328" s="4"/>
      <c r="J328" s="50"/>
      <c r="K328" s="67"/>
      <c r="L328" s="67"/>
      <c r="M328" s="4"/>
      <c r="N328" s="4"/>
      <c r="O328" s="4"/>
      <c r="P328" s="38"/>
      <c r="Q328" t="str" cm="1">
        <f t="array" ref="Q328">IF($P328="","",_xlfn._xlws.FILTER(LT_LST[Lot],(LT_LST[Client Id.]=$C328)*(LT_LST[Strategy]=$D328)*(LT_LST[DTE/WTE]=$E328)*(LT_LST[Symbol]=$I328)))</f>
        <v/>
      </c>
    </row>
    <row r="329" spans="3:17" x14ac:dyDescent="0.25">
      <c r="C329" t="str">
        <f t="shared" si="5"/>
        <v/>
      </c>
      <c r="E329" s="4"/>
      <c r="F329" s="4"/>
      <c r="G329" s="4"/>
      <c r="H329" s="4"/>
      <c r="I329" s="4"/>
      <c r="J329" s="50"/>
      <c r="K329" s="67"/>
      <c r="L329" s="67"/>
      <c r="M329" s="4"/>
      <c r="N329" s="4"/>
      <c r="O329" s="4"/>
      <c r="P329" s="38"/>
      <c r="Q329" t="str" cm="1">
        <f t="array" ref="Q329">IF($P329="","",_xlfn._xlws.FILTER(LT_LST[Lot],(LT_LST[Client Id.]=$C329)*(LT_LST[Strategy]=$D329)*(LT_LST[DTE/WTE]=$E329)*(LT_LST[Symbol]=$I329)))</f>
        <v/>
      </c>
    </row>
    <row r="330" spans="3:17" x14ac:dyDescent="0.25">
      <c r="C330" t="str">
        <f t="shared" si="5"/>
        <v/>
      </c>
      <c r="E330" s="4"/>
      <c r="F330" s="4"/>
      <c r="G330" s="4"/>
      <c r="H330" s="4"/>
      <c r="I330" s="4"/>
      <c r="J330" s="50"/>
      <c r="K330" s="67"/>
      <c r="L330" s="67"/>
      <c r="M330" s="4"/>
      <c r="N330" s="4"/>
      <c r="O330" s="4"/>
      <c r="P330" s="38"/>
      <c r="Q330" t="str" cm="1">
        <f t="array" ref="Q330">IF($P330="","",_xlfn._xlws.FILTER(LT_LST[Lot],(LT_LST[Client Id.]=$C330)*(LT_LST[Strategy]=$D330)*(LT_LST[DTE/WTE]=$E330)*(LT_LST[Symbol]=$I330)))</f>
        <v/>
      </c>
    </row>
    <row r="331" spans="3:17" x14ac:dyDescent="0.25">
      <c r="C331" t="str">
        <f t="shared" si="5"/>
        <v/>
      </c>
      <c r="E331" s="4"/>
      <c r="F331" s="4"/>
      <c r="G331" s="4"/>
      <c r="H331" s="4"/>
      <c r="I331" s="4"/>
      <c r="J331" s="50"/>
      <c r="K331" s="67"/>
      <c r="L331" s="67"/>
      <c r="M331" s="4"/>
      <c r="N331" s="4"/>
      <c r="O331" s="4"/>
      <c r="P331" s="38"/>
      <c r="Q331" t="str" cm="1">
        <f t="array" ref="Q331">IF($P331="","",_xlfn._xlws.FILTER(LT_LST[Lot],(LT_LST[Client Id.]=$C331)*(LT_LST[Strategy]=$D331)*(LT_LST[DTE/WTE]=$E331)*(LT_LST[Symbol]=$I331)))</f>
        <v/>
      </c>
    </row>
    <row r="332" spans="3:17" x14ac:dyDescent="0.25">
      <c r="C332" t="str">
        <f t="shared" si="5"/>
        <v/>
      </c>
      <c r="E332" s="4"/>
      <c r="F332" s="4"/>
      <c r="G332" s="4"/>
      <c r="H332" s="4"/>
      <c r="I332" s="4"/>
      <c r="J332" s="50"/>
      <c r="K332" s="67"/>
      <c r="L332" s="67"/>
      <c r="M332" s="4"/>
      <c r="N332" s="4"/>
      <c r="O332" s="4"/>
      <c r="P332" s="38"/>
      <c r="Q332" t="str" cm="1">
        <f t="array" ref="Q332">IF($P332="","",_xlfn._xlws.FILTER(LT_LST[Lot],(LT_LST[Client Id.]=$C332)*(LT_LST[Strategy]=$D332)*(LT_LST[DTE/WTE]=$E332)*(LT_LST[Symbol]=$I332)))</f>
        <v/>
      </c>
    </row>
    <row r="333" spans="3:17" x14ac:dyDescent="0.25">
      <c r="C333" t="str">
        <f t="shared" si="5"/>
        <v/>
      </c>
      <c r="E333" s="4"/>
      <c r="F333" s="4"/>
      <c r="G333" s="4"/>
      <c r="H333" s="4"/>
      <c r="I333" s="4"/>
      <c r="J333" s="50"/>
      <c r="K333" s="67"/>
      <c r="L333" s="67"/>
      <c r="M333" s="4"/>
      <c r="N333" s="4"/>
      <c r="O333" s="4"/>
      <c r="P333" s="38"/>
      <c r="Q333" t="str" cm="1">
        <f t="array" ref="Q333">IF($P333="","",_xlfn._xlws.FILTER(LT_LST[Lot],(LT_LST[Client Id.]=$C333)*(LT_LST[Strategy]=$D333)*(LT_LST[DTE/WTE]=$E333)*(LT_LST[Symbol]=$I333)))</f>
        <v/>
      </c>
    </row>
    <row r="334" spans="3:17" x14ac:dyDescent="0.25">
      <c r="C334" t="str">
        <f t="shared" si="5"/>
        <v/>
      </c>
      <c r="E334" s="4"/>
      <c r="F334" s="4"/>
      <c r="G334" s="4"/>
      <c r="H334" s="4"/>
      <c r="I334" s="4"/>
      <c r="J334" s="50"/>
      <c r="K334" s="67"/>
      <c r="L334" s="67"/>
      <c r="M334" s="4"/>
      <c r="N334" s="4"/>
      <c r="O334" s="4"/>
      <c r="P334" s="38"/>
      <c r="Q334" t="str" cm="1">
        <f t="array" ref="Q334">IF($P334="","",_xlfn._xlws.FILTER(LT_LST[Lot],(LT_LST[Client Id.]=$C334)*(LT_LST[Strategy]=$D334)*(LT_LST[DTE/WTE]=$E334)*(LT_LST[Symbol]=$I334)))</f>
        <v/>
      </c>
    </row>
    <row r="335" spans="3:17" x14ac:dyDescent="0.25">
      <c r="C335" t="str">
        <f t="shared" si="5"/>
        <v/>
      </c>
      <c r="E335" s="4"/>
      <c r="F335" s="4"/>
      <c r="G335" s="4"/>
      <c r="H335" s="4"/>
      <c r="I335" s="4"/>
      <c r="J335" s="50"/>
      <c r="K335" s="67"/>
      <c r="L335" s="67"/>
      <c r="M335" s="4"/>
      <c r="N335" s="4"/>
      <c r="O335" s="4"/>
      <c r="P335" s="38"/>
      <c r="Q335" t="str" cm="1">
        <f t="array" ref="Q335">IF($P335="","",_xlfn._xlws.FILTER(LT_LST[Lot],(LT_LST[Client Id.]=$C335)*(LT_LST[Strategy]=$D335)*(LT_LST[DTE/WTE]=$E335)*(LT_LST[Symbol]=$I335)))</f>
        <v/>
      </c>
    </row>
    <row r="336" spans="3:17" x14ac:dyDescent="0.25">
      <c r="C336" t="str">
        <f t="shared" si="5"/>
        <v/>
      </c>
      <c r="E336" s="4"/>
      <c r="F336" s="4"/>
      <c r="G336" s="4"/>
      <c r="H336" s="4"/>
      <c r="I336" s="4"/>
      <c r="J336" s="50"/>
      <c r="K336" s="67"/>
      <c r="L336" s="67"/>
      <c r="M336" s="4"/>
      <c r="N336" s="4"/>
      <c r="O336" s="4"/>
      <c r="P336" s="38"/>
      <c r="Q336" t="str" cm="1">
        <f t="array" ref="Q336">IF($P336="","",_xlfn._xlws.FILTER(LT_LST[Lot],(LT_LST[Client Id.]=$C336)*(LT_LST[Strategy]=$D336)*(LT_LST[DTE/WTE]=$E336)*(LT_LST[Symbol]=$I336)))</f>
        <v/>
      </c>
    </row>
    <row r="337" spans="3:17" x14ac:dyDescent="0.25">
      <c r="C337" t="str">
        <f t="shared" si="5"/>
        <v/>
      </c>
      <c r="E337" s="4"/>
      <c r="F337" s="4"/>
      <c r="G337" s="4"/>
      <c r="H337" s="4"/>
      <c r="I337" s="4"/>
      <c r="J337" s="50"/>
      <c r="K337" s="67"/>
      <c r="L337" s="67"/>
      <c r="M337" s="4"/>
      <c r="N337" s="4"/>
      <c r="O337" s="4"/>
      <c r="P337" s="38"/>
      <c r="Q337" t="str" cm="1">
        <f t="array" ref="Q337">IF($P337="","",_xlfn._xlws.FILTER(LT_LST[Lot],(LT_LST[Client Id.]=$C337)*(LT_LST[Strategy]=$D337)*(LT_LST[DTE/WTE]=$E337)*(LT_LST[Symbol]=$I337)))</f>
        <v/>
      </c>
    </row>
    <row r="338" spans="3:17" x14ac:dyDescent="0.25">
      <c r="C338" t="str">
        <f t="shared" si="5"/>
        <v/>
      </c>
      <c r="E338" s="4"/>
      <c r="F338" s="4"/>
      <c r="G338" s="4"/>
      <c r="H338" s="4"/>
      <c r="I338" s="4"/>
      <c r="J338" s="50"/>
      <c r="K338" s="67"/>
      <c r="L338" s="67"/>
      <c r="M338" s="4"/>
      <c r="N338" s="4"/>
      <c r="O338" s="4"/>
      <c r="P338" s="38"/>
      <c r="Q338" t="str" cm="1">
        <f t="array" ref="Q338">IF($P338="","",_xlfn._xlws.FILTER(LT_LST[Lot],(LT_LST[Client Id.]=$C338)*(LT_LST[Strategy]=$D338)*(LT_LST[DTE/WTE]=$E338)*(LT_LST[Symbol]=$I338)))</f>
        <v/>
      </c>
    </row>
    <row r="339" spans="3:17" x14ac:dyDescent="0.25">
      <c r="C339" t="str">
        <f t="shared" si="5"/>
        <v/>
      </c>
      <c r="E339" s="4"/>
      <c r="F339" s="4"/>
      <c r="G339" s="4"/>
      <c r="H339" s="4"/>
      <c r="I339" s="4"/>
      <c r="J339" s="50"/>
      <c r="K339" s="67"/>
      <c r="L339" s="67"/>
      <c r="M339" s="4"/>
      <c r="N339" s="4"/>
      <c r="O339" s="4"/>
      <c r="P339" s="38"/>
      <c r="Q339" t="str" cm="1">
        <f t="array" ref="Q339">IF($P339="","",_xlfn._xlws.FILTER(LT_LST[Lot],(LT_LST[Client Id.]=$C339)*(LT_LST[Strategy]=$D339)*(LT_LST[DTE/WTE]=$E339)*(LT_LST[Symbol]=$I339)))</f>
        <v/>
      </c>
    </row>
    <row r="340" spans="3:17" x14ac:dyDescent="0.25">
      <c r="C340" t="str">
        <f t="shared" si="5"/>
        <v/>
      </c>
      <c r="E340" s="4"/>
      <c r="F340" s="4"/>
      <c r="G340" s="4"/>
      <c r="H340" s="4"/>
      <c r="I340" s="4"/>
      <c r="J340" s="50"/>
      <c r="K340" s="67"/>
      <c r="L340" s="67"/>
      <c r="M340" s="4"/>
      <c r="N340" s="4"/>
      <c r="O340" s="4"/>
      <c r="P340" s="38"/>
      <c r="Q340" t="str" cm="1">
        <f t="array" ref="Q340">IF($P340="","",_xlfn._xlws.FILTER(LT_LST[Lot],(LT_LST[Client Id.]=$C340)*(LT_LST[Strategy]=$D340)*(LT_LST[DTE/WTE]=$E340)*(LT_LST[Symbol]=$I340)))</f>
        <v/>
      </c>
    </row>
    <row r="341" spans="3:17" x14ac:dyDescent="0.25">
      <c r="C341" t="str">
        <f t="shared" si="5"/>
        <v/>
      </c>
      <c r="E341" s="4"/>
      <c r="F341" s="4"/>
      <c r="G341" s="4"/>
      <c r="H341" s="4"/>
      <c r="I341" s="4"/>
      <c r="J341" s="50"/>
      <c r="K341" s="67"/>
      <c r="L341" s="67"/>
      <c r="M341" s="4"/>
      <c r="N341" s="4"/>
      <c r="O341" s="4"/>
      <c r="P341" s="38"/>
      <c r="Q341" t="str" cm="1">
        <f t="array" ref="Q341">IF($P341="","",_xlfn._xlws.FILTER(LT_LST[Lot],(LT_LST[Client Id.]=$C341)*(LT_LST[Strategy]=$D341)*(LT_LST[DTE/WTE]=$E341)*(LT_LST[Symbol]=$I341)))</f>
        <v/>
      </c>
    </row>
    <row r="342" spans="3:17" x14ac:dyDescent="0.25">
      <c r="C342" t="str">
        <f t="shared" si="5"/>
        <v/>
      </c>
      <c r="E342" s="4"/>
      <c r="F342" s="4"/>
      <c r="G342" s="4"/>
      <c r="H342" s="4"/>
      <c r="I342" s="4"/>
      <c r="J342" s="50"/>
      <c r="K342" s="67"/>
      <c r="L342" s="67"/>
      <c r="M342" s="4"/>
      <c r="N342" s="4"/>
      <c r="O342" s="4"/>
      <c r="P342" s="38"/>
      <c r="Q342" t="str" cm="1">
        <f t="array" ref="Q342">IF($P342="","",_xlfn._xlws.FILTER(LT_LST[Lot],(LT_LST[Client Id.]=$C342)*(LT_LST[Strategy]=$D342)*(LT_LST[DTE/WTE]=$E342)*(LT_LST[Symbol]=$I342)))</f>
        <v/>
      </c>
    </row>
    <row r="343" spans="3:17" x14ac:dyDescent="0.25">
      <c r="C343" t="str">
        <f t="shared" si="5"/>
        <v/>
      </c>
      <c r="E343" s="4"/>
      <c r="F343" s="4"/>
      <c r="G343" s="4"/>
      <c r="H343" s="4"/>
      <c r="I343" s="4"/>
      <c r="J343" s="50"/>
      <c r="K343" s="67"/>
      <c r="L343" s="67"/>
      <c r="M343" s="4"/>
      <c r="N343" s="4"/>
      <c r="O343" s="4"/>
      <c r="P343" s="38"/>
      <c r="Q343" t="str" cm="1">
        <f t="array" ref="Q343">IF($P343="","",_xlfn._xlws.FILTER(LT_LST[Lot],(LT_LST[Client Id.]=$C343)*(LT_LST[Strategy]=$D343)*(LT_LST[DTE/WTE]=$E343)*(LT_LST[Symbol]=$I343)))</f>
        <v/>
      </c>
    </row>
    <row r="344" spans="3:17" x14ac:dyDescent="0.25">
      <c r="C344" t="str">
        <f t="shared" si="5"/>
        <v/>
      </c>
      <c r="E344" s="4"/>
      <c r="F344" s="4"/>
      <c r="G344" s="4"/>
      <c r="H344" s="4"/>
      <c r="I344" s="4"/>
      <c r="J344" s="50"/>
      <c r="K344" s="67"/>
      <c r="L344" s="67"/>
      <c r="M344" s="4"/>
      <c r="N344" s="4"/>
      <c r="O344" s="4"/>
      <c r="P344" s="38"/>
      <c r="Q344" t="str" cm="1">
        <f t="array" ref="Q344">IF($P344="","",_xlfn._xlws.FILTER(LT_LST[Lot],(LT_LST[Client Id.]=$C344)*(LT_LST[Strategy]=$D344)*(LT_LST[DTE/WTE]=$E344)*(LT_LST[Symbol]=$I344)))</f>
        <v/>
      </c>
    </row>
    <row r="345" spans="3:17" x14ac:dyDescent="0.25">
      <c r="C345" t="str">
        <f t="shared" si="5"/>
        <v/>
      </c>
      <c r="E345" s="4"/>
      <c r="F345" s="4"/>
      <c r="G345" s="4"/>
      <c r="H345" s="4"/>
      <c r="I345" s="4"/>
      <c r="J345" s="50"/>
      <c r="K345" s="67"/>
      <c r="L345" s="67"/>
      <c r="M345" s="4"/>
      <c r="N345" s="4"/>
      <c r="O345" s="4"/>
      <c r="P345" s="38"/>
      <c r="Q345" t="str" cm="1">
        <f t="array" ref="Q345">IF($P345="","",_xlfn._xlws.FILTER(LT_LST[Lot],(LT_LST[Client Id.]=$C345)*(LT_LST[Strategy]=$D345)*(LT_LST[DTE/WTE]=$E345)*(LT_LST[Symbol]=$I345)))</f>
        <v/>
      </c>
    </row>
    <row r="346" spans="3:17" x14ac:dyDescent="0.25">
      <c r="C346" t="str">
        <f t="shared" si="5"/>
        <v/>
      </c>
      <c r="E346" s="4"/>
      <c r="F346" s="4"/>
      <c r="G346" s="4"/>
      <c r="H346" s="4"/>
      <c r="I346" s="4"/>
      <c r="J346" s="50"/>
      <c r="K346" s="67"/>
      <c r="L346" s="67"/>
      <c r="M346" s="4"/>
      <c r="N346" s="4"/>
      <c r="O346" s="4"/>
      <c r="P346" s="38"/>
      <c r="Q346" t="str" cm="1">
        <f t="array" ref="Q346">IF($P346="","",_xlfn._xlws.FILTER(LT_LST[Lot],(LT_LST[Client Id.]=$C346)*(LT_LST[Strategy]=$D346)*(LT_LST[DTE/WTE]=$E346)*(LT_LST[Symbol]=$I346)))</f>
        <v/>
      </c>
    </row>
    <row r="347" spans="3:17" x14ac:dyDescent="0.25">
      <c r="C347" t="str">
        <f t="shared" si="5"/>
        <v/>
      </c>
      <c r="E347" s="4"/>
      <c r="F347" s="4"/>
      <c r="G347" s="4"/>
      <c r="H347" s="4"/>
      <c r="I347" s="4"/>
      <c r="J347" s="50"/>
      <c r="K347" s="67"/>
      <c r="L347" s="67"/>
      <c r="M347" s="4"/>
      <c r="N347" s="4"/>
      <c r="O347" s="4"/>
      <c r="P347" s="38"/>
      <c r="Q347" t="str" cm="1">
        <f t="array" ref="Q347">IF($P347="","",_xlfn._xlws.FILTER(LT_LST[Lot],(LT_LST[Client Id.]=$C347)*(LT_LST[Strategy]=$D347)*(LT_LST[DTE/WTE]=$E347)*(LT_LST[Symbol]=$I347)))</f>
        <v/>
      </c>
    </row>
    <row r="348" spans="3:17" x14ac:dyDescent="0.25">
      <c r="C348" t="str">
        <f t="shared" si="5"/>
        <v/>
      </c>
      <c r="E348" s="4"/>
      <c r="F348" s="4"/>
      <c r="G348" s="4"/>
      <c r="H348" s="4"/>
      <c r="I348" s="4"/>
      <c r="J348" s="50"/>
      <c r="K348" s="67"/>
      <c r="L348" s="67"/>
      <c r="M348" s="4"/>
      <c r="N348" s="4"/>
      <c r="O348" s="4"/>
      <c r="P348" s="38"/>
      <c r="Q348" t="str" cm="1">
        <f t="array" ref="Q348">IF($P348="","",_xlfn._xlws.FILTER(LT_LST[Lot],(LT_LST[Client Id.]=$C348)*(LT_LST[Strategy]=$D348)*(LT_LST[DTE/WTE]=$E348)*(LT_LST[Symbol]=$I348)))</f>
        <v/>
      </c>
    </row>
    <row r="349" spans="3:17" x14ac:dyDescent="0.25">
      <c r="C349" t="str">
        <f t="shared" si="5"/>
        <v/>
      </c>
      <c r="E349" s="4"/>
      <c r="F349" s="4"/>
      <c r="G349" s="4"/>
      <c r="H349" s="4"/>
      <c r="I349" s="4"/>
      <c r="J349" s="50"/>
      <c r="K349" s="67"/>
      <c r="L349" s="67"/>
      <c r="M349" s="4"/>
      <c r="N349" s="4"/>
      <c r="O349" s="4"/>
      <c r="P349" s="38"/>
      <c r="Q349" t="str" cm="1">
        <f t="array" ref="Q349">IF($P349="","",_xlfn._xlws.FILTER(LT_LST[Lot],(LT_LST[Client Id.]=$C349)*(LT_LST[Strategy]=$D349)*(LT_LST[DTE/WTE]=$E349)*(LT_LST[Symbol]=$I349)))</f>
        <v/>
      </c>
    </row>
    <row r="350" spans="3:17" x14ac:dyDescent="0.25">
      <c r="C350" t="str">
        <f t="shared" si="5"/>
        <v/>
      </c>
      <c r="E350" s="4"/>
      <c r="F350" s="4"/>
      <c r="G350" s="4"/>
      <c r="H350" s="4"/>
      <c r="I350" s="4"/>
      <c r="J350" s="50"/>
      <c r="K350" s="67"/>
      <c r="L350" s="67"/>
      <c r="M350" s="4"/>
      <c r="N350" s="4"/>
      <c r="O350" s="4"/>
      <c r="P350" s="38"/>
      <c r="Q350" t="str" cm="1">
        <f t="array" ref="Q350">IF($P350="","",_xlfn._xlws.FILTER(LT_LST[Lot],(LT_LST[Client Id.]=$C350)*(LT_LST[Strategy]=$D350)*(LT_LST[DTE/WTE]=$E350)*(LT_LST[Symbol]=$I350)))</f>
        <v/>
      </c>
    </row>
    <row r="351" spans="3:17" x14ac:dyDescent="0.25">
      <c r="C351" t="str">
        <f t="shared" si="5"/>
        <v/>
      </c>
      <c r="E351" s="4"/>
      <c r="F351" s="4"/>
      <c r="G351" s="4"/>
      <c r="H351" s="4"/>
      <c r="I351" s="4"/>
      <c r="J351" s="50"/>
      <c r="K351" s="67"/>
      <c r="L351" s="67"/>
      <c r="M351" s="4"/>
      <c r="N351" s="4"/>
      <c r="O351" s="4"/>
      <c r="P351" s="38"/>
      <c r="Q351" t="str" cm="1">
        <f t="array" ref="Q351">IF($P351="","",_xlfn._xlws.FILTER(LT_LST[Lot],(LT_LST[Client Id.]=$C351)*(LT_LST[Strategy]=$D351)*(LT_LST[DTE/WTE]=$E351)*(LT_LST[Symbol]=$I351)))</f>
        <v/>
      </c>
    </row>
    <row r="352" spans="3:17" x14ac:dyDescent="0.25">
      <c r="C352" t="str">
        <f t="shared" si="5"/>
        <v/>
      </c>
      <c r="E352" s="4"/>
      <c r="F352" s="4"/>
      <c r="G352" s="4"/>
      <c r="H352" s="4"/>
      <c r="I352" s="4"/>
      <c r="J352" s="50"/>
      <c r="K352" s="67"/>
      <c r="L352" s="67"/>
      <c r="M352" s="4"/>
      <c r="N352" s="4"/>
      <c r="O352" s="4"/>
      <c r="P352" s="38"/>
      <c r="Q352" t="str" cm="1">
        <f t="array" ref="Q352">IF($P352="","",_xlfn._xlws.FILTER(LT_LST[Lot],(LT_LST[Client Id.]=$C352)*(LT_LST[Strategy]=$D352)*(LT_LST[DTE/WTE]=$E352)*(LT_LST[Symbol]=$I352)))</f>
        <v/>
      </c>
    </row>
    <row r="353" spans="3:17" x14ac:dyDescent="0.25">
      <c r="C353" t="str">
        <f t="shared" si="5"/>
        <v/>
      </c>
      <c r="E353" s="4"/>
      <c r="F353" s="4"/>
      <c r="G353" s="4"/>
      <c r="H353" s="4"/>
      <c r="I353" s="4"/>
      <c r="J353" s="50"/>
      <c r="K353" s="67"/>
      <c r="L353" s="67"/>
      <c r="M353" s="4"/>
      <c r="N353" s="4"/>
      <c r="O353" s="4"/>
      <c r="P353" s="38"/>
      <c r="Q353" t="str" cm="1">
        <f t="array" ref="Q353">IF($P353="","",_xlfn._xlws.FILTER(LT_LST[Lot],(LT_LST[Client Id.]=$C353)*(LT_LST[Strategy]=$D353)*(LT_LST[DTE/WTE]=$E353)*(LT_LST[Symbol]=$I353)))</f>
        <v/>
      </c>
    </row>
    <row r="354" spans="3:17" x14ac:dyDescent="0.25">
      <c r="C354" t="str">
        <f t="shared" si="5"/>
        <v/>
      </c>
      <c r="E354" s="4"/>
      <c r="F354" s="4"/>
      <c r="G354" s="4"/>
      <c r="H354" s="4"/>
      <c r="I354" s="4"/>
      <c r="J354" s="50"/>
      <c r="K354" s="67"/>
      <c r="L354" s="67"/>
      <c r="M354" s="4"/>
      <c r="N354" s="4"/>
      <c r="O354" s="4"/>
      <c r="P354" s="38"/>
      <c r="Q354" t="str" cm="1">
        <f t="array" ref="Q354">IF($P354="","",_xlfn._xlws.FILTER(LT_LST[Lot],(LT_LST[Client Id.]=$C354)*(LT_LST[Strategy]=$D354)*(LT_LST[DTE/WTE]=$E354)*(LT_LST[Symbol]=$I354)))</f>
        <v/>
      </c>
    </row>
    <row r="355" spans="3:17" x14ac:dyDescent="0.25">
      <c r="C355" t="str">
        <f t="shared" si="5"/>
        <v/>
      </c>
      <c r="E355" s="4"/>
      <c r="F355" s="4"/>
      <c r="G355" s="4"/>
      <c r="H355" s="4"/>
      <c r="I355" s="4"/>
      <c r="J355" s="50"/>
      <c r="K355" s="67"/>
      <c r="L355" s="67"/>
      <c r="M355" s="4"/>
      <c r="N355" s="4"/>
      <c r="O355" s="4"/>
      <c r="P355" s="38"/>
      <c r="Q355" t="str" cm="1">
        <f t="array" ref="Q355">IF($P355="","",_xlfn._xlws.FILTER(LT_LST[Lot],(LT_LST[Client Id.]=$C355)*(LT_LST[Strategy]=$D355)*(LT_LST[DTE/WTE]=$E355)*(LT_LST[Symbol]=$I355)))</f>
        <v/>
      </c>
    </row>
    <row r="356" spans="3:17" x14ac:dyDescent="0.25">
      <c r="C356" t="str">
        <f t="shared" si="5"/>
        <v/>
      </c>
      <c r="E356" s="4"/>
      <c r="F356" s="4"/>
      <c r="G356" s="4"/>
      <c r="H356" s="4"/>
      <c r="I356" s="4"/>
      <c r="J356" s="50"/>
      <c r="K356" s="67"/>
      <c r="L356" s="67"/>
      <c r="M356" s="4"/>
      <c r="N356" s="4"/>
      <c r="O356" s="4"/>
      <c r="P356" s="38"/>
      <c r="Q356" t="str" cm="1">
        <f t="array" ref="Q356">IF($P356="","",_xlfn._xlws.FILTER(LT_LST[Lot],(LT_LST[Client Id.]=$C356)*(LT_LST[Strategy]=$D356)*(LT_LST[DTE/WTE]=$E356)*(LT_LST[Symbol]=$I356)))</f>
        <v/>
      </c>
    </row>
    <row r="357" spans="3:17" x14ac:dyDescent="0.25">
      <c r="C357" t="str">
        <f t="shared" si="5"/>
        <v/>
      </c>
      <c r="E357" s="4"/>
      <c r="F357" s="4"/>
      <c r="G357" s="4"/>
      <c r="H357" s="4"/>
      <c r="I357" s="4"/>
      <c r="J357" s="50"/>
      <c r="K357" s="67"/>
      <c r="L357" s="67"/>
      <c r="M357" s="4"/>
      <c r="N357" s="4"/>
      <c r="O357" s="4"/>
      <c r="P357" s="38"/>
      <c r="Q357" t="str" cm="1">
        <f t="array" ref="Q357">IF($P357="","",_xlfn._xlws.FILTER(LT_LST[Lot],(LT_LST[Client Id.]=$C357)*(LT_LST[Strategy]=$D357)*(LT_LST[DTE/WTE]=$E357)*(LT_LST[Symbol]=$I357)))</f>
        <v/>
      </c>
    </row>
    <row r="358" spans="3:17" x14ac:dyDescent="0.25">
      <c r="C358" t="str">
        <f t="shared" si="5"/>
        <v/>
      </c>
      <c r="E358" s="4"/>
      <c r="F358" s="4"/>
      <c r="G358" s="4"/>
      <c r="H358" s="4"/>
      <c r="I358" s="4"/>
      <c r="J358" s="50"/>
      <c r="K358" s="67"/>
      <c r="L358" s="67"/>
      <c r="M358" s="4"/>
      <c r="N358" s="4"/>
      <c r="O358" s="4"/>
      <c r="P358" s="38"/>
      <c r="Q358" t="str" cm="1">
        <f t="array" ref="Q358">IF($P358="","",_xlfn._xlws.FILTER(LT_LST[Lot],(LT_LST[Client Id.]=$C358)*(LT_LST[Strategy]=$D358)*(LT_LST[DTE/WTE]=$E358)*(LT_LST[Symbol]=$I358)))</f>
        <v/>
      </c>
    </row>
    <row r="359" spans="3:17" x14ac:dyDescent="0.25">
      <c r="C359" t="str">
        <f t="shared" si="5"/>
        <v/>
      </c>
      <c r="E359" s="4"/>
      <c r="F359" s="4"/>
      <c r="G359" s="4"/>
      <c r="H359" s="4"/>
      <c r="I359" s="4"/>
      <c r="J359" s="50"/>
      <c r="K359" s="67"/>
      <c r="L359" s="67"/>
      <c r="M359" s="4"/>
      <c r="N359" s="4"/>
      <c r="O359" s="4"/>
      <c r="P359" s="38"/>
      <c r="Q359" t="str" cm="1">
        <f t="array" ref="Q359">IF($P359="","",_xlfn._xlws.FILTER(LT_LST[Lot],(LT_LST[Client Id.]=$C359)*(LT_LST[Strategy]=$D359)*(LT_LST[DTE/WTE]=$E359)*(LT_LST[Symbol]=$I359)))</f>
        <v/>
      </c>
    </row>
    <row r="360" spans="3:17" x14ac:dyDescent="0.25">
      <c r="C360" t="str">
        <f t="shared" si="5"/>
        <v/>
      </c>
      <c r="E360" s="4"/>
      <c r="F360" s="4"/>
      <c r="G360" s="4"/>
      <c r="H360" s="4"/>
      <c r="I360" s="4"/>
      <c r="J360" s="50"/>
      <c r="K360" s="67"/>
      <c r="L360" s="67"/>
      <c r="M360" s="4"/>
      <c r="N360" s="4"/>
      <c r="O360" s="4"/>
      <c r="P360" s="38"/>
      <c r="Q360" t="str" cm="1">
        <f t="array" ref="Q360">IF($P360="","",_xlfn._xlws.FILTER(LT_LST[Lot],(LT_LST[Client Id.]=$C360)*(LT_LST[Strategy]=$D360)*(LT_LST[DTE/WTE]=$E360)*(LT_LST[Symbol]=$I360)))</f>
        <v/>
      </c>
    </row>
    <row r="361" spans="3:17" x14ac:dyDescent="0.25">
      <c r="C361" t="str">
        <f t="shared" si="5"/>
        <v/>
      </c>
      <c r="E361" s="4"/>
      <c r="F361" s="4"/>
      <c r="G361" s="4"/>
      <c r="H361" s="4"/>
      <c r="I361" s="4"/>
      <c r="J361" s="50"/>
      <c r="K361" s="67"/>
      <c r="L361" s="67"/>
      <c r="M361" s="4"/>
      <c r="N361" s="4"/>
      <c r="O361" s="4"/>
      <c r="P361" s="38"/>
      <c r="Q361" t="str" cm="1">
        <f t="array" ref="Q361">IF($P361="","",_xlfn._xlws.FILTER(LT_LST[Lot],(LT_LST[Client Id.]=$C361)*(LT_LST[Strategy]=$D361)*(LT_LST[DTE/WTE]=$E361)*(LT_LST[Symbol]=$I361)))</f>
        <v/>
      </c>
    </row>
    <row r="362" spans="3:17" x14ac:dyDescent="0.25">
      <c r="C362" t="str">
        <f t="shared" si="5"/>
        <v/>
      </c>
      <c r="E362" s="4"/>
      <c r="F362" s="4"/>
      <c r="G362" s="4"/>
      <c r="H362" s="4"/>
      <c r="I362" s="4"/>
      <c r="J362" s="50"/>
      <c r="K362" s="67"/>
      <c r="L362" s="67"/>
      <c r="M362" s="4"/>
      <c r="N362" s="4"/>
      <c r="O362" s="4"/>
      <c r="P362" s="38"/>
      <c r="Q362" t="str" cm="1">
        <f t="array" ref="Q362">IF($P362="","",_xlfn._xlws.FILTER(LT_LST[Lot],(LT_LST[Client Id.]=$C362)*(LT_LST[Strategy]=$D362)*(LT_LST[DTE/WTE]=$E362)*(LT_LST[Symbol]=$I362)))</f>
        <v/>
      </c>
    </row>
    <row r="363" spans="3:17" x14ac:dyDescent="0.25">
      <c r="C363" t="str">
        <f t="shared" si="5"/>
        <v/>
      </c>
      <c r="E363" s="4"/>
      <c r="F363" s="4"/>
      <c r="G363" s="4"/>
      <c r="H363" s="4"/>
      <c r="I363" s="4"/>
      <c r="J363" s="50"/>
      <c r="K363" s="67"/>
      <c r="L363" s="67"/>
      <c r="M363" s="4"/>
      <c r="N363" s="4"/>
      <c r="O363" s="4"/>
      <c r="P363" s="38"/>
      <c r="Q363" t="str" cm="1">
        <f t="array" ref="Q363">IF($P363="","",_xlfn._xlws.FILTER(LT_LST[Lot],(LT_LST[Client Id.]=$C363)*(LT_LST[Strategy]=$D363)*(LT_LST[DTE/WTE]=$E363)*(LT_LST[Symbol]=$I363)))</f>
        <v/>
      </c>
    </row>
    <row r="364" spans="3:17" x14ac:dyDescent="0.25">
      <c r="C364" t="str">
        <f t="shared" si="5"/>
        <v/>
      </c>
      <c r="E364" s="4"/>
      <c r="F364" s="4"/>
      <c r="G364" s="4"/>
      <c r="H364" s="4"/>
      <c r="I364" s="4"/>
      <c r="J364" s="50"/>
      <c r="K364" s="67"/>
      <c r="L364" s="67"/>
      <c r="M364" s="4"/>
      <c r="N364" s="4"/>
      <c r="O364" s="4"/>
      <c r="P364" s="38"/>
      <c r="Q364" t="str" cm="1">
        <f t="array" ref="Q364">IF($P364="","",_xlfn._xlws.FILTER(LT_LST[Lot],(LT_LST[Client Id.]=$C364)*(LT_LST[Strategy]=$D364)*(LT_LST[DTE/WTE]=$E364)*(LT_LST[Symbol]=$I364)))</f>
        <v/>
      </c>
    </row>
    <row r="365" spans="3:17" x14ac:dyDescent="0.25">
      <c r="C365" t="str">
        <f t="shared" si="5"/>
        <v/>
      </c>
      <c r="E365" s="4"/>
      <c r="F365" s="4"/>
      <c r="G365" s="4"/>
      <c r="H365" s="4"/>
      <c r="I365" s="4"/>
      <c r="J365" s="50"/>
      <c r="K365" s="67"/>
      <c r="L365" s="67"/>
      <c r="M365" s="4"/>
      <c r="N365" s="4"/>
      <c r="O365" s="4"/>
      <c r="P365" s="38"/>
      <c r="Q365" t="str" cm="1">
        <f t="array" ref="Q365">IF($P365="","",_xlfn._xlws.FILTER(LT_LST[Lot],(LT_LST[Client Id.]=$C365)*(LT_LST[Strategy]=$D365)*(LT_LST[DTE/WTE]=$E365)*(LT_LST[Symbol]=$I365)))</f>
        <v/>
      </c>
    </row>
    <row r="366" spans="3:17" x14ac:dyDescent="0.25">
      <c r="C366" t="str">
        <f t="shared" si="5"/>
        <v/>
      </c>
      <c r="E366" s="4"/>
      <c r="F366" s="4"/>
      <c r="G366" s="4"/>
      <c r="H366" s="4"/>
      <c r="I366" s="4"/>
      <c r="J366" s="50"/>
      <c r="K366" s="67"/>
      <c r="L366" s="67"/>
      <c r="M366" s="4"/>
      <c r="N366" s="4"/>
      <c r="O366" s="4"/>
      <c r="P366" s="38"/>
      <c r="Q366" t="str" cm="1">
        <f t="array" ref="Q366">IF($P366="","",_xlfn._xlws.FILTER(LT_LST[Lot],(LT_LST[Client Id.]=$C366)*(LT_LST[Strategy]=$D366)*(LT_LST[DTE/WTE]=$E366)*(LT_LST[Symbol]=$I366)))</f>
        <v/>
      </c>
    </row>
    <row r="367" spans="3:17" x14ac:dyDescent="0.25">
      <c r="C367" t="str">
        <f t="shared" si="5"/>
        <v/>
      </c>
      <c r="E367" s="4"/>
      <c r="F367" s="4"/>
      <c r="G367" s="4"/>
      <c r="H367" s="4"/>
      <c r="I367" s="4"/>
      <c r="J367" s="50"/>
      <c r="K367" s="67"/>
      <c r="L367" s="67"/>
      <c r="M367" s="4"/>
      <c r="N367" s="4"/>
      <c r="O367" s="4"/>
      <c r="P367" s="38"/>
      <c r="Q367" t="str" cm="1">
        <f t="array" ref="Q367">IF($P367="","",_xlfn._xlws.FILTER(LT_LST[Lot],(LT_LST[Client Id.]=$C367)*(LT_LST[Strategy]=$D367)*(LT_LST[DTE/WTE]=$E367)*(LT_LST[Symbol]=$I367)))</f>
        <v/>
      </c>
    </row>
    <row r="368" spans="3:17" x14ac:dyDescent="0.25">
      <c r="C368" t="str">
        <f t="shared" si="5"/>
        <v/>
      </c>
      <c r="E368" s="4"/>
      <c r="F368" s="4"/>
      <c r="G368" s="4"/>
      <c r="H368" s="4"/>
      <c r="I368" s="4"/>
      <c r="J368" s="50"/>
      <c r="K368" s="67"/>
      <c r="L368" s="67"/>
      <c r="M368" s="4"/>
      <c r="N368" s="4"/>
      <c r="O368" s="4"/>
      <c r="P368" s="38"/>
      <c r="Q368" t="str" cm="1">
        <f t="array" ref="Q368">IF($P368="","",_xlfn._xlws.FILTER(LT_LST[Lot],(LT_LST[Client Id.]=$C368)*(LT_LST[Strategy]=$D368)*(LT_LST[DTE/WTE]=$E368)*(LT_LST[Symbol]=$I368)))</f>
        <v/>
      </c>
    </row>
    <row r="369" spans="3:17" x14ac:dyDescent="0.25">
      <c r="C369" t="str">
        <f t="shared" si="5"/>
        <v/>
      </c>
      <c r="E369" s="4"/>
      <c r="F369" s="4"/>
      <c r="G369" s="4"/>
      <c r="H369" s="4"/>
      <c r="I369" s="4"/>
      <c r="J369" s="50"/>
      <c r="K369" s="67"/>
      <c r="L369" s="67"/>
      <c r="M369" s="4"/>
      <c r="N369" s="4"/>
      <c r="O369" s="4"/>
      <c r="P369" s="38"/>
      <c r="Q369" t="str" cm="1">
        <f t="array" ref="Q369">IF($P369="","",_xlfn._xlws.FILTER(LT_LST[Lot],(LT_LST[Client Id.]=$C369)*(LT_LST[Strategy]=$D369)*(LT_LST[DTE/WTE]=$E369)*(LT_LST[Symbol]=$I369)))</f>
        <v/>
      </c>
    </row>
    <row r="370" spans="3:17" x14ac:dyDescent="0.25">
      <c r="C370" t="str">
        <f t="shared" si="5"/>
        <v/>
      </c>
      <c r="E370" s="4"/>
      <c r="F370" s="4"/>
      <c r="G370" s="4"/>
      <c r="H370" s="4"/>
      <c r="I370" s="4"/>
      <c r="J370" s="50"/>
      <c r="K370" s="67"/>
      <c r="L370" s="67"/>
      <c r="M370" s="4"/>
      <c r="N370" s="4"/>
      <c r="O370" s="4"/>
      <c r="P370" s="38"/>
      <c r="Q370" t="str" cm="1">
        <f t="array" ref="Q370">IF($P370="","",_xlfn._xlws.FILTER(LT_LST[Lot],(LT_LST[Client Id.]=$C370)*(LT_LST[Strategy]=$D370)*(LT_LST[DTE/WTE]=$E370)*(LT_LST[Symbol]=$I370)))</f>
        <v/>
      </c>
    </row>
    <row r="371" spans="3:17" x14ac:dyDescent="0.25">
      <c r="C371" t="str">
        <f t="shared" si="5"/>
        <v/>
      </c>
      <c r="E371" s="4"/>
      <c r="F371" s="4"/>
      <c r="G371" s="4"/>
      <c r="H371" s="4"/>
      <c r="I371" s="4"/>
      <c r="J371" s="50"/>
      <c r="K371" s="67"/>
      <c r="L371" s="67"/>
      <c r="M371" s="4"/>
      <c r="N371" s="4"/>
      <c r="O371" s="4"/>
      <c r="P371" s="38"/>
      <c r="Q371" t="str" cm="1">
        <f t="array" ref="Q371">IF($P371="","",_xlfn._xlws.FILTER(LT_LST[Lot],(LT_LST[Client Id.]=$C371)*(LT_LST[Strategy]=$D371)*(LT_LST[DTE/WTE]=$E371)*(LT_LST[Symbol]=$I371)))</f>
        <v/>
      </c>
    </row>
    <row r="372" spans="3:17" x14ac:dyDescent="0.25">
      <c r="C372" t="str">
        <f t="shared" si="5"/>
        <v/>
      </c>
      <c r="E372" s="4"/>
      <c r="F372" s="4"/>
      <c r="G372" s="4"/>
      <c r="H372" s="4"/>
      <c r="I372" s="4"/>
      <c r="J372" s="50"/>
      <c r="K372" s="67"/>
      <c r="L372" s="67"/>
      <c r="M372" s="4"/>
      <c r="N372" s="4"/>
      <c r="O372" s="4"/>
      <c r="P372" s="38"/>
      <c r="Q372" t="str" cm="1">
        <f t="array" ref="Q372">IF($P372="","",_xlfn._xlws.FILTER(LT_LST[Lot],(LT_LST[Client Id.]=$C372)*(LT_LST[Strategy]=$D372)*(LT_LST[DTE/WTE]=$E372)*(LT_LST[Symbol]=$I372)))</f>
        <v/>
      </c>
    </row>
    <row r="373" spans="3:17" x14ac:dyDescent="0.25">
      <c r="C373" t="str">
        <f t="shared" si="5"/>
        <v/>
      </c>
      <c r="E373" s="4"/>
      <c r="F373" s="4"/>
      <c r="G373" s="4"/>
      <c r="H373" s="4"/>
      <c r="I373" s="4"/>
      <c r="J373" s="50"/>
      <c r="K373" s="67"/>
      <c r="L373" s="67"/>
      <c r="M373" s="4"/>
      <c r="N373" s="4"/>
      <c r="O373" s="4"/>
      <c r="P373" s="38"/>
      <c r="Q373" t="str" cm="1">
        <f t="array" ref="Q373">IF($P373="","",_xlfn._xlws.FILTER(LT_LST[Lot],(LT_LST[Client Id.]=$C373)*(LT_LST[Strategy]=$D373)*(LT_LST[DTE/WTE]=$E373)*(LT_LST[Symbol]=$I373)))</f>
        <v/>
      </c>
    </row>
    <row r="374" spans="3:17" x14ac:dyDescent="0.25">
      <c r="C374" t="str">
        <f t="shared" si="5"/>
        <v/>
      </c>
      <c r="E374" s="4"/>
      <c r="F374" s="4"/>
      <c r="G374" s="4"/>
      <c r="H374" s="4"/>
      <c r="I374" s="4"/>
      <c r="J374" s="50"/>
      <c r="K374" s="67"/>
      <c r="L374" s="67"/>
      <c r="M374" s="4"/>
      <c r="N374" s="4"/>
      <c r="O374" s="4"/>
      <c r="P374" s="38"/>
      <c r="Q374" t="str" cm="1">
        <f t="array" ref="Q374">IF($P374="","",_xlfn._xlws.FILTER(LT_LST[Lot],(LT_LST[Client Id.]=$C374)*(LT_LST[Strategy]=$D374)*(LT_LST[DTE/WTE]=$E374)*(LT_LST[Symbol]=$I374)))</f>
        <v/>
      </c>
    </row>
    <row r="375" spans="3:17" x14ac:dyDescent="0.25">
      <c r="C375" t="str">
        <f t="shared" si="5"/>
        <v/>
      </c>
      <c r="E375" s="4"/>
      <c r="F375" s="4"/>
      <c r="G375" s="4"/>
      <c r="H375" s="4"/>
      <c r="I375" s="4"/>
      <c r="J375" s="50"/>
      <c r="K375" s="67"/>
      <c r="L375" s="67"/>
      <c r="M375" s="4"/>
      <c r="N375" s="4"/>
      <c r="O375" s="4"/>
      <c r="P375" s="38"/>
      <c r="Q375" t="str" cm="1">
        <f t="array" ref="Q375">IF($P375="","",_xlfn._xlws.FILTER(LT_LST[Lot],(LT_LST[Client Id.]=$C375)*(LT_LST[Strategy]=$D375)*(LT_LST[DTE/WTE]=$E375)*(LT_LST[Symbol]=$I375)))</f>
        <v/>
      </c>
    </row>
    <row r="376" spans="3:17" x14ac:dyDescent="0.25">
      <c r="C376" t="str">
        <f t="shared" si="5"/>
        <v/>
      </c>
      <c r="E376" s="4"/>
      <c r="F376" s="4"/>
      <c r="G376" s="4"/>
      <c r="H376" s="4"/>
      <c r="I376" s="4"/>
      <c r="J376" s="50"/>
      <c r="K376" s="67"/>
      <c r="L376" s="67"/>
      <c r="M376" s="4"/>
      <c r="N376" s="4"/>
      <c r="O376" s="4"/>
      <c r="P376" s="38"/>
      <c r="Q376" t="str" cm="1">
        <f t="array" ref="Q376">IF($P376="","",_xlfn._xlws.FILTER(LT_LST[Lot],(LT_LST[Client Id.]=$C376)*(LT_LST[Strategy]=$D376)*(LT_LST[DTE/WTE]=$E376)*(LT_LST[Symbol]=$I376)))</f>
        <v/>
      </c>
    </row>
    <row r="377" spans="3:17" x14ac:dyDescent="0.25">
      <c r="C377" t="str">
        <f t="shared" si="5"/>
        <v/>
      </c>
      <c r="E377" s="4"/>
      <c r="F377" s="4"/>
      <c r="G377" s="4"/>
      <c r="H377" s="4"/>
      <c r="I377" s="4"/>
      <c r="J377" s="50"/>
      <c r="K377" s="67"/>
      <c r="L377" s="67"/>
      <c r="M377" s="4"/>
      <c r="N377" s="4"/>
      <c r="O377" s="4"/>
      <c r="P377" s="38"/>
      <c r="Q377" t="str" cm="1">
        <f t="array" ref="Q377">IF($P377="","",_xlfn._xlws.FILTER(LT_LST[Lot],(LT_LST[Client Id.]=$C377)*(LT_LST[Strategy]=$D377)*(LT_LST[DTE/WTE]=$E377)*(LT_LST[Symbol]=$I377)))</f>
        <v/>
      </c>
    </row>
    <row r="378" spans="3:17" x14ac:dyDescent="0.25">
      <c r="C378" t="str">
        <f t="shared" si="5"/>
        <v/>
      </c>
      <c r="E378" s="4"/>
      <c r="F378" s="4"/>
      <c r="G378" s="4"/>
      <c r="H378" s="4"/>
      <c r="I378" s="4"/>
      <c r="J378" s="50"/>
      <c r="K378" s="67"/>
      <c r="L378" s="67"/>
      <c r="M378" s="4"/>
      <c r="N378" s="4"/>
      <c r="O378" s="4"/>
      <c r="P378" s="38"/>
      <c r="Q378" t="str" cm="1">
        <f t="array" ref="Q378">IF($P378="","",_xlfn._xlws.FILTER(LT_LST[Lot],(LT_LST[Client Id.]=$C378)*(LT_LST[Strategy]=$D378)*(LT_LST[DTE/WTE]=$E378)*(LT_LST[Symbol]=$I378)))</f>
        <v/>
      </c>
    </row>
    <row r="379" spans="3:17" x14ac:dyDescent="0.25">
      <c r="C379" t="str">
        <f t="shared" si="5"/>
        <v/>
      </c>
      <c r="E379" s="4"/>
      <c r="F379" s="4"/>
      <c r="G379" s="4"/>
      <c r="H379" s="4"/>
      <c r="I379" s="4"/>
      <c r="J379" s="50"/>
      <c r="K379" s="67"/>
      <c r="L379" s="67"/>
      <c r="M379" s="4"/>
      <c r="N379" s="4"/>
      <c r="O379" s="4"/>
      <c r="P379" s="38"/>
      <c r="Q379" t="str" cm="1">
        <f t="array" ref="Q379">IF($P379="","",_xlfn._xlws.FILTER(LT_LST[Lot],(LT_LST[Client Id.]=$C379)*(LT_LST[Strategy]=$D379)*(LT_LST[DTE/WTE]=$E379)*(LT_LST[Symbol]=$I379)))</f>
        <v/>
      </c>
    </row>
    <row r="380" spans="3:17" x14ac:dyDescent="0.25">
      <c r="C380" t="str">
        <f t="shared" si="5"/>
        <v/>
      </c>
      <c r="E380" s="4"/>
      <c r="F380" s="4"/>
      <c r="G380" s="4"/>
      <c r="H380" s="4"/>
      <c r="I380" s="4"/>
      <c r="J380" s="50"/>
      <c r="K380" s="67"/>
      <c r="L380" s="67"/>
      <c r="M380" s="4"/>
      <c r="N380" s="4"/>
      <c r="O380" s="4"/>
      <c r="P380" s="38"/>
      <c r="Q380" t="str" cm="1">
        <f t="array" ref="Q380">IF($P380="","",_xlfn._xlws.FILTER(LT_LST[Lot],(LT_LST[Client Id.]=$C380)*(LT_LST[Strategy]=$D380)*(LT_LST[DTE/WTE]=$E380)*(LT_LST[Symbol]=$I380)))</f>
        <v/>
      </c>
    </row>
    <row r="381" spans="3:17" x14ac:dyDescent="0.25">
      <c r="C381" t="str">
        <f t="shared" si="5"/>
        <v/>
      </c>
      <c r="E381" s="4"/>
      <c r="F381" s="4"/>
      <c r="G381" s="4"/>
      <c r="H381" s="4"/>
      <c r="I381" s="4"/>
      <c r="J381" s="50"/>
      <c r="K381" s="67"/>
      <c r="L381" s="67"/>
      <c r="M381" s="4"/>
      <c r="N381" s="4"/>
      <c r="O381" s="4"/>
      <c r="P381" s="38"/>
      <c r="Q381" t="str" cm="1">
        <f t="array" ref="Q381">IF($P381="","",_xlfn._xlws.FILTER(LT_LST[Lot],(LT_LST[Client Id.]=$C381)*(LT_LST[Strategy]=$D381)*(LT_LST[DTE/WTE]=$E381)*(LT_LST[Symbol]=$I381)))</f>
        <v/>
      </c>
    </row>
    <row r="382" spans="3:17" x14ac:dyDescent="0.25">
      <c r="C382" t="str">
        <f t="shared" si="5"/>
        <v/>
      </c>
      <c r="E382" s="4"/>
      <c r="F382" s="4"/>
      <c r="G382" s="4"/>
      <c r="H382" s="4"/>
      <c r="I382" s="4"/>
      <c r="J382" s="50"/>
      <c r="K382" s="67"/>
      <c r="L382" s="67"/>
      <c r="M382" s="4"/>
      <c r="N382" s="4"/>
      <c r="O382" s="4"/>
      <c r="P382" s="38"/>
      <c r="Q382" t="str" cm="1">
        <f t="array" ref="Q382">IF($P382="","",_xlfn._xlws.FILTER(LT_LST[Lot],(LT_LST[Client Id.]=$C382)*(LT_LST[Strategy]=$D382)*(LT_LST[DTE/WTE]=$E382)*(LT_LST[Symbol]=$I382)))</f>
        <v/>
      </c>
    </row>
    <row r="383" spans="3:17" x14ac:dyDescent="0.25">
      <c r="C383" t="str">
        <f t="shared" si="5"/>
        <v/>
      </c>
      <c r="E383" s="4"/>
      <c r="F383" s="4"/>
      <c r="G383" s="4"/>
      <c r="H383" s="4"/>
      <c r="I383" s="4"/>
      <c r="J383" s="50"/>
      <c r="K383" s="67"/>
      <c r="L383" s="67"/>
      <c r="M383" s="4"/>
      <c r="N383" s="4"/>
      <c r="O383" s="4"/>
      <c r="P383" s="38"/>
      <c r="Q383" t="str" cm="1">
        <f t="array" ref="Q383">IF($P383="","",_xlfn._xlws.FILTER(LT_LST[Lot],(LT_LST[Client Id.]=$C383)*(LT_LST[Strategy]=$D383)*(LT_LST[DTE/WTE]=$E383)*(LT_LST[Symbol]=$I383)))</f>
        <v/>
      </c>
    </row>
    <row r="384" spans="3:17" x14ac:dyDescent="0.25">
      <c r="C384" t="str">
        <f t="shared" si="5"/>
        <v/>
      </c>
      <c r="E384" s="4"/>
      <c r="F384" s="4"/>
      <c r="G384" s="4"/>
      <c r="H384" s="4"/>
      <c r="I384" s="4"/>
      <c r="J384" s="50"/>
      <c r="K384" s="67"/>
      <c r="L384" s="67"/>
      <c r="M384" s="4"/>
      <c r="N384" s="4"/>
      <c r="O384" s="4"/>
      <c r="P384" s="38"/>
      <c r="Q384" t="str" cm="1">
        <f t="array" ref="Q384">IF($P384="","",_xlfn._xlws.FILTER(LT_LST[Lot],(LT_LST[Client Id.]=$C384)*(LT_LST[Strategy]=$D384)*(LT_LST[DTE/WTE]=$E384)*(LT_LST[Symbol]=$I384)))</f>
        <v/>
      </c>
    </row>
    <row r="385" spans="3:17" x14ac:dyDescent="0.25">
      <c r="C385" t="str">
        <f t="shared" si="5"/>
        <v/>
      </c>
      <c r="E385" s="4"/>
      <c r="F385" s="4"/>
      <c r="G385" s="4"/>
      <c r="H385" s="4"/>
      <c r="I385" s="4"/>
      <c r="J385" s="50"/>
      <c r="K385" s="67"/>
      <c r="L385" s="67"/>
      <c r="M385" s="4"/>
      <c r="N385" s="4"/>
      <c r="O385" s="4"/>
      <c r="P385" s="38"/>
      <c r="Q385" t="str" cm="1">
        <f t="array" ref="Q385">IF($P385="","",_xlfn._xlws.FILTER(LT_LST[Lot],(LT_LST[Client Id.]=$C385)*(LT_LST[Strategy]=$D385)*(LT_LST[DTE/WTE]=$E385)*(LT_LST[Symbol]=$I385)))</f>
        <v/>
      </c>
    </row>
    <row r="386" spans="3:17" x14ac:dyDescent="0.25">
      <c r="C386" t="str">
        <f t="shared" si="5"/>
        <v/>
      </c>
      <c r="E386" s="4"/>
      <c r="F386" s="4"/>
      <c r="G386" s="4"/>
      <c r="H386" s="4"/>
      <c r="I386" s="4"/>
      <c r="J386" s="50"/>
      <c r="K386" s="67"/>
      <c r="L386" s="67"/>
      <c r="M386" s="4"/>
      <c r="N386" s="4"/>
      <c r="O386" s="4"/>
      <c r="P386" s="38"/>
      <c r="Q386" t="str" cm="1">
        <f t="array" ref="Q386">IF($P386="","",_xlfn._xlws.FILTER(LT_LST[Lot],(LT_LST[Client Id.]=$C386)*(LT_LST[Strategy]=$D386)*(LT_LST[DTE/WTE]=$E386)*(LT_LST[Symbol]=$I386)))</f>
        <v/>
      </c>
    </row>
    <row r="387" spans="3:17" x14ac:dyDescent="0.25">
      <c r="C387" t="str">
        <f t="shared" si="5"/>
        <v/>
      </c>
      <c r="E387" s="4"/>
      <c r="F387" s="4"/>
      <c r="G387" s="4"/>
      <c r="H387" s="4"/>
      <c r="I387" s="4"/>
      <c r="J387" s="50"/>
      <c r="K387" s="67"/>
      <c r="L387" s="67"/>
      <c r="M387" s="4"/>
      <c r="N387" s="4"/>
      <c r="O387" s="4"/>
      <c r="P387" s="38"/>
      <c r="Q387" t="str" cm="1">
        <f t="array" ref="Q387">IF($P387="","",_xlfn._xlws.FILTER(LT_LST[Lot],(LT_LST[Client Id.]=$C387)*(LT_LST[Strategy]=$D387)*(LT_LST[DTE/WTE]=$E387)*(LT_LST[Symbol]=$I387)))</f>
        <v/>
      </c>
    </row>
    <row r="388" spans="3:17" x14ac:dyDescent="0.25">
      <c r="C388" t="str">
        <f t="shared" ref="C388:C438" si="6">IF(D388="","",$A$1)</f>
        <v/>
      </c>
      <c r="E388" s="4"/>
      <c r="F388" s="4"/>
      <c r="G388" s="4"/>
      <c r="H388" s="4"/>
      <c r="I388" s="4"/>
      <c r="J388" s="50"/>
      <c r="K388" s="67"/>
      <c r="L388" s="67"/>
      <c r="M388" s="4"/>
      <c r="N388" s="4"/>
      <c r="O388" s="4"/>
      <c r="P388" s="38"/>
      <c r="Q388" t="str" cm="1">
        <f t="array" ref="Q388">IF($P388="","",_xlfn._xlws.FILTER(LT_LST[Lot],(LT_LST[Client Id.]=$C388)*(LT_LST[Strategy]=$D388)*(LT_LST[DTE/WTE]=$E388)*(LT_LST[Symbol]=$I388)))</f>
        <v/>
      </c>
    </row>
    <row r="389" spans="3:17" x14ac:dyDescent="0.25">
      <c r="C389" t="str">
        <f t="shared" si="6"/>
        <v/>
      </c>
      <c r="E389" s="4"/>
      <c r="F389" s="4"/>
      <c r="G389" s="4"/>
      <c r="H389" s="4"/>
      <c r="I389" s="4"/>
      <c r="J389" s="50"/>
      <c r="K389" s="67"/>
      <c r="L389" s="67"/>
      <c r="M389" s="4"/>
      <c r="N389" s="4"/>
      <c r="O389" s="4"/>
      <c r="P389" s="38"/>
      <c r="Q389" t="str" cm="1">
        <f t="array" ref="Q389">IF($P389="","",_xlfn._xlws.FILTER(LT_LST[Lot],(LT_LST[Client Id.]=$C389)*(LT_LST[Strategy]=$D389)*(LT_LST[DTE/WTE]=$E389)*(LT_LST[Symbol]=$I389)))</f>
        <v/>
      </c>
    </row>
    <row r="390" spans="3:17" x14ac:dyDescent="0.25">
      <c r="C390" t="str">
        <f t="shared" si="6"/>
        <v/>
      </c>
      <c r="E390" s="4"/>
      <c r="F390" s="4"/>
      <c r="G390" s="4"/>
      <c r="H390" s="4"/>
      <c r="I390" s="4"/>
      <c r="J390" s="50"/>
      <c r="K390" s="67"/>
      <c r="L390" s="67"/>
      <c r="M390" s="4"/>
      <c r="N390" s="4"/>
      <c r="O390" s="4"/>
      <c r="P390" s="38"/>
      <c r="Q390" t="str" cm="1">
        <f t="array" ref="Q390">IF($P390="","",_xlfn._xlws.FILTER(LT_LST[Lot],(LT_LST[Client Id.]=$C390)*(LT_LST[Strategy]=$D390)*(LT_LST[DTE/WTE]=$E390)*(LT_LST[Symbol]=$I390)))</f>
        <v/>
      </c>
    </row>
    <row r="391" spans="3:17" x14ac:dyDescent="0.25">
      <c r="C391" t="str">
        <f t="shared" si="6"/>
        <v/>
      </c>
      <c r="E391" s="4"/>
      <c r="F391" s="4"/>
      <c r="G391" s="4"/>
      <c r="H391" s="4"/>
      <c r="I391" s="4"/>
      <c r="J391" s="50"/>
      <c r="K391" s="67"/>
      <c r="L391" s="67"/>
      <c r="M391" s="4"/>
      <c r="N391" s="4"/>
      <c r="O391" s="4"/>
      <c r="P391" s="38"/>
      <c r="Q391" t="str" cm="1">
        <f t="array" ref="Q391">IF($P391="","",_xlfn._xlws.FILTER(LT_LST[Lot],(LT_LST[Client Id.]=$C391)*(LT_LST[Strategy]=$D391)*(LT_LST[DTE/WTE]=$E391)*(LT_LST[Symbol]=$I391)))</f>
        <v/>
      </c>
    </row>
    <row r="392" spans="3:17" x14ac:dyDescent="0.25">
      <c r="C392" t="str">
        <f t="shared" si="6"/>
        <v/>
      </c>
      <c r="E392" s="4"/>
      <c r="F392" s="4"/>
      <c r="G392" s="4"/>
      <c r="H392" s="4"/>
      <c r="I392" s="4"/>
      <c r="J392" s="50"/>
      <c r="K392" s="67"/>
      <c r="L392" s="67"/>
      <c r="M392" s="4"/>
      <c r="N392" s="4"/>
      <c r="O392" s="4"/>
      <c r="P392" s="38"/>
      <c r="Q392" t="str" cm="1">
        <f t="array" ref="Q392">IF($P392="","",_xlfn._xlws.FILTER(LT_LST[Lot],(LT_LST[Client Id.]=$C392)*(LT_LST[Strategy]=$D392)*(LT_LST[DTE/WTE]=$E392)*(LT_LST[Symbol]=$I392)))</f>
        <v/>
      </c>
    </row>
    <row r="393" spans="3:17" x14ac:dyDescent="0.25">
      <c r="C393" t="str">
        <f t="shared" si="6"/>
        <v/>
      </c>
      <c r="E393" s="4"/>
      <c r="F393" s="4"/>
      <c r="G393" s="4"/>
      <c r="H393" s="4"/>
      <c r="I393" s="4"/>
      <c r="J393" s="50"/>
      <c r="K393" s="67"/>
      <c r="L393" s="67"/>
      <c r="M393" s="4"/>
      <c r="N393" s="4"/>
      <c r="O393" s="4"/>
      <c r="P393" s="38"/>
      <c r="Q393" t="str" cm="1">
        <f t="array" ref="Q393">IF($P393="","",_xlfn._xlws.FILTER(LT_LST[Lot],(LT_LST[Client Id.]=$C393)*(LT_LST[Strategy]=$D393)*(LT_LST[DTE/WTE]=$E393)*(LT_LST[Symbol]=$I393)))</f>
        <v/>
      </c>
    </row>
    <row r="394" spans="3:17" x14ac:dyDescent="0.25">
      <c r="C394" t="str">
        <f t="shared" si="6"/>
        <v/>
      </c>
      <c r="E394" s="4"/>
      <c r="F394" s="4"/>
      <c r="G394" s="4"/>
      <c r="H394" s="4"/>
      <c r="I394" s="4"/>
      <c r="J394" s="50"/>
      <c r="K394" s="67"/>
      <c r="L394" s="67"/>
      <c r="M394" s="4"/>
      <c r="N394" s="4"/>
      <c r="O394" s="4"/>
      <c r="P394" s="38"/>
      <c r="Q394" t="str" cm="1">
        <f t="array" ref="Q394">IF($P394="","",_xlfn._xlws.FILTER(LT_LST[Lot],(LT_LST[Client Id.]=$C394)*(LT_LST[Strategy]=$D394)*(LT_LST[DTE/WTE]=$E394)*(LT_LST[Symbol]=$I394)))</f>
        <v/>
      </c>
    </row>
    <row r="395" spans="3:17" x14ac:dyDescent="0.25">
      <c r="C395" t="str">
        <f t="shared" si="6"/>
        <v/>
      </c>
      <c r="E395" s="4"/>
      <c r="F395" s="4"/>
      <c r="G395" s="4"/>
      <c r="H395" s="4"/>
      <c r="I395" s="4"/>
      <c r="J395" s="50"/>
      <c r="K395" s="67"/>
      <c r="L395" s="67"/>
      <c r="M395" s="4"/>
      <c r="N395" s="4"/>
      <c r="O395" s="4"/>
      <c r="P395" s="38"/>
      <c r="Q395" t="str" cm="1">
        <f t="array" ref="Q395">IF($P395="","",_xlfn._xlws.FILTER(LT_LST[Lot],(LT_LST[Client Id.]=$C395)*(LT_LST[Strategy]=$D395)*(LT_LST[DTE/WTE]=$E395)*(LT_LST[Symbol]=$I395)))</f>
        <v/>
      </c>
    </row>
    <row r="396" spans="3:17" x14ac:dyDescent="0.25">
      <c r="C396" t="str">
        <f t="shared" si="6"/>
        <v/>
      </c>
      <c r="E396" s="4"/>
      <c r="F396" s="4"/>
      <c r="G396" s="4"/>
      <c r="H396" s="4"/>
      <c r="I396" s="4"/>
      <c r="J396" s="50"/>
      <c r="K396" s="67"/>
      <c r="L396" s="67"/>
      <c r="M396" s="4"/>
      <c r="N396" s="4"/>
      <c r="O396" s="4"/>
      <c r="P396" s="38"/>
      <c r="Q396" t="str" cm="1">
        <f t="array" ref="Q396">IF($P396="","",_xlfn._xlws.FILTER(LT_LST[Lot],(LT_LST[Client Id.]=$C396)*(LT_LST[Strategy]=$D396)*(LT_LST[DTE/WTE]=$E396)*(LT_LST[Symbol]=$I396)))</f>
        <v/>
      </c>
    </row>
    <row r="397" spans="3:17" x14ac:dyDescent="0.25">
      <c r="C397" t="str">
        <f t="shared" si="6"/>
        <v/>
      </c>
      <c r="E397" s="4"/>
      <c r="F397" s="4"/>
      <c r="G397" s="4"/>
      <c r="H397" s="4"/>
      <c r="I397" s="4"/>
      <c r="J397" s="50"/>
      <c r="K397" s="67"/>
      <c r="L397" s="67"/>
      <c r="M397" s="4"/>
      <c r="N397" s="4"/>
      <c r="O397" s="4"/>
      <c r="P397" s="38"/>
      <c r="Q397" t="str" cm="1">
        <f t="array" ref="Q397">IF($P397="","",_xlfn._xlws.FILTER(LT_LST[Lot],(LT_LST[Client Id.]=$C397)*(LT_LST[Strategy]=$D397)*(LT_LST[DTE/WTE]=$E397)*(LT_LST[Symbol]=$I397)))</f>
        <v/>
      </c>
    </row>
    <row r="398" spans="3:17" x14ac:dyDescent="0.25">
      <c r="C398" t="str">
        <f t="shared" si="6"/>
        <v/>
      </c>
      <c r="E398" s="4"/>
      <c r="F398" s="4"/>
      <c r="G398" s="4"/>
      <c r="H398" s="4"/>
      <c r="I398" s="4"/>
      <c r="J398" s="50"/>
      <c r="K398" s="67"/>
      <c r="L398" s="67"/>
      <c r="M398" s="4"/>
      <c r="N398" s="4"/>
      <c r="O398" s="4"/>
      <c r="P398" s="38"/>
      <c r="Q398" t="str" cm="1">
        <f t="array" ref="Q398">IF($P398="","",_xlfn._xlws.FILTER(LT_LST[Lot],(LT_LST[Client Id.]=$C398)*(LT_LST[Strategy]=$D398)*(LT_LST[DTE/WTE]=$E398)*(LT_LST[Symbol]=$I398)))</f>
        <v/>
      </c>
    </row>
    <row r="399" spans="3:17" x14ac:dyDescent="0.25">
      <c r="C399" t="str">
        <f t="shared" si="6"/>
        <v/>
      </c>
      <c r="E399" s="4"/>
      <c r="F399" s="4"/>
      <c r="G399" s="4"/>
      <c r="H399" s="4"/>
      <c r="I399" s="4"/>
      <c r="J399" s="50"/>
      <c r="K399" s="67"/>
      <c r="L399" s="67"/>
      <c r="M399" s="4"/>
      <c r="N399" s="4"/>
      <c r="O399" s="4"/>
      <c r="P399" s="38"/>
      <c r="Q399" t="str" cm="1">
        <f t="array" ref="Q399">IF($P399="","",_xlfn._xlws.FILTER(LT_LST[Lot],(LT_LST[Client Id.]=$C399)*(LT_LST[Strategy]=$D399)*(LT_LST[DTE/WTE]=$E399)*(LT_LST[Symbol]=$I399)))</f>
        <v/>
      </c>
    </row>
    <row r="400" spans="3:17" x14ac:dyDescent="0.25">
      <c r="C400" t="str">
        <f t="shared" si="6"/>
        <v/>
      </c>
      <c r="E400" s="4"/>
      <c r="F400" s="4"/>
      <c r="G400" s="4"/>
      <c r="H400" s="4"/>
      <c r="I400" s="4"/>
      <c r="J400" s="50"/>
      <c r="K400" s="67"/>
      <c r="L400" s="67"/>
      <c r="M400" s="4"/>
      <c r="N400" s="4"/>
      <c r="O400" s="4"/>
      <c r="P400" s="38"/>
      <c r="Q400" t="str" cm="1">
        <f t="array" ref="Q400">IF($P400="","",_xlfn._xlws.FILTER(LT_LST[Lot],(LT_LST[Client Id.]=$C400)*(LT_LST[Strategy]=$D400)*(LT_LST[DTE/WTE]=$E400)*(LT_LST[Symbol]=$I400)))</f>
        <v/>
      </c>
    </row>
    <row r="401" spans="3:17" x14ac:dyDescent="0.25">
      <c r="C401" t="str">
        <f t="shared" si="6"/>
        <v/>
      </c>
      <c r="E401" s="4"/>
      <c r="F401" s="4"/>
      <c r="G401" s="4"/>
      <c r="H401" s="4"/>
      <c r="I401" s="4"/>
      <c r="J401" s="50"/>
      <c r="K401" s="67"/>
      <c r="L401" s="67"/>
      <c r="M401" s="4"/>
      <c r="N401" s="4"/>
      <c r="O401" s="4"/>
      <c r="P401" s="38"/>
      <c r="Q401" t="str" cm="1">
        <f t="array" ref="Q401">IF($P401="","",_xlfn._xlws.FILTER(LT_LST[Lot],(LT_LST[Client Id.]=$C401)*(LT_LST[Strategy]=$D401)*(LT_LST[DTE/WTE]=$E401)*(LT_LST[Symbol]=$I401)))</f>
        <v/>
      </c>
    </row>
    <row r="402" spans="3:17" x14ac:dyDescent="0.25">
      <c r="C402" t="str">
        <f t="shared" si="6"/>
        <v/>
      </c>
      <c r="E402" s="4"/>
      <c r="F402" s="4"/>
      <c r="G402" s="4"/>
      <c r="H402" s="4"/>
      <c r="I402" s="4"/>
      <c r="J402" s="50"/>
      <c r="K402" s="67"/>
      <c r="L402" s="67"/>
      <c r="M402" s="4"/>
      <c r="N402" s="4"/>
      <c r="O402" s="4"/>
      <c r="P402" s="38"/>
      <c r="Q402" t="str" cm="1">
        <f t="array" ref="Q402">IF($P402="","",_xlfn._xlws.FILTER(LT_LST[Lot],(LT_LST[Client Id.]=$C402)*(LT_LST[Strategy]=$D402)*(LT_LST[DTE/WTE]=$E402)*(LT_LST[Symbol]=$I402)))</f>
        <v/>
      </c>
    </row>
    <row r="403" spans="3:17" x14ac:dyDescent="0.25">
      <c r="C403" t="str">
        <f t="shared" si="6"/>
        <v/>
      </c>
      <c r="E403" s="4"/>
      <c r="F403" s="4"/>
      <c r="G403" s="4"/>
      <c r="H403" s="4"/>
      <c r="I403" s="4"/>
      <c r="J403" s="50"/>
      <c r="K403" s="67"/>
      <c r="L403" s="67"/>
      <c r="M403" s="4"/>
      <c r="N403" s="4"/>
      <c r="O403" s="4"/>
      <c r="P403" s="38"/>
      <c r="Q403" t="str" cm="1">
        <f t="array" ref="Q403">IF($P403="","",_xlfn._xlws.FILTER(LT_LST[Lot],(LT_LST[Client Id.]=$C403)*(LT_LST[Strategy]=$D403)*(LT_LST[DTE/WTE]=$E403)*(LT_LST[Symbol]=$I403)))</f>
        <v/>
      </c>
    </row>
    <row r="404" spans="3:17" x14ac:dyDescent="0.25">
      <c r="C404" t="str">
        <f t="shared" si="6"/>
        <v/>
      </c>
      <c r="E404" s="4"/>
      <c r="F404" s="4"/>
      <c r="G404" s="4"/>
      <c r="H404" s="4"/>
      <c r="I404" s="4"/>
      <c r="J404" s="50"/>
      <c r="K404" s="67"/>
      <c r="L404" s="67"/>
      <c r="M404" s="4"/>
      <c r="N404" s="4"/>
      <c r="O404" s="4"/>
      <c r="P404" s="38"/>
      <c r="Q404" t="str" cm="1">
        <f t="array" ref="Q404">IF($P404="","",_xlfn._xlws.FILTER(LT_LST[Lot],(LT_LST[Client Id.]=$C404)*(LT_LST[Strategy]=$D404)*(LT_LST[DTE/WTE]=$E404)*(LT_LST[Symbol]=$I404)))</f>
        <v/>
      </c>
    </row>
    <row r="405" spans="3:17" x14ac:dyDescent="0.25">
      <c r="C405" t="str">
        <f t="shared" si="6"/>
        <v/>
      </c>
      <c r="E405" s="4"/>
      <c r="F405" s="4"/>
      <c r="G405" s="4"/>
      <c r="H405" s="4"/>
      <c r="I405" s="4"/>
      <c r="J405" s="50"/>
      <c r="K405" s="67"/>
      <c r="L405" s="67"/>
      <c r="M405" s="4"/>
      <c r="N405" s="4"/>
      <c r="O405" s="4"/>
      <c r="P405" s="38"/>
      <c r="Q405" t="str" cm="1">
        <f t="array" ref="Q405">IF($P405="","",_xlfn._xlws.FILTER(LT_LST[Lot],(LT_LST[Client Id.]=$C405)*(LT_LST[Strategy]=$D405)*(LT_LST[DTE/WTE]=$E405)*(LT_LST[Symbol]=$I405)))</f>
        <v/>
      </c>
    </row>
    <row r="406" spans="3:17" x14ac:dyDescent="0.25">
      <c r="C406" t="str">
        <f t="shared" si="6"/>
        <v/>
      </c>
      <c r="E406" s="4"/>
      <c r="F406" s="4"/>
      <c r="G406" s="4"/>
      <c r="H406" s="4"/>
      <c r="I406" s="4"/>
      <c r="J406" s="50"/>
      <c r="K406" s="67"/>
      <c r="L406" s="67"/>
      <c r="M406" s="4"/>
      <c r="N406" s="4"/>
      <c r="O406" s="4"/>
      <c r="P406" s="38"/>
      <c r="Q406" t="str" cm="1">
        <f t="array" ref="Q406">IF($P406="","",_xlfn._xlws.FILTER(LT_LST[Lot],(LT_LST[Client Id.]=$C406)*(LT_LST[Strategy]=$D406)*(LT_LST[DTE/WTE]=$E406)*(LT_LST[Symbol]=$I406)))</f>
        <v/>
      </c>
    </row>
    <row r="407" spans="3:17" x14ac:dyDescent="0.25">
      <c r="C407" t="str">
        <f t="shared" si="6"/>
        <v/>
      </c>
      <c r="E407" s="4"/>
      <c r="F407" s="4"/>
      <c r="G407" s="4"/>
      <c r="H407" s="4"/>
      <c r="I407" s="4"/>
      <c r="J407" s="50"/>
      <c r="K407" s="67"/>
      <c r="L407" s="67"/>
      <c r="M407" s="4"/>
      <c r="N407" s="4"/>
      <c r="O407" s="4"/>
      <c r="P407" s="38"/>
      <c r="Q407" t="str" cm="1">
        <f t="array" ref="Q407">IF($P407="","",_xlfn._xlws.FILTER(LT_LST[Lot],(LT_LST[Client Id.]=$C407)*(LT_LST[Strategy]=$D407)*(LT_LST[DTE/WTE]=$E407)*(LT_LST[Symbol]=$I407)))</f>
        <v/>
      </c>
    </row>
    <row r="408" spans="3:17" x14ac:dyDescent="0.25">
      <c r="C408" t="str">
        <f t="shared" si="6"/>
        <v/>
      </c>
      <c r="E408" s="4"/>
      <c r="F408" s="4"/>
      <c r="G408" s="4"/>
      <c r="H408" s="4"/>
      <c r="I408" s="4"/>
      <c r="J408" s="50"/>
      <c r="K408" s="67"/>
      <c r="L408" s="67"/>
      <c r="M408" s="4"/>
      <c r="N408" s="4"/>
      <c r="O408" s="4"/>
      <c r="P408" s="38"/>
      <c r="Q408" t="str" cm="1">
        <f t="array" ref="Q408">IF($P408="","",_xlfn._xlws.FILTER(LT_LST[Lot],(LT_LST[Client Id.]=$C408)*(LT_LST[Strategy]=$D408)*(LT_LST[DTE/WTE]=$E408)*(LT_LST[Symbol]=$I408)))</f>
        <v/>
      </c>
    </row>
    <row r="409" spans="3:17" x14ac:dyDescent="0.25">
      <c r="C409" t="str">
        <f t="shared" si="6"/>
        <v/>
      </c>
      <c r="E409" s="4"/>
      <c r="F409" s="4"/>
      <c r="G409" s="4"/>
      <c r="H409" s="4"/>
      <c r="I409" s="4"/>
      <c r="J409" s="50"/>
      <c r="K409" s="67"/>
      <c r="L409" s="67"/>
      <c r="M409" s="4"/>
      <c r="N409" s="4"/>
      <c r="O409" s="4"/>
      <c r="P409" s="38"/>
      <c r="Q409" t="str" cm="1">
        <f t="array" ref="Q409">IF($P409="","",_xlfn._xlws.FILTER(LT_LST[Lot],(LT_LST[Client Id.]=$C409)*(LT_LST[Strategy]=$D409)*(LT_LST[DTE/WTE]=$E409)*(LT_LST[Symbol]=$I409)))</f>
        <v/>
      </c>
    </row>
    <row r="410" spans="3:17" x14ac:dyDescent="0.25">
      <c r="C410" t="str">
        <f t="shared" si="6"/>
        <v/>
      </c>
      <c r="E410" s="4"/>
      <c r="F410" s="4"/>
      <c r="G410" s="4"/>
      <c r="H410" s="4"/>
      <c r="I410" s="4"/>
      <c r="J410" s="50"/>
      <c r="K410" s="67"/>
      <c r="L410" s="67"/>
      <c r="M410" s="4"/>
      <c r="N410" s="4"/>
      <c r="O410" s="4"/>
      <c r="P410" s="38"/>
      <c r="Q410" t="str" cm="1">
        <f t="array" ref="Q410">IF($P410="","",_xlfn._xlws.FILTER(LT_LST[Lot],(LT_LST[Client Id.]=$C410)*(LT_LST[Strategy]=$D410)*(LT_LST[DTE/WTE]=$E410)*(LT_LST[Symbol]=$I410)))</f>
        <v/>
      </c>
    </row>
    <row r="411" spans="3:17" x14ac:dyDescent="0.25">
      <c r="C411" t="str">
        <f t="shared" si="6"/>
        <v/>
      </c>
      <c r="E411" s="4"/>
      <c r="F411" s="4"/>
      <c r="G411" s="4"/>
      <c r="H411" s="4"/>
      <c r="I411" s="4"/>
      <c r="J411" s="50"/>
      <c r="K411" s="67"/>
      <c r="L411" s="67"/>
      <c r="M411" s="4"/>
      <c r="N411" s="4"/>
      <c r="O411" s="4"/>
      <c r="P411" s="38"/>
      <c r="Q411" t="str" cm="1">
        <f t="array" ref="Q411">IF($P411="","",_xlfn._xlws.FILTER(LT_LST[Lot],(LT_LST[Client Id.]=$C411)*(LT_LST[Strategy]=$D411)*(LT_LST[DTE/WTE]=$E411)*(LT_LST[Symbol]=$I411)))</f>
        <v/>
      </c>
    </row>
    <row r="412" spans="3:17" x14ac:dyDescent="0.25">
      <c r="C412" t="str">
        <f t="shared" si="6"/>
        <v/>
      </c>
      <c r="E412" s="4"/>
      <c r="F412" s="4"/>
      <c r="G412" s="4"/>
      <c r="H412" s="4"/>
      <c r="I412" s="4"/>
      <c r="J412" s="50"/>
      <c r="K412" s="67"/>
      <c r="L412" s="67"/>
      <c r="M412" s="4"/>
      <c r="N412" s="4"/>
      <c r="O412" s="4"/>
      <c r="P412" s="38"/>
      <c r="Q412" t="str" cm="1">
        <f t="array" ref="Q412">IF($P412="","",_xlfn._xlws.FILTER(LT_LST[Lot],(LT_LST[Client Id.]=$C412)*(LT_LST[Strategy]=$D412)*(LT_LST[DTE/WTE]=$E412)*(LT_LST[Symbol]=$I412)))</f>
        <v/>
      </c>
    </row>
    <row r="413" spans="3:17" x14ac:dyDescent="0.25">
      <c r="C413" t="str">
        <f t="shared" si="6"/>
        <v/>
      </c>
      <c r="E413" s="4"/>
      <c r="F413" s="4"/>
      <c r="G413" s="4"/>
      <c r="H413" s="4"/>
      <c r="I413" s="4"/>
      <c r="J413" s="50"/>
      <c r="K413" s="67"/>
      <c r="L413" s="67"/>
      <c r="M413" s="4"/>
      <c r="N413" s="4"/>
      <c r="O413" s="4"/>
      <c r="P413" s="38"/>
      <c r="Q413" t="str" cm="1">
        <f t="array" ref="Q413">IF($P413="","",_xlfn._xlws.FILTER(LT_LST[Lot],(LT_LST[Client Id.]=$C413)*(LT_LST[Strategy]=$D413)*(LT_LST[DTE/WTE]=$E413)*(LT_LST[Symbol]=$I413)))</f>
        <v/>
      </c>
    </row>
    <row r="414" spans="3:17" x14ac:dyDescent="0.25">
      <c r="C414" t="str">
        <f t="shared" si="6"/>
        <v/>
      </c>
      <c r="E414" s="4"/>
      <c r="F414" s="4"/>
      <c r="G414" s="4"/>
      <c r="H414" s="4"/>
      <c r="I414" s="4"/>
      <c r="J414" s="50"/>
      <c r="K414" s="67"/>
      <c r="L414" s="67"/>
      <c r="M414" s="4"/>
      <c r="N414" s="4"/>
      <c r="O414" s="4"/>
      <c r="P414" s="38"/>
      <c r="Q414" t="str" cm="1">
        <f t="array" ref="Q414">IF($P414="","",_xlfn._xlws.FILTER(LT_LST[Lot],(LT_LST[Client Id.]=$C414)*(LT_LST[Strategy]=$D414)*(LT_LST[DTE/WTE]=$E414)*(LT_LST[Symbol]=$I414)))</f>
        <v/>
      </c>
    </row>
    <row r="415" spans="3:17" x14ac:dyDescent="0.25">
      <c r="C415" t="str">
        <f t="shared" si="6"/>
        <v/>
      </c>
      <c r="E415" s="4"/>
      <c r="F415" s="4"/>
      <c r="G415" s="4"/>
      <c r="H415" s="4"/>
      <c r="I415" s="4"/>
      <c r="J415" s="50"/>
      <c r="K415" s="67"/>
      <c r="L415" s="67"/>
      <c r="M415" s="4"/>
      <c r="N415" s="4"/>
      <c r="O415" s="4"/>
      <c r="P415" s="38"/>
      <c r="Q415" t="str" cm="1">
        <f t="array" ref="Q415">IF($P415="","",_xlfn._xlws.FILTER(LT_LST[Lot],(LT_LST[Client Id.]=$C415)*(LT_LST[Strategy]=$D415)*(LT_LST[DTE/WTE]=$E415)*(LT_LST[Symbol]=$I415)))</f>
        <v/>
      </c>
    </row>
    <row r="416" spans="3:17" x14ac:dyDescent="0.25">
      <c r="C416" t="str">
        <f t="shared" si="6"/>
        <v/>
      </c>
      <c r="E416" s="4"/>
      <c r="F416" s="4"/>
      <c r="G416" s="4"/>
      <c r="H416" s="4"/>
      <c r="I416" s="4"/>
      <c r="J416" s="50"/>
      <c r="K416" s="67"/>
      <c r="L416" s="67"/>
      <c r="M416" s="4"/>
      <c r="N416" s="4"/>
      <c r="O416" s="4"/>
      <c r="P416" s="38"/>
      <c r="Q416" t="str" cm="1">
        <f t="array" ref="Q416">IF($P416="","",_xlfn._xlws.FILTER(LT_LST[Lot],(LT_LST[Client Id.]=$C416)*(LT_LST[Strategy]=$D416)*(LT_LST[DTE/WTE]=$E416)*(LT_LST[Symbol]=$I416)))</f>
        <v/>
      </c>
    </row>
    <row r="417" spans="3:17" x14ac:dyDescent="0.25">
      <c r="C417" t="str">
        <f t="shared" si="6"/>
        <v/>
      </c>
      <c r="E417" s="4"/>
      <c r="F417" s="4"/>
      <c r="G417" s="4"/>
      <c r="H417" s="4"/>
      <c r="I417" s="4"/>
      <c r="J417" s="50"/>
      <c r="K417" s="67"/>
      <c r="L417" s="67"/>
      <c r="M417" s="4"/>
      <c r="N417" s="4"/>
      <c r="O417" s="4"/>
      <c r="P417" s="38"/>
      <c r="Q417" t="str" cm="1">
        <f t="array" ref="Q417">IF($P417="","",_xlfn._xlws.FILTER(LT_LST[Lot],(LT_LST[Client Id.]=$C417)*(LT_LST[Strategy]=$D417)*(LT_LST[DTE/WTE]=$E417)*(LT_LST[Symbol]=$I417)))</f>
        <v/>
      </c>
    </row>
    <row r="418" spans="3:17" x14ac:dyDescent="0.25">
      <c r="C418" t="str">
        <f t="shared" si="6"/>
        <v/>
      </c>
      <c r="E418" s="4"/>
      <c r="F418" s="4"/>
      <c r="G418" s="4"/>
      <c r="H418" s="4"/>
      <c r="I418" s="4"/>
      <c r="J418" s="50"/>
      <c r="K418" s="67"/>
      <c r="L418" s="67"/>
      <c r="M418" s="4"/>
      <c r="N418" s="4"/>
      <c r="O418" s="4"/>
      <c r="P418" s="38"/>
      <c r="Q418" t="str" cm="1">
        <f t="array" ref="Q418">IF($P418="","",_xlfn._xlws.FILTER(LT_LST[Lot],(LT_LST[Client Id.]=$C418)*(LT_LST[Strategy]=$D418)*(LT_LST[DTE/WTE]=$E418)*(LT_LST[Symbol]=$I418)))</f>
        <v/>
      </c>
    </row>
    <row r="419" spans="3:17" x14ac:dyDescent="0.25">
      <c r="C419" t="str">
        <f t="shared" si="6"/>
        <v/>
      </c>
      <c r="E419" s="4"/>
      <c r="F419" s="4"/>
      <c r="G419" s="4"/>
      <c r="H419" s="4"/>
      <c r="I419" s="4"/>
      <c r="J419" s="50"/>
      <c r="K419" s="67"/>
      <c r="L419" s="67"/>
      <c r="M419" s="4"/>
      <c r="N419" s="4"/>
      <c r="O419" s="4"/>
      <c r="P419" s="38"/>
      <c r="Q419" t="str" cm="1">
        <f t="array" ref="Q419">IF($P419="","",_xlfn._xlws.FILTER(LT_LST[Lot],(LT_LST[Client Id.]=$C419)*(LT_LST[Strategy]=$D419)*(LT_LST[DTE/WTE]=$E419)*(LT_LST[Symbol]=$I419)))</f>
        <v/>
      </c>
    </row>
    <row r="420" spans="3:17" x14ac:dyDescent="0.25">
      <c r="C420" t="str">
        <f t="shared" si="6"/>
        <v/>
      </c>
      <c r="E420" s="4"/>
      <c r="F420" s="4"/>
      <c r="G420" s="4"/>
      <c r="H420" s="4"/>
      <c r="I420" s="4"/>
      <c r="J420" s="50"/>
      <c r="K420" s="67"/>
      <c r="L420" s="67"/>
      <c r="M420" s="4"/>
      <c r="N420" s="4"/>
      <c r="O420" s="4"/>
      <c r="P420" s="38"/>
      <c r="Q420" t="str" cm="1">
        <f t="array" ref="Q420">IF($P420="","",_xlfn._xlws.FILTER(LT_LST[Lot],(LT_LST[Client Id.]=$C420)*(LT_LST[Strategy]=$D420)*(LT_LST[DTE/WTE]=$E420)*(LT_LST[Symbol]=$I420)))</f>
        <v/>
      </c>
    </row>
    <row r="421" spans="3:17" x14ac:dyDescent="0.25">
      <c r="C421" t="str">
        <f t="shared" si="6"/>
        <v/>
      </c>
      <c r="E421" s="4"/>
      <c r="F421" s="4"/>
      <c r="G421" s="4"/>
      <c r="H421" s="4"/>
      <c r="I421" s="4"/>
      <c r="J421" s="50"/>
      <c r="K421" s="67"/>
      <c r="L421" s="67"/>
      <c r="M421" s="4"/>
      <c r="N421" s="4"/>
      <c r="O421" s="4"/>
      <c r="P421" s="38"/>
      <c r="Q421" t="str" cm="1">
        <f t="array" ref="Q421">IF($P421="","",_xlfn._xlws.FILTER(LT_LST[Lot],(LT_LST[Client Id.]=$C421)*(LT_LST[Strategy]=$D421)*(LT_LST[DTE/WTE]=$E421)*(LT_LST[Symbol]=$I421)))</f>
        <v/>
      </c>
    </row>
    <row r="422" spans="3:17" x14ac:dyDescent="0.25">
      <c r="C422" t="str">
        <f t="shared" si="6"/>
        <v/>
      </c>
      <c r="E422" s="4"/>
      <c r="F422" s="4"/>
      <c r="G422" s="4"/>
      <c r="H422" s="4"/>
      <c r="I422" s="4"/>
      <c r="J422" s="50"/>
      <c r="K422" s="67"/>
      <c r="L422" s="67"/>
      <c r="M422" s="4"/>
      <c r="N422" s="4"/>
      <c r="O422" s="4"/>
      <c r="P422" s="38"/>
      <c r="Q422" t="str" cm="1">
        <f t="array" ref="Q422">IF($P422="","",_xlfn._xlws.FILTER(LT_LST[Lot],(LT_LST[Client Id.]=$C422)*(LT_LST[Strategy]=$D422)*(LT_LST[DTE/WTE]=$E422)*(LT_LST[Symbol]=$I422)))</f>
        <v/>
      </c>
    </row>
    <row r="423" spans="3:17" x14ac:dyDescent="0.25">
      <c r="C423" t="str">
        <f t="shared" si="6"/>
        <v/>
      </c>
      <c r="E423" s="4"/>
      <c r="F423" s="4"/>
      <c r="G423" s="4"/>
      <c r="H423" s="4"/>
      <c r="I423" s="4"/>
      <c r="J423" s="50"/>
      <c r="K423" s="67"/>
      <c r="L423" s="67"/>
      <c r="M423" s="4"/>
      <c r="N423" s="4"/>
      <c r="O423" s="4"/>
      <c r="P423" s="38"/>
      <c r="Q423" t="str" cm="1">
        <f t="array" ref="Q423">IF($P423="","",_xlfn._xlws.FILTER(LT_LST[Lot],(LT_LST[Client Id.]=$C423)*(LT_LST[Strategy]=$D423)*(LT_LST[DTE/WTE]=$E423)*(LT_LST[Symbol]=$I423)))</f>
        <v/>
      </c>
    </row>
    <row r="424" spans="3:17" x14ac:dyDescent="0.25">
      <c r="C424" t="str">
        <f t="shared" si="6"/>
        <v/>
      </c>
      <c r="E424" s="4"/>
      <c r="F424" s="4"/>
      <c r="G424" s="4"/>
      <c r="H424" s="4"/>
      <c r="I424" s="4"/>
      <c r="J424" s="50"/>
      <c r="K424" s="67"/>
      <c r="L424" s="67"/>
      <c r="M424" s="4"/>
      <c r="N424" s="4"/>
      <c r="O424" s="4"/>
      <c r="P424" s="38"/>
      <c r="Q424" t="str" cm="1">
        <f t="array" ref="Q424">IF($P424="","",_xlfn._xlws.FILTER(LT_LST[Lot],(LT_LST[Client Id.]=$C424)*(LT_LST[Strategy]=$D424)*(LT_LST[DTE/WTE]=$E424)*(LT_LST[Symbol]=$I424)))</f>
        <v/>
      </c>
    </row>
    <row r="425" spans="3:17" x14ac:dyDescent="0.25">
      <c r="C425" t="str">
        <f t="shared" si="6"/>
        <v/>
      </c>
      <c r="E425" s="4"/>
      <c r="F425" s="4"/>
      <c r="G425" s="4"/>
      <c r="H425" s="4"/>
      <c r="I425" s="4"/>
      <c r="J425" s="50"/>
      <c r="K425" s="67"/>
      <c r="L425" s="67"/>
      <c r="M425" s="4"/>
      <c r="N425" s="4"/>
      <c r="O425" s="4"/>
      <c r="P425" s="38"/>
      <c r="Q425" t="str" cm="1">
        <f t="array" ref="Q425">IF($P425="","",_xlfn._xlws.FILTER(LT_LST[Lot],(LT_LST[Client Id.]=$C425)*(LT_LST[Strategy]=$D425)*(LT_LST[DTE/WTE]=$E425)*(LT_LST[Symbol]=$I425)))</f>
        <v/>
      </c>
    </row>
    <row r="426" spans="3:17" x14ac:dyDescent="0.25">
      <c r="C426" t="str">
        <f t="shared" si="6"/>
        <v/>
      </c>
      <c r="E426" s="4"/>
      <c r="F426" s="4"/>
      <c r="G426" s="4"/>
      <c r="H426" s="4"/>
      <c r="I426" s="4"/>
      <c r="J426" s="50"/>
      <c r="K426" s="67"/>
      <c r="L426" s="67"/>
      <c r="M426" s="4"/>
      <c r="N426" s="4"/>
      <c r="O426" s="4"/>
      <c r="P426" s="38"/>
      <c r="Q426" t="str" cm="1">
        <f t="array" ref="Q426">IF($P426="","",_xlfn._xlws.FILTER(LT_LST[Lot],(LT_LST[Client Id.]=$C426)*(LT_LST[Strategy]=$D426)*(LT_LST[DTE/WTE]=$E426)*(LT_LST[Symbol]=$I426)))</f>
        <v/>
      </c>
    </row>
    <row r="427" spans="3:17" x14ac:dyDescent="0.25">
      <c r="C427" t="str">
        <f t="shared" si="6"/>
        <v/>
      </c>
      <c r="E427" s="4"/>
      <c r="F427" s="4"/>
      <c r="G427" s="4"/>
      <c r="H427" s="4"/>
      <c r="I427" s="4"/>
      <c r="J427" s="50"/>
      <c r="K427" s="67"/>
      <c r="L427" s="67"/>
      <c r="M427" s="4"/>
      <c r="N427" s="4"/>
      <c r="O427" s="4"/>
      <c r="P427" s="38"/>
      <c r="Q427" t="str" cm="1">
        <f t="array" ref="Q427">IF($P427="","",_xlfn._xlws.FILTER(LT_LST[Lot],(LT_LST[Client Id.]=$C427)*(LT_LST[Strategy]=$D427)*(LT_LST[DTE/WTE]=$E427)*(LT_LST[Symbol]=$I427)))</f>
        <v/>
      </c>
    </row>
    <row r="428" spans="3:17" x14ac:dyDescent="0.25">
      <c r="C428" t="str">
        <f t="shared" si="6"/>
        <v/>
      </c>
      <c r="E428" s="4"/>
      <c r="F428" s="4"/>
      <c r="G428" s="4"/>
      <c r="H428" s="4"/>
      <c r="I428" s="4"/>
      <c r="J428" s="50"/>
      <c r="K428" s="67"/>
      <c r="L428" s="67"/>
      <c r="M428" s="4"/>
      <c r="N428" s="4"/>
      <c r="O428" s="4"/>
      <c r="P428" s="38"/>
      <c r="Q428" t="str" cm="1">
        <f t="array" ref="Q428">IF($P428="","",_xlfn._xlws.FILTER(LT_LST[Lot],(LT_LST[Client Id.]=$C428)*(LT_LST[Strategy]=$D428)*(LT_LST[DTE/WTE]=$E428)*(LT_LST[Symbol]=$I428)))</f>
        <v/>
      </c>
    </row>
    <row r="429" spans="3:17" x14ac:dyDescent="0.25">
      <c r="C429" t="str">
        <f t="shared" si="6"/>
        <v/>
      </c>
      <c r="E429" s="4"/>
      <c r="F429" s="4"/>
      <c r="G429" s="4"/>
      <c r="H429" s="4"/>
      <c r="I429" s="4"/>
      <c r="J429" s="50"/>
      <c r="K429" s="67"/>
      <c r="L429" s="67"/>
      <c r="M429" s="4"/>
      <c r="N429" s="4"/>
      <c r="O429" s="4"/>
      <c r="P429" s="38"/>
      <c r="Q429" t="str" cm="1">
        <f t="array" ref="Q429">IF($P429="","",_xlfn._xlws.FILTER(LT_LST[Lot],(LT_LST[Client Id.]=$C429)*(LT_LST[Strategy]=$D429)*(LT_LST[DTE/WTE]=$E429)*(LT_LST[Symbol]=$I429)))</f>
        <v/>
      </c>
    </row>
    <row r="430" spans="3:17" x14ac:dyDescent="0.25">
      <c r="C430" t="str">
        <f t="shared" si="6"/>
        <v/>
      </c>
      <c r="E430" s="4"/>
      <c r="F430" s="4"/>
      <c r="G430" s="4"/>
      <c r="H430" s="4"/>
      <c r="I430" s="4"/>
      <c r="J430" s="50"/>
      <c r="K430" s="67"/>
      <c r="L430" s="67"/>
      <c r="M430" s="4"/>
      <c r="N430" s="4"/>
      <c r="O430" s="4"/>
      <c r="P430" s="38"/>
      <c r="Q430" t="str" cm="1">
        <f t="array" ref="Q430">IF($P430="","",_xlfn._xlws.FILTER(LT_LST[Lot],(LT_LST[Client Id.]=$C430)*(LT_LST[Strategy]=$D430)*(LT_LST[DTE/WTE]=$E430)*(LT_LST[Symbol]=$I430)))</f>
        <v/>
      </c>
    </row>
    <row r="431" spans="3:17" x14ac:dyDescent="0.25">
      <c r="C431" t="str">
        <f t="shared" si="6"/>
        <v/>
      </c>
      <c r="E431" s="4"/>
      <c r="F431" s="4"/>
      <c r="G431" s="4"/>
      <c r="H431" s="4"/>
      <c r="I431" s="4"/>
      <c r="J431" s="50"/>
      <c r="K431" s="67"/>
      <c r="L431" s="67"/>
      <c r="M431" s="4"/>
      <c r="N431" s="4"/>
      <c r="O431" s="4"/>
      <c r="P431" s="38"/>
      <c r="Q431" t="str" cm="1">
        <f t="array" ref="Q431">IF($P431="","",_xlfn._xlws.FILTER(LT_LST[Lot],(LT_LST[Client Id.]=$C431)*(LT_LST[Strategy]=$D431)*(LT_LST[DTE/WTE]=$E431)*(LT_LST[Symbol]=$I431)))</f>
        <v/>
      </c>
    </row>
    <row r="432" spans="3:17" x14ac:dyDescent="0.25">
      <c r="C432" t="str">
        <f t="shared" si="6"/>
        <v/>
      </c>
      <c r="E432" s="4"/>
      <c r="F432" s="4"/>
      <c r="G432" s="4"/>
      <c r="H432" s="4"/>
      <c r="I432" s="4"/>
      <c r="J432" s="50"/>
      <c r="K432" s="67"/>
      <c r="L432" s="67"/>
      <c r="M432" s="4"/>
      <c r="N432" s="4"/>
      <c r="O432" s="4"/>
      <c r="P432" s="38"/>
      <c r="Q432" t="str" cm="1">
        <f t="array" ref="Q432">IF($P432="","",_xlfn._xlws.FILTER(LT_LST[Lot],(LT_LST[Client Id.]=$C432)*(LT_LST[Strategy]=$D432)*(LT_LST[DTE/WTE]=$E432)*(LT_LST[Symbol]=$I432)))</f>
        <v/>
      </c>
    </row>
    <row r="433" spans="3:17" x14ac:dyDescent="0.25">
      <c r="C433" t="str">
        <f t="shared" si="6"/>
        <v/>
      </c>
      <c r="E433" s="4"/>
      <c r="F433" s="4"/>
      <c r="G433" s="4"/>
      <c r="H433" s="4"/>
      <c r="I433" s="4"/>
      <c r="J433" s="50"/>
      <c r="K433" s="67"/>
      <c r="L433" s="67"/>
      <c r="M433" s="4"/>
      <c r="N433" s="4"/>
      <c r="O433" s="4"/>
      <c r="P433" s="38"/>
      <c r="Q433" t="str" cm="1">
        <f t="array" ref="Q433">IF($P433="","",_xlfn._xlws.FILTER(LT_LST[Lot],(LT_LST[Client Id.]=$C433)*(LT_LST[Strategy]=$D433)*(LT_LST[DTE/WTE]=$E433)*(LT_LST[Symbol]=$I433)))</f>
        <v/>
      </c>
    </row>
    <row r="434" spans="3:17" x14ac:dyDescent="0.25">
      <c r="C434" t="str">
        <f t="shared" si="6"/>
        <v/>
      </c>
      <c r="E434" s="4"/>
      <c r="F434" s="4"/>
      <c r="G434" s="4"/>
      <c r="H434" s="4"/>
      <c r="I434" s="4"/>
      <c r="J434" s="50"/>
      <c r="K434" s="67"/>
      <c r="L434" s="67"/>
      <c r="M434" s="4"/>
      <c r="N434" s="4"/>
      <c r="O434" s="4"/>
      <c r="P434" s="38"/>
      <c r="Q434" t="str" cm="1">
        <f t="array" ref="Q434">IF($P434="","",_xlfn._xlws.FILTER(LT_LST[Lot],(LT_LST[Client Id.]=$C434)*(LT_LST[Strategy]=$D434)*(LT_LST[DTE/WTE]=$E434)*(LT_LST[Symbol]=$I434)))</f>
        <v/>
      </c>
    </row>
    <row r="435" spans="3:17" x14ac:dyDescent="0.25">
      <c r="C435" t="str">
        <f t="shared" si="6"/>
        <v/>
      </c>
      <c r="E435" s="4"/>
      <c r="F435" s="4"/>
      <c r="G435" s="4"/>
      <c r="H435" s="4"/>
      <c r="I435" s="4"/>
      <c r="J435" s="50"/>
      <c r="K435" s="67"/>
      <c r="L435" s="67"/>
      <c r="M435" s="4"/>
      <c r="N435" s="4"/>
      <c r="O435" s="4"/>
      <c r="P435" s="38"/>
      <c r="Q435" t="str" cm="1">
        <f t="array" ref="Q435">IF($P435="","",_xlfn._xlws.FILTER(LT_LST[Lot],(LT_LST[Client Id.]=$C435)*(LT_LST[Strategy]=$D435)*(LT_LST[DTE/WTE]=$E435)*(LT_LST[Symbol]=$I435)))</f>
        <v/>
      </c>
    </row>
    <row r="436" spans="3:17" x14ac:dyDescent="0.25">
      <c r="C436" t="str">
        <f t="shared" si="6"/>
        <v/>
      </c>
      <c r="E436" s="4"/>
      <c r="F436" s="4"/>
      <c r="G436" s="4"/>
      <c r="H436" s="4"/>
      <c r="I436" s="4"/>
      <c r="J436" s="50"/>
      <c r="K436" s="67"/>
      <c r="L436" s="67"/>
      <c r="M436" s="4"/>
      <c r="N436" s="4"/>
      <c r="O436" s="4"/>
      <c r="P436" s="38"/>
      <c r="Q436" t="str" cm="1">
        <f t="array" ref="Q436">IF($P436="","",_xlfn._xlws.FILTER(LT_LST[Lot],(LT_LST[Client Id.]=$C436)*(LT_LST[Strategy]=$D436)*(LT_LST[DTE/WTE]=$E436)*(LT_LST[Symbol]=$I436)))</f>
        <v/>
      </c>
    </row>
    <row r="437" spans="3:17" x14ac:dyDescent="0.25">
      <c r="C437" t="str">
        <f t="shared" si="6"/>
        <v/>
      </c>
      <c r="E437" s="4"/>
      <c r="F437" s="4"/>
      <c r="G437" s="4"/>
      <c r="H437" s="4"/>
      <c r="I437" s="4"/>
      <c r="J437" s="50"/>
      <c r="K437" s="67"/>
      <c r="L437" s="67"/>
      <c r="M437" s="4"/>
      <c r="N437" s="4"/>
      <c r="O437" s="4"/>
      <c r="P437" s="38"/>
      <c r="Q437" t="str" cm="1">
        <f t="array" ref="Q437">IF($P437="","",_xlfn._xlws.FILTER(LT_LST[Lot],(LT_LST[Client Id.]=$C437)*(LT_LST[Strategy]=$D437)*(LT_LST[DTE/WTE]=$E437)*(LT_LST[Symbol]=$I437)))</f>
        <v/>
      </c>
    </row>
    <row r="438" spans="3:17" x14ac:dyDescent="0.25">
      <c r="C438" t="str">
        <f t="shared" si="6"/>
        <v/>
      </c>
      <c r="E438" s="4"/>
      <c r="F438" s="4"/>
      <c r="G438" s="4"/>
      <c r="H438" s="4"/>
      <c r="I438" s="4"/>
      <c r="J438" s="50"/>
      <c r="K438" s="67"/>
      <c r="L438" s="67"/>
      <c r="M438" s="4"/>
      <c r="N438" s="4"/>
      <c r="O438" s="4"/>
      <c r="P438" s="38"/>
      <c r="Q438" t="str" cm="1">
        <f t="array" ref="Q438">IF($P438="","",_xlfn._xlws.FILTER(LT_LST[Lot],(LT_LST[Client Id.]=$C438)*(LT_LST[Strategy]=$D438)*(LT_LST[DTE/WTE]=$E438)*(LT_LST[Symbol]=$I438)))</f>
        <v/>
      </c>
    </row>
    <row r="439" spans="3:17" x14ac:dyDescent="0.25">
      <c r="E439" s="4"/>
      <c r="F439" s="4"/>
      <c r="G439" s="4"/>
      <c r="H439" s="4"/>
      <c r="I439" s="4"/>
      <c r="J439" s="50"/>
      <c r="K439" s="67"/>
      <c r="L439" s="67"/>
      <c r="M439" s="4"/>
      <c r="N439" s="4"/>
      <c r="O439" s="4"/>
      <c r="P439" s="38"/>
    </row>
    <row r="440" spans="3:17" x14ac:dyDescent="0.25">
      <c r="E440" s="4"/>
      <c r="F440" s="4"/>
      <c r="G440" s="4"/>
      <c r="H440" s="4"/>
      <c r="I440" s="4"/>
      <c r="J440" s="50"/>
      <c r="K440" s="67"/>
      <c r="L440" s="67"/>
      <c r="M440" s="4"/>
      <c r="N440" s="4"/>
      <c r="O440" s="4"/>
      <c r="P440" s="38"/>
    </row>
    <row r="441" spans="3:17" x14ac:dyDescent="0.25">
      <c r="E441" s="4"/>
      <c r="F441" s="4"/>
      <c r="G441" s="4"/>
      <c r="H441" s="4"/>
      <c r="I441" s="4"/>
      <c r="J441" s="50"/>
      <c r="K441" s="67"/>
      <c r="L441" s="67"/>
      <c r="M441" s="4"/>
      <c r="N441" s="4"/>
      <c r="O441" s="4"/>
      <c r="P441" s="38"/>
    </row>
    <row r="442" spans="3:17" x14ac:dyDescent="0.25">
      <c r="E442" s="4"/>
      <c r="F442" s="4"/>
      <c r="G442" s="4"/>
      <c r="H442" s="4"/>
      <c r="I442" s="4"/>
      <c r="J442" s="50"/>
      <c r="K442" s="67"/>
      <c r="L442" s="67"/>
      <c r="M442" s="4"/>
      <c r="N442" s="4"/>
      <c r="O442" s="4"/>
      <c r="P442" s="38"/>
    </row>
    <row r="443" spans="3:17" x14ac:dyDescent="0.25">
      <c r="E443" s="4"/>
      <c r="F443" s="4"/>
      <c r="G443" s="4"/>
      <c r="H443" s="4"/>
      <c r="I443" s="4"/>
      <c r="J443" s="50"/>
      <c r="K443" s="67"/>
      <c r="L443" s="67"/>
      <c r="M443" s="4"/>
      <c r="N443" s="4"/>
      <c r="O443" s="4"/>
      <c r="P443" s="38"/>
    </row>
    <row r="444" spans="3:17" x14ac:dyDescent="0.25">
      <c r="E444" s="4"/>
      <c r="F444" s="4"/>
      <c r="G444" s="4"/>
      <c r="H444" s="4"/>
      <c r="I444" s="4"/>
      <c r="J444" s="50"/>
      <c r="K444" s="67"/>
      <c r="L444" s="67"/>
      <c r="M444" s="4"/>
      <c r="N444" s="4"/>
      <c r="O444" s="4"/>
      <c r="P444" s="38"/>
    </row>
  </sheetData>
  <conditionalFormatting sqref="C1:Q1048576">
    <cfRule type="notContainsBlanks" dxfId="1" priority="1">
      <formula>LEN(TRIM(C1))&gt;0</formula>
    </cfRule>
  </conditionalFormatting>
  <conditionalFormatting sqref="R2">
    <cfRule type="notContainsBlanks" dxfId="0" priority="2">
      <formula>LEN(TRIM(R2))&gt;0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A35E9-D2B5-4E1F-A1D1-80321E97093B}">
  <sheetPr codeName="Sheet28"/>
  <dimension ref="B1:K20"/>
  <sheetViews>
    <sheetView workbookViewId="0">
      <selection activeCell="J21" sqref="J21"/>
    </sheetView>
  </sheetViews>
  <sheetFormatPr defaultRowHeight="15" x14ac:dyDescent="0.25"/>
  <cols>
    <col min="2" max="2" width="14" bestFit="1" customWidth="1"/>
    <col min="5" max="5" width="10.5703125" customWidth="1"/>
    <col min="6" max="6" width="11.5703125" bestFit="1" customWidth="1"/>
    <col min="7" max="7" width="11.5703125" customWidth="1"/>
    <col min="8" max="8" width="3.42578125" customWidth="1"/>
    <col min="9" max="9" width="13.42578125" bestFit="1" customWidth="1"/>
    <col min="10" max="10" width="10.7109375" bestFit="1" customWidth="1"/>
  </cols>
  <sheetData>
    <row r="1" spans="2:11" x14ac:dyDescent="0.25">
      <c r="B1" s="37">
        <v>57500000</v>
      </c>
      <c r="C1" s="31" t="s">
        <v>30</v>
      </c>
    </row>
    <row r="2" spans="2:11" x14ac:dyDescent="0.25">
      <c r="B2" t="s">
        <v>15</v>
      </c>
    </row>
    <row r="3" spans="2:11" ht="14.25" customHeight="1" x14ac:dyDescent="0.25">
      <c r="B3" s="16" t="s">
        <v>55</v>
      </c>
      <c r="C3" s="16" t="s">
        <v>88</v>
      </c>
      <c r="D3" s="16" t="s">
        <v>91</v>
      </c>
      <c r="E3" s="16" t="s">
        <v>87</v>
      </c>
      <c r="F3" s="16" t="s">
        <v>89</v>
      </c>
      <c r="G3" s="16" t="s">
        <v>52</v>
      </c>
      <c r="I3" s="16" t="s">
        <v>94</v>
      </c>
      <c r="J3" s="16" t="s">
        <v>90</v>
      </c>
      <c r="K3" s="16" t="s">
        <v>52</v>
      </c>
    </row>
    <row r="4" spans="2:11" x14ac:dyDescent="0.25">
      <c r="B4" s="1" t="s">
        <v>83</v>
      </c>
      <c r="C4" s="14">
        <v>35</v>
      </c>
      <c r="D4" s="14">
        <v>3</v>
      </c>
      <c r="E4" s="28">
        <v>300000</v>
      </c>
      <c r="F4" s="32">
        <f t="shared" ref="F4:F10" si="0">(C4*E4)*D4</f>
        <v>31500000</v>
      </c>
      <c r="G4" s="33">
        <f>F4/$B$1</f>
        <v>0.54782608695652169</v>
      </c>
      <c r="I4" s="32">
        <f t="shared" ref="I4:I10" si="1">J4/(C4*D4)</f>
        <v>301374.8</v>
      </c>
      <c r="J4" s="32">
        <v>31644354</v>
      </c>
      <c r="K4" s="33">
        <f t="shared" ref="K4:K10" si="2">J4/$B$1</f>
        <v>0.55033659130434787</v>
      </c>
    </row>
    <row r="5" spans="2:11" x14ac:dyDescent="0.25">
      <c r="B5" s="1" t="s">
        <v>84</v>
      </c>
      <c r="C5" s="14">
        <v>35</v>
      </c>
      <c r="D5" s="14">
        <v>3</v>
      </c>
      <c r="E5" s="28">
        <v>185000</v>
      </c>
      <c r="F5" s="32">
        <f t="shared" si="0"/>
        <v>19425000</v>
      </c>
      <c r="G5" s="33">
        <f t="shared" ref="G5:G10" si="3">F5/$B$1</f>
        <v>0.33782608695652172</v>
      </c>
      <c r="I5" s="32">
        <f t="shared" si="1"/>
        <v>185109.6</v>
      </c>
      <c r="J5" s="32">
        <v>19436508</v>
      </c>
      <c r="K5" s="33">
        <f t="shared" si="2"/>
        <v>0.33802622608695654</v>
      </c>
    </row>
    <row r="6" spans="2:11" x14ac:dyDescent="0.25">
      <c r="B6" s="1" t="s">
        <v>82</v>
      </c>
      <c r="C6" s="14">
        <v>7</v>
      </c>
      <c r="D6" s="14">
        <v>1</v>
      </c>
      <c r="E6" s="28">
        <v>350000</v>
      </c>
      <c r="F6" s="32">
        <f t="shared" si="0"/>
        <v>2450000</v>
      </c>
      <c r="G6" s="33">
        <f t="shared" si="3"/>
        <v>4.2608695652173914E-2</v>
      </c>
      <c r="I6" s="32">
        <f t="shared" si="1"/>
        <v>371428.57142857142</v>
      </c>
      <c r="J6" s="32">
        <v>2600000</v>
      </c>
      <c r="K6" s="33">
        <f t="shared" si="2"/>
        <v>4.5217391304347827E-2</v>
      </c>
    </row>
    <row r="7" spans="2:11" x14ac:dyDescent="0.25">
      <c r="B7" s="1" t="s">
        <v>85</v>
      </c>
      <c r="C7" s="14">
        <v>13</v>
      </c>
      <c r="D7" s="14">
        <v>1</v>
      </c>
      <c r="E7" s="35">
        <v>300000</v>
      </c>
      <c r="F7" s="32">
        <f t="shared" si="0"/>
        <v>3900000</v>
      </c>
      <c r="G7" s="33">
        <f t="shared" si="3"/>
        <v>6.7826086956521744E-2</v>
      </c>
      <c r="I7" s="36">
        <f t="shared" si="1"/>
        <v>272153.84615384613</v>
      </c>
      <c r="J7" s="32">
        <v>3538000</v>
      </c>
      <c r="K7" s="33">
        <f t="shared" si="2"/>
        <v>6.1530434782608695E-2</v>
      </c>
    </row>
    <row r="8" spans="2:11" x14ac:dyDescent="0.25">
      <c r="B8" s="1" t="s">
        <v>86</v>
      </c>
      <c r="C8" s="14">
        <v>13</v>
      </c>
      <c r="D8" s="14">
        <v>1</v>
      </c>
      <c r="E8" s="35">
        <v>260000</v>
      </c>
      <c r="F8" s="32">
        <f t="shared" si="0"/>
        <v>3380000</v>
      </c>
      <c r="G8" s="33">
        <f t="shared" si="3"/>
        <v>5.8782608695652175E-2</v>
      </c>
      <c r="I8" s="36">
        <f t="shared" si="1"/>
        <v>152900</v>
      </c>
      <c r="J8" s="32">
        <v>1987700</v>
      </c>
      <c r="K8" s="33">
        <f t="shared" si="2"/>
        <v>3.4568695652173916E-2</v>
      </c>
    </row>
    <row r="9" spans="2:11" x14ac:dyDescent="0.25">
      <c r="B9" s="1" t="s">
        <v>92</v>
      </c>
      <c r="C9" s="14">
        <v>4</v>
      </c>
      <c r="D9" s="14">
        <v>21</v>
      </c>
      <c r="E9" s="28">
        <v>222000</v>
      </c>
      <c r="F9" s="32">
        <f t="shared" si="0"/>
        <v>18648000</v>
      </c>
      <c r="G9" s="33">
        <f t="shared" si="3"/>
        <v>0.32431304347826084</v>
      </c>
      <c r="I9" s="32">
        <f t="shared" si="1"/>
        <v>0</v>
      </c>
      <c r="J9" s="32"/>
      <c r="K9" s="33">
        <f t="shared" si="2"/>
        <v>0</v>
      </c>
    </row>
    <row r="10" spans="2:11" x14ac:dyDescent="0.25">
      <c r="B10" s="1" t="s">
        <v>93</v>
      </c>
      <c r="C10" s="14">
        <v>4</v>
      </c>
      <c r="D10" s="14">
        <v>21</v>
      </c>
      <c r="E10" s="28">
        <v>132000</v>
      </c>
      <c r="F10" s="32">
        <f t="shared" si="0"/>
        <v>11088000</v>
      </c>
      <c r="G10" s="34">
        <f t="shared" si="3"/>
        <v>0.19283478260869566</v>
      </c>
      <c r="I10" s="32">
        <f t="shared" si="1"/>
        <v>0</v>
      </c>
      <c r="J10" s="1"/>
      <c r="K10" s="33">
        <f t="shared" si="2"/>
        <v>0</v>
      </c>
    </row>
    <row r="12" spans="2:11" x14ac:dyDescent="0.25">
      <c r="B12" t="s">
        <v>14</v>
      </c>
    </row>
    <row r="13" spans="2:11" x14ac:dyDescent="0.25">
      <c r="B13" s="16" t="s">
        <v>55</v>
      </c>
      <c r="C13" s="16" t="s">
        <v>88</v>
      </c>
      <c r="D13" s="16" t="s">
        <v>91</v>
      </c>
      <c r="E13" s="16" t="s">
        <v>87</v>
      </c>
      <c r="F13" s="16" t="s">
        <v>89</v>
      </c>
      <c r="G13" s="16" t="s">
        <v>52</v>
      </c>
      <c r="I13" s="16" t="s">
        <v>94</v>
      </c>
      <c r="J13" s="16" t="s">
        <v>90</v>
      </c>
      <c r="K13" s="16" t="s">
        <v>52</v>
      </c>
    </row>
    <row r="14" spans="2:11" x14ac:dyDescent="0.25">
      <c r="B14" s="1" t="s">
        <v>83</v>
      </c>
      <c r="C14" s="14"/>
      <c r="D14" s="14">
        <v>3</v>
      </c>
      <c r="E14" s="28">
        <v>300000</v>
      </c>
      <c r="F14" s="32">
        <f t="shared" ref="F14:F20" si="4">(C14*E14)*D14</f>
        <v>0</v>
      </c>
      <c r="G14" s="33">
        <f>F14/$B$1</f>
        <v>0</v>
      </c>
      <c r="I14" s="32" t="e">
        <f t="shared" ref="I14:I20" si="5">J14/(C14*D14)</f>
        <v>#DIV/0!</v>
      </c>
      <c r="J14" s="32">
        <v>31644354</v>
      </c>
      <c r="K14" s="33">
        <f t="shared" ref="K14:K20" si="6">J14/$B$1</f>
        <v>0.55033659130434787</v>
      </c>
    </row>
    <row r="15" spans="2:11" x14ac:dyDescent="0.25">
      <c r="B15" s="1" t="s">
        <v>84</v>
      </c>
      <c r="C15" s="14"/>
      <c r="D15" s="14">
        <v>3</v>
      </c>
      <c r="E15" s="28">
        <v>185000</v>
      </c>
      <c r="F15" s="32">
        <f t="shared" si="4"/>
        <v>0</v>
      </c>
      <c r="G15" s="33">
        <f t="shared" ref="G15:G20" si="7">F15/$B$1</f>
        <v>0</v>
      </c>
      <c r="I15" s="32" t="e">
        <f t="shared" si="5"/>
        <v>#DIV/0!</v>
      </c>
      <c r="J15" s="32">
        <v>19436508</v>
      </c>
      <c r="K15" s="33">
        <f t="shared" si="6"/>
        <v>0.33802622608695654</v>
      </c>
    </row>
    <row r="16" spans="2:11" x14ac:dyDescent="0.25">
      <c r="B16" s="1" t="s">
        <v>82</v>
      </c>
      <c r="C16" s="14"/>
      <c r="D16" s="14">
        <v>1</v>
      </c>
      <c r="E16" s="28">
        <v>350000</v>
      </c>
      <c r="F16" s="32">
        <f t="shared" si="4"/>
        <v>0</v>
      </c>
      <c r="G16" s="33">
        <f t="shared" si="7"/>
        <v>0</v>
      </c>
      <c r="I16" s="32" t="e">
        <f t="shared" si="5"/>
        <v>#DIV/0!</v>
      </c>
      <c r="J16" s="32">
        <v>2600000</v>
      </c>
      <c r="K16" s="33">
        <f t="shared" si="6"/>
        <v>4.5217391304347827E-2</v>
      </c>
    </row>
    <row r="17" spans="2:11" x14ac:dyDescent="0.25">
      <c r="B17" s="1" t="s">
        <v>85</v>
      </c>
      <c r="C17" s="14"/>
      <c r="D17" s="14">
        <v>1</v>
      </c>
      <c r="E17" s="35">
        <v>300000</v>
      </c>
      <c r="F17" s="32">
        <f t="shared" si="4"/>
        <v>0</v>
      </c>
      <c r="G17" s="33">
        <f t="shared" si="7"/>
        <v>0</v>
      </c>
      <c r="I17" s="36" t="e">
        <f t="shared" si="5"/>
        <v>#DIV/0!</v>
      </c>
      <c r="J17" s="32">
        <v>3538000</v>
      </c>
      <c r="K17" s="33">
        <f t="shared" si="6"/>
        <v>6.1530434782608695E-2</v>
      </c>
    </row>
    <row r="18" spans="2:11" x14ac:dyDescent="0.25">
      <c r="B18" s="1" t="s">
        <v>86</v>
      </c>
      <c r="C18" s="14"/>
      <c r="D18" s="14">
        <v>1</v>
      </c>
      <c r="E18" s="35">
        <v>260000</v>
      </c>
      <c r="F18" s="32">
        <f t="shared" si="4"/>
        <v>0</v>
      </c>
      <c r="G18" s="33">
        <f t="shared" si="7"/>
        <v>0</v>
      </c>
      <c r="I18" s="36" t="e">
        <f t="shared" si="5"/>
        <v>#DIV/0!</v>
      </c>
      <c r="J18" s="32">
        <v>1987700</v>
      </c>
      <c r="K18" s="33">
        <f t="shared" si="6"/>
        <v>3.4568695652173916E-2</v>
      </c>
    </row>
    <row r="19" spans="2:11" x14ac:dyDescent="0.25">
      <c r="B19" s="1" t="s">
        <v>92</v>
      </c>
      <c r="C19" s="14"/>
      <c r="D19" s="14">
        <v>21</v>
      </c>
      <c r="E19" s="28">
        <v>222000</v>
      </c>
      <c r="F19" s="32">
        <f t="shared" si="4"/>
        <v>0</v>
      </c>
      <c r="G19" s="33">
        <f t="shared" si="7"/>
        <v>0</v>
      </c>
      <c r="I19" s="32" t="e">
        <f t="shared" si="5"/>
        <v>#DIV/0!</v>
      </c>
      <c r="J19" s="32"/>
      <c r="K19" s="33">
        <f t="shared" si="6"/>
        <v>0</v>
      </c>
    </row>
    <row r="20" spans="2:11" x14ac:dyDescent="0.25">
      <c r="B20" s="1" t="s">
        <v>93</v>
      </c>
      <c r="C20" s="14"/>
      <c r="D20" s="14">
        <v>21</v>
      </c>
      <c r="E20" s="28">
        <v>132000</v>
      </c>
      <c r="F20" s="32">
        <f t="shared" si="4"/>
        <v>0</v>
      </c>
      <c r="G20" s="34">
        <f t="shared" si="7"/>
        <v>0</v>
      </c>
      <c r="I20" s="32" t="e">
        <f t="shared" si="5"/>
        <v>#DIV/0!</v>
      </c>
      <c r="J20" s="1"/>
      <c r="K20" s="33">
        <f t="shared" si="6"/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0A108-9368-4EEA-8EB6-70820168F51F}">
  <sheetPr codeName="Sheet29"/>
  <dimension ref="C2:I8"/>
  <sheetViews>
    <sheetView workbookViewId="0">
      <selection activeCell="J21" sqref="J21"/>
    </sheetView>
  </sheetViews>
  <sheetFormatPr defaultRowHeight="15" x14ac:dyDescent="0.25"/>
  <cols>
    <col min="3" max="3" width="10.5703125" customWidth="1"/>
    <col min="4" max="4" width="11.5703125" customWidth="1"/>
    <col min="5" max="5" width="13.140625" customWidth="1"/>
    <col min="6" max="6" width="12.85546875" customWidth="1"/>
    <col min="7" max="7" width="13.42578125" customWidth="1"/>
    <col min="8" max="8" width="11.85546875" customWidth="1"/>
    <col min="9" max="9" width="12.5703125" customWidth="1"/>
  </cols>
  <sheetData>
    <row r="2" spans="3:9" x14ac:dyDescent="0.25">
      <c r="C2" s="80" t="s">
        <v>98</v>
      </c>
      <c r="D2" s="79" t="s">
        <v>14</v>
      </c>
      <c r="E2" s="79"/>
      <c r="F2" s="79" t="s">
        <v>15</v>
      </c>
      <c r="G2" s="79"/>
      <c r="H2" s="79" t="s">
        <v>81</v>
      </c>
      <c r="I2" s="79"/>
    </row>
    <row r="3" spans="3:9" x14ac:dyDescent="0.25">
      <c r="C3" s="80"/>
      <c r="D3" s="16" t="s">
        <v>96</v>
      </c>
      <c r="E3" s="16" t="s">
        <v>97</v>
      </c>
      <c r="F3" s="16" t="s">
        <v>96</v>
      </c>
      <c r="G3" s="16" t="s">
        <v>97</v>
      </c>
      <c r="H3" s="16" t="s">
        <v>96</v>
      </c>
      <c r="I3" s="16" t="s">
        <v>97</v>
      </c>
    </row>
    <row r="4" spans="3:9" x14ac:dyDescent="0.25">
      <c r="C4" s="1" t="s">
        <v>1</v>
      </c>
      <c r="D4" s="28">
        <v>300000</v>
      </c>
      <c r="E4" s="28">
        <v>210000</v>
      </c>
      <c r="F4" s="28">
        <v>300000</v>
      </c>
      <c r="G4" s="28">
        <v>185000</v>
      </c>
      <c r="H4" s="28" t="s">
        <v>101</v>
      </c>
      <c r="I4" s="28" t="s">
        <v>101</v>
      </c>
    </row>
    <row r="5" spans="3:9" x14ac:dyDescent="0.25">
      <c r="C5" s="1" t="s">
        <v>95</v>
      </c>
      <c r="D5" s="28">
        <v>310000</v>
      </c>
      <c r="E5" s="28">
        <v>235000</v>
      </c>
      <c r="F5" s="28" t="s">
        <v>101</v>
      </c>
      <c r="G5" s="28" t="s">
        <v>101</v>
      </c>
      <c r="H5" s="28">
        <v>310000</v>
      </c>
      <c r="I5" s="28"/>
    </row>
    <row r="6" spans="3:9" x14ac:dyDescent="0.25">
      <c r="C6" s="1" t="s">
        <v>0</v>
      </c>
      <c r="D6" s="28">
        <v>300000</v>
      </c>
      <c r="E6" s="28">
        <v>230000</v>
      </c>
      <c r="F6" s="28">
        <v>300000</v>
      </c>
      <c r="G6" s="28">
        <v>200000</v>
      </c>
      <c r="H6" s="28" t="s">
        <v>101</v>
      </c>
      <c r="I6" s="28" t="s">
        <v>101</v>
      </c>
    </row>
    <row r="7" spans="3:9" x14ac:dyDescent="0.25">
      <c r="C7" s="1" t="s">
        <v>99</v>
      </c>
      <c r="D7" s="28">
        <v>350000</v>
      </c>
      <c r="E7" s="28" t="s">
        <v>101</v>
      </c>
      <c r="F7" s="28" t="s">
        <v>101</v>
      </c>
      <c r="G7" s="28" t="s">
        <v>101</v>
      </c>
      <c r="H7" s="28" t="s">
        <v>101</v>
      </c>
      <c r="I7" s="28" t="s">
        <v>101</v>
      </c>
    </row>
    <row r="8" spans="3:9" x14ac:dyDescent="0.25">
      <c r="C8" s="1" t="s">
        <v>100</v>
      </c>
      <c r="D8" s="28">
        <v>275000</v>
      </c>
      <c r="E8" s="28">
        <v>150000</v>
      </c>
      <c r="F8" s="28" t="s">
        <v>101</v>
      </c>
      <c r="G8" s="28" t="s">
        <v>101</v>
      </c>
      <c r="H8" s="28" t="s">
        <v>101</v>
      </c>
      <c r="I8" s="28" t="s">
        <v>101</v>
      </c>
    </row>
  </sheetData>
  <mergeCells count="4">
    <mergeCell ref="H2:I2"/>
    <mergeCell ref="F2:G2"/>
    <mergeCell ref="D2:E2"/>
    <mergeCell ref="C2:C3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4</vt:i4>
      </vt:variant>
    </vt:vector>
  </HeadingPairs>
  <TitlesOfParts>
    <vt:vector size="37" baseType="lpstr">
      <vt:lpstr>Back</vt:lpstr>
      <vt:lpstr>Strategy List</vt:lpstr>
      <vt:lpstr>Lot List</vt:lpstr>
      <vt:lpstr>OI QTY</vt:lpstr>
      <vt:lpstr>Inputs</vt:lpstr>
      <vt:lpstr>Margin</vt:lpstr>
      <vt:lpstr>Mon</vt:lpstr>
      <vt:lpstr>Tue(NF)</vt:lpstr>
      <vt:lpstr>Wed</vt:lpstr>
      <vt:lpstr>Thu (SNX)</vt:lpstr>
      <vt:lpstr>Fri</vt:lpstr>
      <vt:lpstr>YJJ02</vt:lpstr>
      <vt:lpstr>MOSTI23247</vt:lpstr>
      <vt:lpstr>MOSTI23372</vt:lpstr>
      <vt:lpstr>SAT2484</vt:lpstr>
      <vt:lpstr>MOSTI22960</vt:lpstr>
      <vt:lpstr>OWN</vt:lpstr>
      <vt:lpstr>ITC2332</vt:lpstr>
      <vt:lpstr>MOSTI23482</vt:lpstr>
      <vt:lpstr>MOSTI23035</vt:lpstr>
      <vt:lpstr>ITC2142</vt:lpstr>
      <vt:lpstr>ITC2095</vt:lpstr>
      <vt:lpstr>YJJ01</vt:lpstr>
      <vt:lpstr>YJJ03</vt:lpstr>
      <vt:lpstr>ITC2328</vt:lpstr>
      <vt:lpstr>MOSTI22967</vt:lpstr>
      <vt:lpstr>ITC2274</vt:lpstr>
      <vt:lpstr>ITC2348</vt:lpstr>
      <vt:lpstr>ITC2089</vt:lpstr>
      <vt:lpstr>MOSTI22962</vt:lpstr>
      <vt:lpstr>EA896332</vt:lpstr>
      <vt:lpstr>Sheet2</vt:lpstr>
      <vt:lpstr>Sheet3</vt:lpstr>
      <vt:lpstr>BANKNIFTY</vt:lpstr>
      <vt:lpstr>INDEX</vt:lpstr>
      <vt:lpstr>NIFTY</vt:lpstr>
      <vt:lpstr>SENSEX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RItes Jajoo</dc:creator>
  <cp:lastModifiedBy>Kamal Jajoo</cp:lastModifiedBy>
  <dcterms:created xsi:type="dcterms:W3CDTF">2025-07-18T09:37:15Z</dcterms:created>
  <dcterms:modified xsi:type="dcterms:W3CDTF">2026-04-10T08:13:30Z</dcterms:modified>
</cp:coreProperties>
</file>